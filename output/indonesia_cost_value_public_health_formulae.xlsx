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output/"/>
    </mc:Choice>
  </mc:AlternateContent>
  <xr:revisionPtr revIDLastSave="1" documentId="11_6D8D838330220937C8723D8077BE43AE195B7A57" xr6:coauthVersionLast="47" xr6:coauthVersionMax="47" xr10:uidLastSave="{617AE6E8-EF3B-4992-92C2-C86118C51FB5}"/>
  <bookViews>
    <workbookView xWindow="28680" yWindow="-120" windowWidth="29040" windowHeight="15720" firstSheet="7" activeTab="8" xr2:uid="{00000000-000D-0000-FFFF-FFFF00000000}"/>
  </bookViews>
  <sheets>
    <sheet name="README" sheetId="2" r:id="rId1"/>
    <sheet name="Run_Metadata" sheetId="3" r:id="rId2"/>
    <sheet name="Selected_Interventions" sheetId="4" r:id="rId3"/>
    <sheet name="Blocked_Links" sheetId="5" r:id="rId4"/>
    <sheet name="Policy_Levers" sheetId="6" r:id="rId5"/>
    <sheet name="Exposure_Targets" sheetId="7" r:id="rId6"/>
    <sheet name="Effect_Parameters" sheetId="8" r:id="rId7"/>
    <sheet name="Cost_Components" sheetId="9" r:id="rId8"/>
    <sheet name="Annual_Mortality" sheetId="10" r:id="rId9"/>
    <sheet name="Annual_Cost" sheetId="11" r:id="rId10"/>
    <sheet name="Budget_Impact" sheetId="12" r:id="rId11"/>
    <sheet name="Cost_Effectiveness" sheetId="13" r:id="rId12"/>
    <sheet name="Economic_Value" sheetId="14" r:id="rId13"/>
    <sheet name="QA_Checks" sheetId="15" r:id="rId14"/>
    <sheet name="Input_Diagnostic" sheetId="16" r:id="rId15"/>
    <sheet name="Methods_and_Sources" sheetId="17" r:id="rId16"/>
    <sheet name="Calculation_Assumptions" sheetId="1" r:id="rId17"/>
    <sheet name="Calculation_Map" sheetId="18" r:id="rId18"/>
  </sheets>
  <definedNames>
    <definedName name="_xlnm._FilterDatabase" localSheetId="8" hidden="1">Annual_Mortality!$A$1:$J$1275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5" l="1"/>
  <c r="C9" i="15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AA313" i="11"/>
  <c r="T313" i="11"/>
  <c r="Q313" i="11"/>
  <c r="U313" i="11" s="1"/>
  <c r="P313" i="11"/>
  <c r="O313" i="11"/>
  <c r="N313" i="11"/>
  <c r="R313" i="11" s="1"/>
  <c r="AA312" i="11"/>
  <c r="T312" i="11"/>
  <c r="P312" i="11"/>
  <c r="Q312" i="11" s="1"/>
  <c r="O312" i="11"/>
  <c r="R312" i="11" s="1"/>
  <c r="V312" i="11" s="1"/>
  <c r="N312" i="11"/>
  <c r="AA311" i="11"/>
  <c r="T311" i="11"/>
  <c r="P311" i="11"/>
  <c r="Q311" i="11" s="1"/>
  <c r="U311" i="11" s="1"/>
  <c r="O311" i="11"/>
  <c r="R311" i="11" s="1"/>
  <c r="N311" i="11"/>
  <c r="AA310" i="11"/>
  <c r="U310" i="11"/>
  <c r="T310" i="11"/>
  <c r="S310" i="11"/>
  <c r="W310" i="11" s="1"/>
  <c r="R310" i="11"/>
  <c r="V310" i="11" s="1"/>
  <c r="Q310" i="11"/>
  <c r="P310" i="11"/>
  <c r="O310" i="11"/>
  <c r="N310" i="11"/>
  <c r="AA309" i="11"/>
  <c r="T309" i="11"/>
  <c r="P309" i="11"/>
  <c r="Q309" i="11" s="1"/>
  <c r="U309" i="11" s="1"/>
  <c r="O309" i="11"/>
  <c r="R309" i="11" s="1"/>
  <c r="N309" i="11"/>
  <c r="AA308" i="11"/>
  <c r="U308" i="11"/>
  <c r="T308" i="11"/>
  <c r="R308" i="11"/>
  <c r="P308" i="11"/>
  <c r="Q308" i="11" s="1"/>
  <c r="O308" i="11"/>
  <c r="N308" i="11"/>
  <c r="AA307" i="11"/>
  <c r="T307" i="11"/>
  <c r="P307" i="11"/>
  <c r="Q307" i="11" s="1"/>
  <c r="U307" i="11" s="1"/>
  <c r="O307" i="11"/>
  <c r="N307" i="11"/>
  <c r="AA306" i="11"/>
  <c r="U306" i="11"/>
  <c r="T306" i="11"/>
  <c r="Q306" i="11"/>
  <c r="P306" i="11"/>
  <c r="O306" i="11"/>
  <c r="R306" i="11" s="1"/>
  <c r="N306" i="11"/>
  <c r="AA305" i="11"/>
  <c r="T305" i="11"/>
  <c r="Q305" i="11"/>
  <c r="U305" i="11" s="1"/>
  <c r="P305" i="11"/>
  <c r="O305" i="11"/>
  <c r="R305" i="11" s="1"/>
  <c r="N305" i="11"/>
  <c r="AA304" i="11"/>
  <c r="V304" i="11"/>
  <c r="U304" i="11"/>
  <c r="T304" i="11"/>
  <c r="Q304" i="11"/>
  <c r="P304" i="11"/>
  <c r="O304" i="11"/>
  <c r="R304" i="11" s="1"/>
  <c r="S304" i="11" s="1"/>
  <c r="W304" i="11" s="1"/>
  <c r="N304" i="11"/>
  <c r="AA303" i="11"/>
  <c r="U303" i="11"/>
  <c r="T303" i="11"/>
  <c r="Q303" i="11"/>
  <c r="P303" i="11"/>
  <c r="O303" i="11"/>
  <c r="R303" i="11" s="1"/>
  <c r="S303" i="11" s="1"/>
  <c r="W303" i="11" s="1"/>
  <c r="N303" i="11"/>
  <c r="AA302" i="11"/>
  <c r="T302" i="11"/>
  <c r="R302" i="11"/>
  <c r="V302" i="11" s="1"/>
  <c r="Q302" i="11"/>
  <c r="U302" i="11" s="1"/>
  <c r="P302" i="11"/>
  <c r="O302" i="11"/>
  <c r="N302" i="11"/>
  <c r="AA301" i="11"/>
  <c r="T301" i="11"/>
  <c r="P301" i="11"/>
  <c r="Q301" i="11" s="1"/>
  <c r="U301" i="11" s="1"/>
  <c r="O301" i="11"/>
  <c r="N301" i="11"/>
  <c r="R301" i="11" s="1"/>
  <c r="AA300" i="11"/>
  <c r="T300" i="11"/>
  <c r="R300" i="11"/>
  <c r="V300" i="11" s="1"/>
  <c r="P300" i="11"/>
  <c r="Q300" i="11" s="1"/>
  <c r="U300" i="11" s="1"/>
  <c r="O300" i="11"/>
  <c r="N300" i="11"/>
  <c r="AA299" i="11"/>
  <c r="T299" i="11"/>
  <c r="Q299" i="11"/>
  <c r="U299" i="11" s="1"/>
  <c r="P299" i="11"/>
  <c r="O299" i="11"/>
  <c r="N299" i="11"/>
  <c r="R299" i="11" s="1"/>
  <c r="AA298" i="11"/>
  <c r="T298" i="11"/>
  <c r="P298" i="11"/>
  <c r="Q298" i="11" s="1"/>
  <c r="U298" i="11" s="1"/>
  <c r="O298" i="11"/>
  <c r="N298" i="11"/>
  <c r="R298" i="11" s="1"/>
  <c r="AA297" i="11"/>
  <c r="T297" i="11"/>
  <c r="R297" i="11"/>
  <c r="Q297" i="11"/>
  <c r="U297" i="11" s="1"/>
  <c r="P297" i="11"/>
  <c r="O297" i="11"/>
  <c r="N297" i="11"/>
  <c r="AA296" i="11"/>
  <c r="T296" i="11"/>
  <c r="U296" i="11" s="1"/>
  <c r="Q296" i="11"/>
  <c r="P296" i="11"/>
  <c r="O296" i="11"/>
  <c r="R296" i="11" s="1"/>
  <c r="N296" i="11"/>
  <c r="AA295" i="11"/>
  <c r="T295" i="11"/>
  <c r="R295" i="11"/>
  <c r="V295" i="11" s="1"/>
  <c r="Q295" i="11"/>
  <c r="P295" i="11"/>
  <c r="O295" i="11"/>
  <c r="N295" i="11"/>
  <c r="AA294" i="11"/>
  <c r="T294" i="11"/>
  <c r="Q294" i="11"/>
  <c r="U294" i="11" s="1"/>
  <c r="P294" i="11"/>
  <c r="O294" i="11"/>
  <c r="R294" i="11" s="1"/>
  <c r="N294" i="11"/>
  <c r="AA293" i="11"/>
  <c r="U293" i="11"/>
  <c r="T293" i="11"/>
  <c r="P293" i="11"/>
  <c r="Q293" i="11" s="1"/>
  <c r="O293" i="11"/>
  <c r="N293" i="11"/>
  <c r="AA292" i="11"/>
  <c r="T292" i="11"/>
  <c r="U292" i="11" s="1"/>
  <c r="S292" i="11"/>
  <c r="W292" i="11" s="1"/>
  <c r="R292" i="11"/>
  <c r="P292" i="11"/>
  <c r="Q292" i="11" s="1"/>
  <c r="O292" i="11"/>
  <c r="N292" i="11"/>
  <c r="AA291" i="11"/>
  <c r="T291" i="11"/>
  <c r="P291" i="11"/>
  <c r="Q291" i="11" s="1"/>
  <c r="U291" i="11" s="1"/>
  <c r="O291" i="11"/>
  <c r="R291" i="11" s="1"/>
  <c r="N291" i="11"/>
  <c r="AA290" i="11"/>
  <c r="V290" i="11"/>
  <c r="T290" i="11"/>
  <c r="Q290" i="11"/>
  <c r="U290" i="11" s="1"/>
  <c r="P290" i="11"/>
  <c r="O290" i="11"/>
  <c r="R290" i="11" s="1"/>
  <c r="N290" i="11"/>
  <c r="AA289" i="11"/>
  <c r="T289" i="11"/>
  <c r="Q289" i="11"/>
  <c r="U289" i="11" s="1"/>
  <c r="P289" i="11"/>
  <c r="O289" i="11"/>
  <c r="R289" i="11" s="1"/>
  <c r="N289" i="11"/>
  <c r="AA288" i="11"/>
  <c r="U288" i="11"/>
  <c r="T288" i="11"/>
  <c r="Q288" i="11"/>
  <c r="P288" i="11"/>
  <c r="O288" i="11"/>
  <c r="N288" i="11"/>
  <c r="AA287" i="11"/>
  <c r="U287" i="11"/>
  <c r="T287" i="11"/>
  <c r="Q287" i="11"/>
  <c r="P287" i="11"/>
  <c r="O287" i="11"/>
  <c r="R287" i="11" s="1"/>
  <c r="S287" i="11" s="1"/>
  <c r="W287" i="11" s="1"/>
  <c r="N287" i="11"/>
  <c r="AA286" i="11"/>
  <c r="T286" i="11"/>
  <c r="Q286" i="11"/>
  <c r="U286" i="11" s="1"/>
  <c r="P286" i="11"/>
  <c r="O286" i="11"/>
  <c r="N286" i="11"/>
  <c r="AA285" i="11"/>
  <c r="U285" i="11"/>
  <c r="T285" i="11"/>
  <c r="Q285" i="11"/>
  <c r="P285" i="11"/>
  <c r="O285" i="11"/>
  <c r="R285" i="11" s="1"/>
  <c r="N285" i="11"/>
  <c r="AA284" i="11"/>
  <c r="T284" i="11"/>
  <c r="V284" i="11" s="1"/>
  <c r="R284" i="11"/>
  <c r="S284" i="11" s="1"/>
  <c r="W284" i="11" s="1"/>
  <c r="P284" i="11"/>
  <c r="Q284" i="11" s="1"/>
  <c r="U284" i="11" s="1"/>
  <c r="O284" i="11"/>
  <c r="N284" i="11"/>
  <c r="AA283" i="11"/>
  <c r="T283" i="11"/>
  <c r="P283" i="11"/>
  <c r="Q283" i="11" s="1"/>
  <c r="U283" i="11" s="1"/>
  <c r="O283" i="11"/>
  <c r="R283" i="11" s="1"/>
  <c r="N283" i="11"/>
  <c r="AA282" i="11"/>
  <c r="T282" i="11"/>
  <c r="P282" i="11"/>
  <c r="Q282" i="11" s="1"/>
  <c r="U282" i="11" s="1"/>
  <c r="O282" i="11"/>
  <c r="R282" i="11" s="1"/>
  <c r="N282" i="11"/>
  <c r="AA281" i="11"/>
  <c r="W281" i="11"/>
  <c r="V281" i="11"/>
  <c r="U281" i="11"/>
  <c r="T281" i="11"/>
  <c r="S281" i="11"/>
  <c r="R281" i="11"/>
  <c r="Q281" i="11"/>
  <c r="P281" i="11"/>
  <c r="O281" i="11"/>
  <c r="N281" i="11"/>
  <c r="AA280" i="11"/>
  <c r="T280" i="11"/>
  <c r="R280" i="11"/>
  <c r="V280" i="11" s="1"/>
  <c r="P280" i="11"/>
  <c r="Q280" i="11" s="1"/>
  <c r="O280" i="11"/>
  <c r="N280" i="11"/>
  <c r="AA279" i="11"/>
  <c r="T279" i="11"/>
  <c r="P279" i="11"/>
  <c r="Q279" i="11" s="1"/>
  <c r="U279" i="11" s="1"/>
  <c r="O279" i="11"/>
  <c r="N279" i="11"/>
  <c r="AA278" i="11"/>
  <c r="T278" i="11"/>
  <c r="Q278" i="11"/>
  <c r="U278" i="11" s="1"/>
  <c r="P278" i="11"/>
  <c r="O278" i="11"/>
  <c r="N278" i="11"/>
  <c r="R278" i="11" s="1"/>
  <c r="S278" i="11" s="1"/>
  <c r="W278" i="11" s="1"/>
  <c r="AA277" i="11"/>
  <c r="T277" i="11"/>
  <c r="R277" i="11"/>
  <c r="Q277" i="11"/>
  <c r="U277" i="11" s="1"/>
  <c r="P277" i="11"/>
  <c r="O277" i="11"/>
  <c r="N277" i="11"/>
  <c r="AA276" i="11"/>
  <c r="T276" i="11"/>
  <c r="Q276" i="11"/>
  <c r="U276" i="11" s="1"/>
  <c r="P276" i="11"/>
  <c r="O276" i="11"/>
  <c r="N276" i="11"/>
  <c r="AA275" i="11"/>
  <c r="T275" i="11"/>
  <c r="P275" i="11"/>
  <c r="Q275" i="11" s="1"/>
  <c r="U275" i="11" s="1"/>
  <c r="O275" i="11"/>
  <c r="R275" i="11" s="1"/>
  <c r="N275" i="11"/>
  <c r="AA274" i="11"/>
  <c r="U274" i="11"/>
  <c r="T274" i="11"/>
  <c r="R274" i="11"/>
  <c r="V274" i="11" s="1"/>
  <c r="P274" i="11"/>
  <c r="Q274" i="11" s="1"/>
  <c r="O274" i="11"/>
  <c r="N274" i="11"/>
  <c r="AA273" i="11"/>
  <c r="T273" i="11"/>
  <c r="P273" i="11"/>
  <c r="Q273" i="11" s="1"/>
  <c r="U273" i="11" s="1"/>
  <c r="O273" i="11"/>
  <c r="N273" i="11"/>
  <c r="AA272" i="11"/>
  <c r="T272" i="11"/>
  <c r="P272" i="11"/>
  <c r="Q272" i="11" s="1"/>
  <c r="U272" i="11" s="1"/>
  <c r="O272" i="11"/>
  <c r="R272" i="11" s="1"/>
  <c r="N272" i="11"/>
  <c r="AA271" i="11"/>
  <c r="U271" i="11"/>
  <c r="T271" i="11"/>
  <c r="Q271" i="11"/>
  <c r="P271" i="11"/>
  <c r="O271" i="11"/>
  <c r="R271" i="11" s="1"/>
  <c r="V271" i="11" s="1"/>
  <c r="N271" i="11"/>
  <c r="AA270" i="11"/>
  <c r="T270" i="11"/>
  <c r="Q270" i="11"/>
  <c r="U270" i="11" s="1"/>
  <c r="P270" i="11"/>
  <c r="O270" i="11"/>
  <c r="R270" i="11" s="1"/>
  <c r="N270" i="11"/>
  <c r="AA269" i="11"/>
  <c r="U269" i="11"/>
  <c r="T269" i="11"/>
  <c r="Q269" i="11"/>
  <c r="P269" i="11"/>
  <c r="O269" i="11"/>
  <c r="R269" i="11" s="1"/>
  <c r="N269" i="11"/>
  <c r="AA268" i="11"/>
  <c r="T268" i="11"/>
  <c r="V268" i="11" s="1"/>
  <c r="R268" i="11"/>
  <c r="S268" i="11" s="1"/>
  <c r="W268" i="11" s="1"/>
  <c r="P268" i="11"/>
  <c r="Q268" i="11" s="1"/>
  <c r="O268" i="11"/>
  <c r="N268" i="11"/>
  <c r="AA267" i="11"/>
  <c r="T267" i="11"/>
  <c r="Q267" i="11"/>
  <c r="U267" i="11" s="1"/>
  <c r="P267" i="11"/>
  <c r="O267" i="11"/>
  <c r="R267" i="11" s="1"/>
  <c r="N267" i="11"/>
  <c r="AA266" i="11"/>
  <c r="T266" i="11"/>
  <c r="P266" i="11"/>
  <c r="Q266" i="11" s="1"/>
  <c r="U266" i="11" s="1"/>
  <c r="O266" i="11"/>
  <c r="R266" i="11" s="1"/>
  <c r="N266" i="11"/>
  <c r="AA265" i="11"/>
  <c r="W265" i="11"/>
  <c r="V265" i="11"/>
  <c r="U265" i="11"/>
  <c r="T265" i="11"/>
  <c r="S265" i="11"/>
  <c r="R265" i="11"/>
  <c r="Q265" i="11"/>
  <c r="P265" i="11"/>
  <c r="O265" i="11"/>
  <c r="N265" i="11"/>
  <c r="AA264" i="11"/>
  <c r="T264" i="11"/>
  <c r="R264" i="11"/>
  <c r="V264" i="11" s="1"/>
  <c r="P264" i="11"/>
  <c r="Q264" i="11" s="1"/>
  <c r="O264" i="11"/>
  <c r="N264" i="11"/>
  <c r="AA263" i="11"/>
  <c r="T263" i="11"/>
  <c r="P263" i="11"/>
  <c r="Q263" i="11" s="1"/>
  <c r="U263" i="11" s="1"/>
  <c r="O263" i="11"/>
  <c r="N263" i="11"/>
  <c r="AA262" i="11"/>
  <c r="T262" i="11"/>
  <c r="Q262" i="11"/>
  <c r="U262" i="11" s="1"/>
  <c r="P262" i="11"/>
  <c r="O262" i="11"/>
  <c r="N262" i="11"/>
  <c r="R262" i="11" s="1"/>
  <c r="S262" i="11" s="1"/>
  <c r="W262" i="11" s="1"/>
  <c r="AA261" i="11"/>
  <c r="T261" i="11"/>
  <c r="R261" i="11"/>
  <c r="V261" i="11" s="1"/>
  <c r="Q261" i="11"/>
  <c r="U261" i="11" s="1"/>
  <c r="P261" i="11"/>
  <c r="O261" i="11"/>
  <c r="N261" i="11"/>
  <c r="AA260" i="11"/>
  <c r="T260" i="11"/>
  <c r="Q260" i="11"/>
  <c r="U260" i="11" s="1"/>
  <c r="P260" i="11"/>
  <c r="O260" i="11"/>
  <c r="N260" i="11"/>
  <c r="AA259" i="11"/>
  <c r="T259" i="11"/>
  <c r="P259" i="11"/>
  <c r="Q259" i="11" s="1"/>
  <c r="U259" i="11" s="1"/>
  <c r="O259" i="11"/>
  <c r="R259" i="11" s="1"/>
  <c r="N259" i="11"/>
  <c r="AA258" i="11"/>
  <c r="T258" i="11"/>
  <c r="S258" i="11"/>
  <c r="W258" i="11" s="1"/>
  <c r="R258" i="11"/>
  <c r="V258" i="11" s="1"/>
  <c r="P258" i="11"/>
  <c r="Q258" i="11" s="1"/>
  <c r="U258" i="11" s="1"/>
  <c r="O258" i="11"/>
  <c r="N258" i="11"/>
  <c r="AA257" i="11"/>
  <c r="T257" i="11"/>
  <c r="P257" i="11"/>
  <c r="Q257" i="11" s="1"/>
  <c r="U257" i="11" s="1"/>
  <c r="O257" i="11"/>
  <c r="N257" i="11"/>
  <c r="AA256" i="11"/>
  <c r="T256" i="11"/>
  <c r="P256" i="11"/>
  <c r="Q256" i="11" s="1"/>
  <c r="U256" i="11" s="1"/>
  <c r="O256" i="11"/>
  <c r="R256" i="11" s="1"/>
  <c r="N256" i="11"/>
  <c r="AA255" i="11"/>
  <c r="U255" i="11"/>
  <c r="T255" i="11"/>
  <c r="Q255" i="11"/>
  <c r="P255" i="11"/>
  <c r="O255" i="11"/>
  <c r="R255" i="11" s="1"/>
  <c r="V255" i="11" s="1"/>
  <c r="N255" i="11"/>
  <c r="AA254" i="11"/>
  <c r="T254" i="11"/>
  <c r="P254" i="11"/>
  <c r="Q254" i="11" s="1"/>
  <c r="U254" i="11" s="1"/>
  <c r="O254" i="11"/>
  <c r="R254" i="11" s="1"/>
  <c r="N254" i="11"/>
  <c r="AA253" i="11"/>
  <c r="U253" i="11"/>
  <c r="T253" i="11"/>
  <c r="Q253" i="11"/>
  <c r="P253" i="11"/>
  <c r="O253" i="11"/>
  <c r="R253" i="11" s="1"/>
  <c r="N253" i="11"/>
  <c r="AA252" i="11"/>
  <c r="T252" i="11"/>
  <c r="V252" i="11" s="1"/>
  <c r="R252" i="11"/>
  <c r="P252" i="11"/>
  <c r="Q252" i="11" s="1"/>
  <c r="U252" i="11" s="1"/>
  <c r="O252" i="11"/>
  <c r="N252" i="11"/>
  <c r="AA251" i="11"/>
  <c r="T251" i="11"/>
  <c r="R251" i="11"/>
  <c r="Q251" i="11"/>
  <c r="U251" i="11" s="1"/>
  <c r="P251" i="11"/>
  <c r="O251" i="11"/>
  <c r="N251" i="11"/>
  <c r="AA250" i="11"/>
  <c r="T250" i="11"/>
  <c r="P250" i="11"/>
  <c r="Q250" i="11" s="1"/>
  <c r="U250" i="11" s="1"/>
  <c r="O250" i="11"/>
  <c r="R250" i="11" s="1"/>
  <c r="N250" i="11"/>
  <c r="AA249" i="11"/>
  <c r="W249" i="11"/>
  <c r="V249" i="11"/>
  <c r="U249" i="11"/>
  <c r="T249" i="11"/>
  <c r="S249" i="11"/>
  <c r="R249" i="11"/>
  <c r="Q249" i="11"/>
  <c r="P249" i="11"/>
  <c r="O249" i="11"/>
  <c r="N249" i="11"/>
  <c r="AA248" i="11"/>
  <c r="T248" i="11"/>
  <c r="P248" i="11"/>
  <c r="Q248" i="11" s="1"/>
  <c r="U248" i="11" s="1"/>
  <c r="O248" i="11"/>
  <c r="N248" i="11"/>
  <c r="R248" i="11" s="1"/>
  <c r="AA247" i="11"/>
  <c r="T247" i="11"/>
  <c r="P247" i="11"/>
  <c r="Q247" i="11" s="1"/>
  <c r="U247" i="11" s="1"/>
  <c r="O247" i="11"/>
  <c r="R247" i="11" s="1"/>
  <c r="N247" i="11"/>
  <c r="AA246" i="11"/>
  <c r="T246" i="11"/>
  <c r="Q246" i="11"/>
  <c r="U246" i="11" s="1"/>
  <c r="P246" i="11"/>
  <c r="O246" i="11"/>
  <c r="N246" i="11"/>
  <c r="R246" i="11" s="1"/>
  <c r="S246" i="11" s="1"/>
  <c r="W246" i="11" s="1"/>
  <c r="AA245" i="11"/>
  <c r="T245" i="11"/>
  <c r="R245" i="11"/>
  <c r="Q245" i="11"/>
  <c r="P245" i="11"/>
  <c r="O245" i="11"/>
  <c r="N245" i="11"/>
  <c r="AA244" i="11"/>
  <c r="T244" i="11"/>
  <c r="Q244" i="11"/>
  <c r="U244" i="11" s="1"/>
  <c r="P244" i="11"/>
  <c r="O244" i="11"/>
  <c r="N244" i="11"/>
  <c r="AA243" i="11"/>
  <c r="T243" i="11"/>
  <c r="P243" i="11"/>
  <c r="Q243" i="11" s="1"/>
  <c r="U243" i="11" s="1"/>
  <c r="O243" i="11"/>
  <c r="R243" i="11" s="1"/>
  <c r="N243" i="11"/>
  <c r="AA242" i="11"/>
  <c r="U242" i="11"/>
  <c r="T242" i="11"/>
  <c r="S242" i="11"/>
  <c r="W242" i="11" s="1"/>
  <c r="R242" i="11"/>
  <c r="P242" i="11"/>
  <c r="Q242" i="11" s="1"/>
  <c r="O242" i="11"/>
  <c r="N242" i="11"/>
  <c r="AA241" i="11"/>
  <c r="T241" i="11"/>
  <c r="P241" i="11"/>
  <c r="Q241" i="11" s="1"/>
  <c r="U241" i="11" s="1"/>
  <c r="O241" i="11"/>
  <c r="N241" i="11"/>
  <c r="AA240" i="11"/>
  <c r="V240" i="11"/>
  <c r="T240" i="11"/>
  <c r="P240" i="11"/>
  <c r="Q240" i="11" s="1"/>
  <c r="U240" i="11" s="1"/>
  <c r="O240" i="11"/>
  <c r="R240" i="11" s="1"/>
  <c r="S240" i="11" s="1"/>
  <c r="W240" i="11" s="1"/>
  <c r="N240" i="11"/>
  <c r="AA239" i="11"/>
  <c r="T239" i="11"/>
  <c r="Q239" i="11"/>
  <c r="U239" i="11" s="1"/>
  <c r="P239" i="11"/>
  <c r="O239" i="11"/>
  <c r="R239" i="11" s="1"/>
  <c r="V239" i="11" s="1"/>
  <c r="N239" i="11"/>
  <c r="AA238" i="11"/>
  <c r="T238" i="11"/>
  <c r="Q238" i="11"/>
  <c r="U238" i="11" s="1"/>
  <c r="P238" i="11"/>
  <c r="O238" i="11"/>
  <c r="N238" i="11"/>
  <c r="AA237" i="11"/>
  <c r="U237" i="11"/>
  <c r="T237" i="11"/>
  <c r="Q237" i="11"/>
  <c r="P237" i="11"/>
  <c r="O237" i="11"/>
  <c r="R237" i="11" s="1"/>
  <c r="N237" i="11"/>
  <c r="AA236" i="11"/>
  <c r="V236" i="11"/>
  <c r="U236" i="11"/>
  <c r="T236" i="11"/>
  <c r="R236" i="11"/>
  <c r="P236" i="11"/>
  <c r="Q236" i="11" s="1"/>
  <c r="O236" i="11"/>
  <c r="N236" i="11"/>
  <c r="AA235" i="11"/>
  <c r="T235" i="11"/>
  <c r="P235" i="11"/>
  <c r="Q235" i="11" s="1"/>
  <c r="U235" i="11" s="1"/>
  <c r="O235" i="11"/>
  <c r="R235" i="11" s="1"/>
  <c r="N235" i="11"/>
  <c r="AA234" i="11"/>
  <c r="T234" i="11"/>
  <c r="P234" i="11"/>
  <c r="Q234" i="11" s="1"/>
  <c r="U234" i="11" s="1"/>
  <c r="O234" i="11"/>
  <c r="R234" i="11" s="1"/>
  <c r="N234" i="11"/>
  <c r="AA233" i="11"/>
  <c r="V233" i="11"/>
  <c r="U233" i="11"/>
  <c r="T233" i="11"/>
  <c r="S233" i="11"/>
  <c r="W233" i="11" s="1"/>
  <c r="R233" i="11"/>
  <c r="Q233" i="11"/>
  <c r="P233" i="11"/>
  <c r="O233" i="11"/>
  <c r="N233" i="11"/>
  <c r="AA232" i="11"/>
  <c r="T232" i="11"/>
  <c r="R232" i="11"/>
  <c r="V232" i="11" s="1"/>
  <c r="Q232" i="11"/>
  <c r="U232" i="11" s="1"/>
  <c r="P232" i="11"/>
  <c r="O232" i="11"/>
  <c r="N232" i="11"/>
  <c r="AA231" i="11"/>
  <c r="T231" i="11"/>
  <c r="P231" i="11"/>
  <c r="Q231" i="11" s="1"/>
  <c r="U231" i="11" s="1"/>
  <c r="O231" i="11"/>
  <c r="N231" i="11"/>
  <c r="AA230" i="11"/>
  <c r="T230" i="11"/>
  <c r="Q230" i="11"/>
  <c r="P230" i="11"/>
  <c r="O230" i="11"/>
  <c r="N230" i="11"/>
  <c r="R230" i="11" s="1"/>
  <c r="AA229" i="11"/>
  <c r="T229" i="11"/>
  <c r="R229" i="11"/>
  <c r="V229" i="11" s="1"/>
  <c r="Q229" i="11"/>
  <c r="U229" i="11" s="1"/>
  <c r="P229" i="11"/>
  <c r="O229" i="11"/>
  <c r="N229" i="11"/>
  <c r="AA228" i="11"/>
  <c r="T228" i="11"/>
  <c r="Q228" i="11"/>
  <c r="U228" i="11" s="1"/>
  <c r="P228" i="11"/>
  <c r="O228" i="11"/>
  <c r="N228" i="11"/>
  <c r="AA227" i="11"/>
  <c r="T227" i="11"/>
  <c r="P227" i="11"/>
  <c r="Q227" i="11" s="1"/>
  <c r="U227" i="11" s="1"/>
  <c r="O227" i="11"/>
  <c r="R227" i="11" s="1"/>
  <c r="N227" i="11"/>
  <c r="AA226" i="11"/>
  <c r="T226" i="11"/>
  <c r="R226" i="11"/>
  <c r="V226" i="11" s="1"/>
  <c r="P226" i="11"/>
  <c r="Q226" i="11" s="1"/>
  <c r="U226" i="11" s="1"/>
  <c r="O226" i="11"/>
  <c r="N226" i="11"/>
  <c r="AA225" i="11"/>
  <c r="T225" i="11"/>
  <c r="P225" i="11"/>
  <c r="Q225" i="11" s="1"/>
  <c r="U225" i="11" s="1"/>
  <c r="O225" i="11"/>
  <c r="R225" i="11" s="1"/>
  <c r="N225" i="11"/>
  <c r="AA224" i="11"/>
  <c r="V224" i="11"/>
  <c r="T224" i="11"/>
  <c r="P224" i="11"/>
  <c r="Q224" i="11" s="1"/>
  <c r="U224" i="11" s="1"/>
  <c r="O224" i="11"/>
  <c r="R224" i="11" s="1"/>
  <c r="S224" i="11" s="1"/>
  <c r="W224" i="11" s="1"/>
  <c r="N224" i="11"/>
  <c r="AA223" i="11"/>
  <c r="T223" i="11"/>
  <c r="Q223" i="11"/>
  <c r="U223" i="11" s="1"/>
  <c r="P223" i="11"/>
  <c r="O223" i="11"/>
  <c r="R223" i="11" s="1"/>
  <c r="N223" i="11"/>
  <c r="AA222" i="11"/>
  <c r="T222" i="11"/>
  <c r="P222" i="11"/>
  <c r="Q222" i="11" s="1"/>
  <c r="U222" i="11" s="1"/>
  <c r="O222" i="11"/>
  <c r="N222" i="11"/>
  <c r="AA221" i="11"/>
  <c r="U221" i="11"/>
  <c r="T221" i="11"/>
  <c r="Q221" i="11"/>
  <c r="P221" i="11"/>
  <c r="O221" i="11"/>
  <c r="R221" i="11" s="1"/>
  <c r="N221" i="11"/>
  <c r="AA220" i="11"/>
  <c r="U220" i="11"/>
  <c r="T220" i="11"/>
  <c r="R220" i="11"/>
  <c r="S220" i="11" s="1"/>
  <c r="W220" i="11" s="1"/>
  <c r="P220" i="11"/>
  <c r="Q220" i="11" s="1"/>
  <c r="O220" i="11"/>
  <c r="N220" i="11"/>
  <c r="AA219" i="11"/>
  <c r="T219" i="11"/>
  <c r="Q219" i="11"/>
  <c r="U219" i="11" s="1"/>
  <c r="P219" i="11"/>
  <c r="O219" i="11"/>
  <c r="R219" i="11" s="1"/>
  <c r="N219" i="11"/>
  <c r="AA218" i="11"/>
  <c r="T218" i="11"/>
  <c r="P218" i="11"/>
  <c r="Q218" i="11" s="1"/>
  <c r="U218" i="11" s="1"/>
  <c r="O218" i="11"/>
  <c r="R218" i="11" s="1"/>
  <c r="N218" i="11"/>
  <c r="AA217" i="11"/>
  <c r="V217" i="11"/>
  <c r="U217" i="11"/>
  <c r="T217" i="11"/>
  <c r="S217" i="11"/>
  <c r="W217" i="11" s="1"/>
  <c r="R217" i="11"/>
  <c r="Q217" i="11"/>
  <c r="P217" i="11"/>
  <c r="O217" i="11"/>
  <c r="N217" i="11"/>
  <c r="AA216" i="11"/>
  <c r="T216" i="11"/>
  <c r="R216" i="11"/>
  <c r="V216" i="11" s="1"/>
  <c r="P216" i="11"/>
  <c r="Q216" i="11" s="1"/>
  <c r="U216" i="11" s="1"/>
  <c r="O216" i="11"/>
  <c r="N216" i="11"/>
  <c r="AA215" i="11"/>
  <c r="T215" i="11"/>
  <c r="P215" i="11"/>
  <c r="Q215" i="11" s="1"/>
  <c r="U215" i="11" s="1"/>
  <c r="O215" i="11"/>
  <c r="N215" i="11"/>
  <c r="AA214" i="11"/>
  <c r="T214" i="11"/>
  <c r="W214" i="11" s="1"/>
  <c r="Q214" i="11"/>
  <c r="P214" i="11"/>
  <c r="O214" i="11"/>
  <c r="N214" i="11"/>
  <c r="R214" i="11" s="1"/>
  <c r="S214" i="11" s="1"/>
  <c r="AA213" i="11"/>
  <c r="T213" i="11"/>
  <c r="Q213" i="11"/>
  <c r="U213" i="11" s="1"/>
  <c r="P213" i="11"/>
  <c r="O213" i="11"/>
  <c r="R213" i="11" s="1"/>
  <c r="N213" i="11"/>
  <c r="AA212" i="11"/>
  <c r="T212" i="11"/>
  <c r="Q212" i="11"/>
  <c r="U212" i="11" s="1"/>
  <c r="P212" i="11"/>
  <c r="O212" i="11"/>
  <c r="R212" i="11" s="1"/>
  <c r="N212" i="11"/>
  <c r="AA211" i="11"/>
  <c r="U211" i="11"/>
  <c r="T211" i="11"/>
  <c r="P211" i="11"/>
  <c r="Q211" i="11" s="1"/>
  <c r="O211" i="11"/>
  <c r="R211" i="11" s="1"/>
  <c r="N211" i="11"/>
  <c r="AA210" i="11"/>
  <c r="T210" i="11"/>
  <c r="R210" i="11"/>
  <c r="P210" i="11"/>
  <c r="Q210" i="11" s="1"/>
  <c r="U210" i="11" s="1"/>
  <c r="O210" i="11"/>
  <c r="N210" i="11"/>
  <c r="AA209" i="11"/>
  <c r="T209" i="11"/>
  <c r="P209" i="11"/>
  <c r="Q209" i="11" s="1"/>
  <c r="U209" i="11" s="1"/>
  <c r="O209" i="11"/>
  <c r="R209" i="11" s="1"/>
  <c r="N209" i="11"/>
  <c r="AA208" i="11"/>
  <c r="T208" i="11"/>
  <c r="P208" i="11"/>
  <c r="Q208" i="11" s="1"/>
  <c r="U208" i="11" s="1"/>
  <c r="O208" i="11"/>
  <c r="R208" i="11" s="1"/>
  <c r="S208" i="11" s="1"/>
  <c r="W208" i="11" s="1"/>
  <c r="N208" i="11"/>
  <c r="AA207" i="11"/>
  <c r="V207" i="11"/>
  <c r="U207" i="11"/>
  <c r="T207" i="11"/>
  <c r="Q207" i="11"/>
  <c r="P207" i="11"/>
  <c r="O207" i="11"/>
  <c r="R207" i="11" s="1"/>
  <c r="S207" i="11" s="1"/>
  <c r="W207" i="11" s="1"/>
  <c r="N207" i="11"/>
  <c r="AA206" i="11"/>
  <c r="T206" i="11"/>
  <c r="Q206" i="11"/>
  <c r="U206" i="11" s="1"/>
  <c r="P206" i="11"/>
  <c r="O206" i="11"/>
  <c r="N206" i="11"/>
  <c r="AA205" i="11"/>
  <c r="U205" i="11"/>
  <c r="T205" i="11"/>
  <c r="Q205" i="11"/>
  <c r="P205" i="11"/>
  <c r="O205" i="11"/>
  <c r="R205" i="11" s="1"/>
  <c r="N205" i="11"/>
  <c r="AA204" i="11"/>
  <c r="T204" i="11"/>
  <c r="R204" i="11"/>
  <c r="P204" i="11"/>
  <c r="Q204" i="11" s="1"/>
  <c r="U204" i="11" s="1"/>
  <c r="O204" i="11"/>
  <c r="N204" i="11"/>
  <c r="AA203" i="11"/>
  <c r="T203" i="11"/>
  <c r="S203" i="11"/>
  <c r="W203" i="11" s="1"/>
  <c r="P203" i="11"/>
  <c r="Q203" i="11" s="1"/>
  <c r="U203" i="11" s="1"/>
  <c r="O203" i="11"/>
  <c r="R203" i="11" s="1"/>
  <c r="V203" i="11" s="1"/>
  <c r="N203" i="11"/>
  <c r="AA202" i="11"/>
  <c r="T202" i="11"/>
  <c r="P202" i="11"/>
  <c r="Q202" i="11" s="1"/>
  <c r="U202" i="11" s="1"/>
  <c r="O202" i="11"/>
  <c r="R202" i="11" s="1"/>
  <c r="N202" i="11"/>
  <c r="AA201" i="11"/>
  <c r="V201" i="11"/>
  <c r="U201" i="11"/>
  <c r="T201" i="11"/>
  <c r="S201" i="11"/>
  <c r="W201" i="11" s="1"/>
  <c r="R201" i="11"/>
  <c r="Q201" i="11"/>
  <c r="P201" i="11"/>
  <c r="O201" i="11"/>
  <c r="N201" i="11"/>
  <c r="AA200" i="11"/>
  <c r="T200" i="11"/>
  <c r="Q200" i="11"/>
  <c r="U200" i="11" s="1"/>
  <c r="P200" i="11"/>
  <c r="O200" i="11"/>
  <c r="N200" i="11"/>
  <c r="R200" i="11" s="1"/>
  <c r="AA199" i="11"/>
  <c r="T199" i="11"/>
  <c r="P199" i="11"/>
  <c r="Q199" i="11" s="1"/>
  <c r="U199" i="11" s="1"/>
  <c r="O199" i="11"/>
  <c r="N199" i="11"/>
  <c r="AA198" i="11"/>
  <c r="T198" i="11"/>
  <c r="Q198" i="11"/>
  <c r="P198" i="11"/>
  <c r="O198" i="11"/>
  <c r="N198" i="11"/>
  <c r="R198" i="11" s="1"/>
  <c r="S198" i="11" s="1"/>
  <c r="W198" i="11" s="1"/>
  <c r="AA197" i="11"/>
  <c r="T197" i="11"/>
  <c r="U197" i="11" s="1"/>
  <c r="S197" i="11"/>
  <c r="W197" i="11" s="1"/>
  <c r="Q197" i="11"/>
  <c r="P197" i="11"/>
  <c r="O197" i="11"/>
  <c r="R197" i="11" s="1"/>
  <c r="V197" i="11" s="1"/>
  <c r="N197" i="11"/>
  <c r="AA196" i="11"/>
  <c r="T196" i="11"/>
  <c r="P196" i="11"/>
  <c r="Q196" i="11" s="1"/>
  <c r="U196" i="11" s="1"/>
  <c r="O196" i="11"/>
  <c r="N196" i="11"/>
  <c r="AA195" i="11"/>
  <c r="U195" i="11"/>
  <c r="T195" i="11"/>
  <c r="S195" i="11"/>
  <c r="W195" i="11" s="1"/>
  <c r="P195" i="11"/>
  <c r="Q195" i="11" s="1"/>
  <c r="O195" i="11"/>
  <c r="R195" i="11" s="1"/>
  <c r="V195" i="11" s="1"/>
  <c r="N195" i="11"/>
  <c r="AA194" i="11"/>
  <c r="T194" i="11"/>
  <c r="P194" i="11"/>
  <c r="Q194" i="11" s="1"/>
  <c r="U194" i="11" s="1"/>
  <c r="O194" i="11"/>
  <c r="N194" i="11"/>
  <c r="R194" i="11" s="1"/>
  <c r="AA193" i="11"/>
  <c r="T193" i="11"/>
  <c r="R193" i="11"/>
  <c r="Q193" i="11"/>
  <c r="U193" i="11" s="1"/>
  <c r="P193" i="11"/>
  <c r="O193" i="11"/>
  <c r="N193" i="11"/>
  <c r="AA192" i="11"/>
  <c r="T192" i="11"/>
  <c r="P192" i="11"/>
  <c r="Q192" i="11" s="1"/>
  <c r="O192" i="11"/>
  <c r="R192" i="11" s="1"/>
  <c r="S192" i="11" s="1"/>
  <c r="W192" i="11" s="1"/>
  <c r="N192" i="11"/>
  <c r="AA191" i="11"/>
  <c r="T191" i="11"/>
  <c r="V191" i="11" s="1"/>
  <c r="S191" i="11"/>
  <c r="W191" i="11" s="1"/>
  <c r="Q191" i="11"/>
  <c r="P191" i="11"/>
  <c r="O191" i="11"/>
  <c r="R191" i="11" s="1"/>
  <c r="N191" i="11"/>
  <c r="AA190" i="11"/>
  <c r="T190" i="11"/>
  <c r="Q190" i="11"/>
  <c r="U190" i="11" s="1"/>
  <c r="P190" i="11"/>
  <c r="O190" i="11"/>
  <c r="R190" i="11" s="1"/>
  <c r="N190" i="11"/>
  <c r="AA189" i="11"/>
  <c r="U189" i="11"/>
  <c r="T189" i="11"/>
  <c r="Q189" i="11"/>
  <c r="P189" i="11"/>
  <c r="O189" i="11"/>
  <c r="R189" i="11" s="1"/>
  <c r="N189" i="11"/>
  <c r="AA188" i="11"/>
  <c r="T188" i="11"/>
  <c r="R188" i="11"/>
  <c r="P188" i="11"/>
  <c r="Q188" i="11" s="1"/>
  <c r="U188" i="11" s="1"/>
  <c r="O188" i="11"/>
  <c r="N188" i="11"/>
  <c r="AA187" i="11"/>
  <c r="T187" i="11"/>
  <c r="P187" i="11"/>
  <c r="Q187" i="11" s="1"/>
  <c r="U187" i="11" s="1"/>
  <c r="O187" i="11"/>
  <c r="R187" i="11" s="1"/>
  <c r="V187" i="11" s="1"/>
  <c r="N187" i="11"/>
  <c r="AA186" i="11"/>
  <c r="T186" i="11"/>
  <c r="P186" i="11"/>
  <c r="Q186" i="11" s="1"/>
  <c r="U186" i="11" s="1"/>
  <c r="O186" i="11"/>
  <c r="N186" i="11"/>
  <c r="AA185" i="11"/>
  <c r="V185" i="11"/>
  <c r="U185" i="11"/>
  <c r="T185" i="11"/>
  <c r="R185" i="11"/>
  <c r="Q185" i="11"/>
  <c r="S185" i="11" s="1"/>
  <c r="W185" i="11" s="1"/>
  <c r="P185" i="11"/>
  <c r="O185" i="11"/>
  <c r="N185" i="11"/>
  <c r="AA184" i="11"/>
  <c r="T184" i="11"/>
  <c r="Q184" i="11"/>
  <c r="U184" i="11" s="1"/>
  <c r="P184" i="11"/>
  <c r="O184" i="11"/>
  <c r="N184" i="11"/>
  <c r="R184" i="11" s="1"/>
  <c r="AA183" i="11"/>
  <c r="T183" i="11"/>
  <c r="P183" i="11"/>
  <c r="Q183" i="11" s="1"/>
  <c r="O183" i="11"/>
  <c r="R183" i="11" s="1"/>
  <c r="N183" i="11"/>
  <c r="AA182" i="11"/>
  <c r="T182" i="11"/>
  <c r="Q182" i="11"/>
  <c r="P182" i="11"/>
  <c r="O182" i="11"/>
  <c r="N182" i="11"/>
  <c r="R182" i="11" s="1"/>
  <c r="AA181" i="11"/>
  <c r="T181" i="11"/>
  <c r="R181" i="11"/>
  <c r="Q181" i="11"/>
  <c r="C181" i="12" s="1"/>
  <c r="P181" i="11"/>
  <c r="O181" i="11"/>
  <c r="N181" i="11"/>
  <c r="AA180" i="11"/>
  <c r="T180" i="11"/>
  <c r="P180" i="11"/>
  <c r="Q180" i="11" s="1"/>
  <c r="O180" i="11"/>
  <c r="R180" i="11" s="1"/>
  <c r="N180" i="11"/>
  <c r="AA179" i="11"/>
  <c r="U179" i="11"/>
  <c r="T179" i="11"/>
  <c r="S179" i="11"/>
  <c r="R179" i="11"/>
  <c r="P179" i="11"/>
  <c r="Q179" i="11" s="1"/>
  <c r="O179" i="11"/>
  <c r="N179" i="11"/>
  <c r="AA178" i="11"/>
  <c r="T178" i="11"/>
  <c r="U178" i="11" s="1"/>
  <c r="S178" i="11"/>
  <c r="R178" i="11"/>
  <c r="P178" i="11"/>
  <c r="Q178" i="11" s="1"/>
  <c r="O178" i="11"/>
  <c r="N178" i="11"/>
  <c r="AA177" i="11"/>
  <c r="T177" i="11"/>
  <c r="P177" i="11"/>
  <c r="Q177" i="11" s="1"/>
  <c r="O177" i="11"/>
  <c r="R177" i="11" s="1"/>
  <c r="N177" i="11"/>
  <c r="AA176" i="11"/>
  <c r="T176" i="11"/>
  <c r="V176" i="11" s="1"/>
  <c r="P176" i="11"/>
  <c r="Q176" i="11" s="1"/>
  <c r="O176" i="11"/>
  <c r="R176" i="11" s="1"/>
  <c r="N176" i="11"/>
  <c r="AA175" i="11"/>
  <c r="T175" i="11"/>
  <c r="U175" i="11" s="1"/>
  <c r="Q175" i="11"/>
  <c r="P175" i="11"/>
  <c r="O175" i="11"/>
  <c r="N175" i="11"/>
  <c r="AA174" i="11"/>
  <c r="T174" i="11"/>
  <c r="P174" i="11"/>
  <c r="Q174" i="11" s="1"/>
  <c r="O174" i="11"/>
  <c r="R174" i="11" s="1"/>
  <c r="D174" i="12" s="1"/>
  <c r="N174" i="11"/>
  <c r="AA173" i="11"/>
  <c r="T173" i="11"/>
  <c r="Q173" i="11"/>
  <c r="P173" i="11"/>
  <c r="O173" i="11"/>
  <c r="R173" i="11" s="1"/>
  <c r="N173" i="11"/>
  <c r="AA172" i="11"/>
  <c r="V172" i="11"/>
  <c r="T172" i="11"/>
  <c r="R172" i="11"/>
  <c r="P172" i="11"/>
  <c r="Q172" i="11" s="1"/>
  <c r="O172" i="11"/>
  <c r="N172" i="11"/>
  <c r="AA171" i="11"/>
  <c r="T171" i="11"/>
  <c r="P171" i="11"/>
  <c r="Q171" i="11" s="1"/>
  <c r="O171" i="11"/>
  <c r="N171" i="11"/>
  <c r="AA170" i="11"/>
  <c r="U170" i="11"/>
  <c r="T170" i="11"/>
  <c r="R170" i="11"/>
  <c r="P170" i="11"/>
  <c r="Q170" i="11" s="1"/>
  <c r="O170" i="11"/>
  <c r="N170" i="11"/>
  <c r="AA169" i="11"/>
  <c r="V169" i="11"/>
  <c r="T169" i="11"/>
  <c r="R169" i="11"/>
  <c r="Q169" i="11"/>
  <c r="S169" i="11" s="1"/>
  <c r="P169" i="11"/>
  <c r="O169" i="11"/>
  <c r="N169" i="11"/>
  <c r="AA168" i="11"/>
  <c r="U168" i="11"/>
  <c r="T168" i="11"/>
  <c r="Q168" i="11"/>
  <c r="P168" i="11"/>
  <c r="O168" i="11"/>
  <c r="R168" i="11" s="1"/>
  <c r="N168" i="11"/>
  <c r="AA167" i="11"/>
  <c r="T167" i="11"/>
  <c r="P167" i="11"/>
  <c r="Q167" i="11" s="1"/>
  <c r="O167" i="11"/>
  <c r="N167" i="11"/>
  <c r="AA166" i="11"/>
  <c r="U166" i="11"/>
  <c r="T166" i="11"/>
  <c r="Q166" i="11"/>
  <c r="C166" i="12" s="1"/>
  <c r="P166" i="11"/>
  <c r="O166" i="11"/>
  <c r="N166" i="11"/>
  <c r="R166" i="11" s="1"/>
  <c r="AA165" i="11"/>
  <c r="T165" i="11"/>
  <c r="P165" i="11"/>
  <c r="Q165" i="11" s="1"/>
  <c r="O165" i="11"/>
  <c r="R165" i="11" s="1"/>
  <c r="N165" i="11"/>
  <c r="AA164" i="11"/>
  <c r="T164" i="11"/>
  <c r="R164" i="11"/>
  <c r="S164" i="11" s="1"/>
  <c r="Q164" i="11"/>
  <c r="P164" i="11"/>
  <c r="O164" i="11"/>
  <c r="N164" i="11"/>
  <c r="AA163" i="11"/>
  <c r="T163" i="11"/>
  <c r="P163" i="11"/>
  <c r="Q163" i="11" s="1"/>
  <c r="C163" i="12" s="1"/>
  <c r="O163" i="11"/>
  <c r="N163" i="11"/>
  <c r="AA162" i="11"/>
  <c r="T162" i="11"/>
  <c r="R162" i="11"/>
  <c r="D162" i="12" s="1"/>
  <c r="Q162" i="11"/>
  <c r="P162" i="11"/>
  <c r="O162" i="11"/>
  <c r="N162" i="11"/>
  <c r="AA161" i="11"/>
  <c r="T161" i="11"/>
  <c r="R161" i="11"/>
  <c r="P161" i="11"/>
  <c r="Q161" i="11" s="1"/>
  <c r="O161" i="11"/>
  <c r="N161" i="11"/>
  <c r="AA160" i="11"/>
  <c r="T160" i="11"/>
  <c r="P160" i="11"/>
  <c r="Q160" i="11" s="1"/>
  <c r="O160" i="11"/>
  <c r="N160" i="11"/>
  <c r="AA159" i="11"/>
  <c r="V159" i="11"/>
  <c r="U159" i="11"/>
  <c r="T159" i="11"/>
  <c r="Q159" i="11"/>
  <c r="C159" i="12" s="1"/>
  <c r="P159" i="11"/>
  <c r="O159" i="11"/>
  <c r="R159" i="11" s="1"/>
  <c r="N159" i="11"/>
  <c r="AA158" i="11"/>
  <c r="T158" i="11"/>
  <c r="P158" i="11"/>
  <c r="Q158" i="11" s="1"/>
  <c r="O158" i="11"/>
  <c r="R158" i="11" s="1"/>
  <c r="N158" i="11"/>
  <c r="AA157" i="11"/>
  <c r="U157" i="11"/>
  <c r="T157" i="11"/>
  <c r="Q157" i="11"/>
  <c r="C157" i="12" s="1"/>
  <c r="P157" i="11"/>
  <c r="O157" i="11"/>
  <c r="R157" i="11" s="1"/>
  <c r="N157" i="11"/>
  <c r="AA156" i="11"/>
  <c r="V156" i="11"/>
  <c r="U156" i="11"/>
  <c r="T156" i="11"/>
  <c r="R156" i="11"/>
  <c r="D156" i="12" s="1"/>
  <c r="P156" i="11"/>
  <c r="Q156" i="11" s="1"/>
  <c r="C156" i="12" s="1"/>
  <c r="O156" i="11"/>
  <c r="N156" i="11"/>
  <c r="AA155" i="11"/>
  <c r="T155" i="11"/>
  <c r="R155" i="11"/>
  <c r="P155" i="11"/>
  <c r="Q155" i="11" s="1"/>
  <c r="O155" i="11"/>
  <c r="N155" i="11"/>
  <c r="AA154" i="11"/>
  <c r="T154" i="11"/>
  <c r="P154" i="11"/>
  <c r="Q154" i="11" s="1"/>
  <c r="O154" i="11"/>
  <c r="R154" i="11" s="1"/>
  <c r="N154" i="11"/>
  <c r="AA153" i="11"/>
  <c r="V153" i="11"/>
  <c r="T153" i="11"/>
  <c r="R153" i="11"/>
  <c r="D153" i="12" s="1"/>
  <c r="Q153" i="11"/>
  <c r="C153" i="12" s="1"/>
  <c r="P153" i="11"/>
  <c r="O153" i="11"/>
  <c r="N153" i="11"/>
  <c r="AA152" i="11"/>
  <c r="T152" i="11"/>
  <c r="S152" i="11"/>
  <c r="R152" i="11"/>
  <c r="Q152" i="11"/>
  <c r="P152" i="11"/>
  <c r="O152" i="11"/>
  <c r="N152" i="11"/>
  <c r="AA151" i="11"/>
  <c r="T151" i="11"/>
  <c r="P151" i="11"/>
  <c r="Q151" i="11" s="1"/>
  <c r="O151" i="11"/>
  <c r="R151" i="11" s="1"/>
  <c r="N151" i="11"/>
  <c r="AA150" i="11"/>
  <c r="T150" i="11"/>
  <c r="R150" i="11"/>
  <c r="D150" i="12" s="1"/>
  <c r="Q150" i="11"/>
  <c r="C150" i="12" s="1"/>
  <c r="P150" i="11"/>
  <c r="O150" i="11"/>
  <c r="N150" i="11"/>
  <c r="AA149" i="11"/>
  <c r="T149" i="11"/>
  <c r="U149" i="11" s="1"/>
  <c r="R149" i="11"/>
  <c r="Q149" i="11"/>
  <c r="C149" i="12" s="1"/>
  <c r="P149" i="11"/>
  <c r="O149" i="11"/>
  <c r="N149" i="11"/>
  <c r="AA148" i="11"/>
  <c r="T148" i="11"/>
  <c r="Q148" i="11"/>
  <c r="C148" i="12" s="1"/>
  <c r="P148" i="11"/>
  <c r="O148" i="11"/>
  <c r="R148" i="11" s="1"/>
  <c r="N148" i="11"/>
  <c r="AA147" i="11"/>
  <c r="U147" i="11"/>
  <c r="T147" i="11"/>
  <c r="Q147" i="11"/>
  <c r="C147" i="12" s="1"/>
  <c r="P147" i="11"/>
  <c r="O147" i="11"/>
  <c r="R147" i="11" s="1"/>
  <c r="N147" i="11"/>
  <c r="AA146" i="11"/>
  <c r="T146" i="11"/>
  <c r="P146" i="11"/>
  <c r="Q146" i="11" s="1"/>
  <c r="C146" i="12" s="1"/>
  <c r="O146" i="11"/>
  <c r="R146" i="11" s="1"/>
  <c r="S146" i="11" s="1"/>
  <c r="N146" i="11"/>
  <c r="AA145" i="11"/>
  <c r="T145" i="11"/>
  <c r="P145" i="11"/>
  <c r="Q145" i="11" s="1"/>
  <c r="O145" i="11"/>
  <c r="N145" i="11"/>
  <c r="AA144" i="11"/>
  <c r="T144" i="11"/>
  <c r="P144" i="11"/>
  <c r="Q144" i="11" s="1"/>
  <c r="O144" i="11"/>
  <c r="R144" i="11" s="1"/>
  <c r="D144" i="12" s="1"/>
  <c r="N144" i="11"/>
  <c r="AA143" i="11"/>
  <c r="T143" i="11"/>
  <c r="U143" i="11" s="1"/>
  <c r="Q143" i="11"/>
  <c r="C143" i="12" s="1"/>
  <c r="P143" i="11"/>
  <c r="O143" i="11"/>
  <c r="R143" i="11" s="1"/>
  <c r="V143" i="11" s="1"/>
  <c r="N143" i="11"/>
  <c r="AA142" i="11"/>
  <c r="T142" i="11"/>
  <c r="Q142" i="11"/>
  <c r="P142" i="11"/>
  <c r="O142" i="11"/>
  <c r="R142" i="11" s="1"/>
  <c r="N142" i="11"/>
  <c r="AA141" i="11"/>
  <c r="U141" i="11"/>
  <c r="T141" i="11"/>
  <c r="Q141" i="11"/>
  <c r="C141" i="12" s="1"/>
  <c r="P141" i="11"/>
  <c r="O141" i="11"/>
  <c r="R141" i="11" s="1"/>
  <c r="N141" i="11"/>
  <c r="AA140" i="11"/>
  <c r="V140" i="11"/>
  <c r="T140" i="11"/>
  <c r="R140" i="11"/>
  <c r="D140" i="12" s="1"/>
  <c r="P140" i="11"/>
  <c r="Q140" i="11" s="1"/>
  <c r="C140" i="12" s="1"/>
  <c r="O140" i="11"/>
  <c r="N140" i="11"/>
  <c r="AA139" i="11"/>
  <c r="T139" i="11"/>
  <c r="R139" i="11"/>
  <c r="P139" i="11"/>
  <c r="Q139" i="11" s="1"/>
  <c r="O139" i="11"/>
  <c r="N139" i="11"/>
  <c r="AA138" i="11"/>
  <c r="T138" i="11"/>
  <c r="P138" i="11"/>
  <c r="Q138" i="11" s="1"/>
  <c r="O138" i="11"/>
  <c r="R138" i="11" s="1"/>
  <c r="N138" i="11"/>
  <c r="AA137" i="11"/>
  <c r="V137" i="11"/>
  <c r="T137" i="11"/>
  <c r="R137" i="11"/>
  <c r="D137" i="12" s="1"/>
  <c r="Q137" i="11"/>
  <c r="C137" i="12" s="1"/>
  <c r="P137" i="11"/>
  <c r="O137" i="11"/>
  <c r="N137" i="11"/>
  <c r="AA136" i="11"/>
  <c r="T136" i="11"/>
  <c r="R136" i="11"/>
  <c r="Q136" i="11"/>
  <c r="P136" i="11"/>
  <c r="O136" i="11"/>
  <c r="N136" i="11"/>
  <c r="AA135" i="11"/>
  <c r="T135" i="11"/>
  <c r="P135" i="11"/>
  <c r="Q135" i="11" s="1"/>
  <c r="O135" i="11"/>
  <c r="R135" i="11" s="1"/>
  <c r="N135" i="11"/>
  <c r="AA134" i="11"/>
  <c r="T134" i="11"/>
  <c r="R134" i="11"/>
  <c r="D134" i="12" s="1"/>
  <c r="Q134" i="11"/>
  <c r="C134" i="12" s="1"/>
  <c r="P134" i="11"/>
  <c r="O134" i="11"/>
  <c r="N134" i="11"/>
  <c r="AA133" i="11"/>
  <c r="T133" i="11"/>
  <c r="U133" i="11" s="1"/>
  <c r="S133" i="11"/>
  <c r="R133" i="11"/>
  <c r="Q133" i="11"/>
  <c r="C133" i="12" s="1"/>
  <c r="P133" i="11"/>
  <c r="O133" i="11"/>
  <c r="N133" i="11"/>
  <c r="AA132" i="11"/>
  <c r="T132" i="11"/>
  <c r="Q132" i="11"/>
  <c r="C132" i="12" s="1"/>
  <c r="P132" i="11"/>
  <c r="O132" i="11"/>
  <c r="R132" i="11" s="1"/>
  <c r="N132" i="11"/>
  <c r="AA131" i="11"/>
  <c r="U131" i="11"/>
  <c r="T131" i="11"/>
  <c r="Q131" i="11"/>
  <c r="C131" i="12" s="1"/>
  <c r="P131" i="11"/>
  <c r="O131" i="11"/>
  <c r="R131" i="11" s="1"/>
  <c r="N131" i="11"/>
  <c r="AA130" i="11"/>
  <c r="T130" i="11"/>
  <c r="P130" i="11"/>
  <c r="Q130" i="11" s="1"/>
  <c r="C130" i="12" s="1"/>
  <c r="O130" i="11"/>
  <c r="N130" i="11"/>
  <c r="AA129" i="11"/>
  <c r="T129" i="11"/>
  <c r="P129" i="11"/>
  <c r="Q129" i="11" s="1"/>
  <c r="O129" i="11"/>
  <c r="R129" i="11" s="1"/>
  <c r="N129" i="11"/>
  <c r="AA128" i="11"/>
  <c r="T128" i="11"/>
  <c r="P128" i="11"/>
  <c r="Q128" i="11" s="1"/>
  <c r="O128" i="11"/>
  <c r="R128" i="11" s="1"/>
  <c r="N128" i="11"/>
  <c r="AA127" i="11"/>
  <c r="T127" i="11"/>
  <c r="V127" i="11" s="1"/>
  <c r="Q127" i="11"/>
  <c r="C127" i="12" s="1"/>
  <c r="P127" i="11"/>
  <c r="O127" i="11"/>
  <c r="R127" i="11" s="1"/>
  <c r="N127" i="11"/>
  <c r="AA126" i="11"/>
  <c r="T126" i="11"/>
  <c r="Q126" i="11"/>
  <c r="P126" i="11"/>
  <c r="O126" i="11"/>
  <c r="R126" i="11" s="1"/>
  <c r="N126" i="11"/>
  <c r="AA125" i="11"/>
  <c r="U125" i="11"/>
  <c r="T125" i="11"/>
  <c r="Q125" i="11"/>
  <c r="C125" i="12" s="1"/>
  <c r="P125" i="11"/>
  <c r="O125" i="11"/>
  <c r="N125" i="11"/>
  <c r="AA124" i="11"/>
  <c r="V124" i="11"/>
  <c r="T124" i="11"/>
  <c r="R124" i="11"/>
  <c r="D124" i="12" s="1"/>
  <c r="P124" i="11"/>
  <c r="Q124" i="11" s="1"/>
  <c r="C124" i="12" s="1"/>
  <c r="O124" i="11"/>
  <c r="N124" i="11"/>
  <c r="AA123" i="11"/>
  <c r="T123" i="11"/>
  <c r="R123" i="11"/>
  <c r="P123" i="11"/>
  <c r="Q123" i="11" s="1"/>
  <c r="O123" i="11"/>
  <c r="N123" i="11"/>
  <c r="AA122" i="11"/>
  <c r="V122" i="11"/>
  <c r="T122" i="11"/>
  <c r="P122" i="11"/>
  <c r="Q122" i="11" s="1"/>
  <c r="O122" i="11"/>
  <c r="R122" i="11" s="1"/>
  <c r="N122" i="11"/>
  <c r="AA121" i="11"/>
  <c r="V121" i="11"/>
  <c r="T121" i="11"/>
  <c r="R121" i="11"/>
  <c r="D121" i="12" s="1"/>
  <c r="Q121" i="11"/>
  <c r="P121" i="11"/>
  <c r="O121" i="11"/>
  <c r="N121" i="11"/>
  <c r="AA120" i="11"/>
  <c r="U120" i="11"/>
  <c r="T120" i="11"/>
  <c r="R120" i="11"/>
  <c r="Q120" i="11"/>
  <c r="C120" i="12" s="1"/>
  <c r="P120" i="11"/>
  <c r="O120" i="11"/>
  <c r="N120" i="11"/>
  <c r="AA119" i="11"/>
  <c r="T119" i="11"/>
  <c r="P119" i="11"/>
  <c r="Q119" i="11" s="1"/>
  <c r="O119" i="11"/>
  <c r="N119" i="11"/>
  <c r="AA118" i="11"/>
  <c r="T118" i="11"/>
  <c r="R118" i="11"/>
  <c r="Q118" i="11"/>
  <c r="C118" i="12" s="1"/>
  <c r="P118" i="11"/>
  <c r="O118" i="11"/>
  <c r="N118" i="11"/>
  <c r="AA117" i="11"/>
  <c r="T117" i="11"/>
  <c r="U117" i="11" s="1"/>
  <c r="S117" i="11"/>
  <c r="R117" i="11"/>
  <c r="D117" i="12" s="1"/>
  <c r="Q117" i="11"/>
  <c r="C117" i="12" s="1"/>
  <c r="P117" i="11"/>
  <c r="O117" i="11"/>
  <c r="N117" i="11"/>
  <c r="AA116" i="11"/>
  <c r="T116" i="11"/>
  <c r="Q116" i="11"/>
  <c r="P116" i="11"/>
  <c r="O116" i="11"/>
  <c r="N116" i="11"/>
  <c r="AA115" i="11"/>
  <c r="U115" i="11"/>
  <c r="T115" i="11"/>
  <c r="Q115" i="11"/>
  <c r="C115" i="12" s="1"/>
  <c r="P115" i="11"/>
  <c r="O115" i="11"/>
  <c r="R115" i="11" s="1"/>
  <c r="N115" i="11"/>
  <c r="AA114" i="11"/>
  <c r="U114" i="11"/>
  <c r="T114" i="11"/>
  <c r="P114" i="11"/>
  <c r="Q114" i="11" s="1"/>
  <c r="C114" i="12" s="1"/>
  <c r="O114" i="11"/>
  <c r="N114" i="11"/>
  <c r="AA113" i="11"/>
  <c r="T113" i="11"/>
  <c r="P113" i="11"/>
  <c r="Q113" i="11" s="1"/>
  <c r="O113" i="11"/>
  <c r="R113" i="11" s="1"/>
  <c r="N113" i="11"/>
  <c r="AA112" i="11"/>
  <c r="T112" i="11"/>
  <c r="P112" i="11"/>
  <c r="Q112" i="11" s="1"/>
  <c r="O112" i="11"/>
  <c r="R112" i="11" s="1"/>
  <c r="N112" i="11"/>
  <c r="AA111" i="11"/>
  <c r="U111" i="11"/>
  <c r="T111" i="11"/>
  <c r="Q111" i="11"/>
  <c r="C111" i="12" s="1"/>
  <c r="P111" i="11"/>
  <c r="O111" i="11"/>
  <c r="R111" i="11" s="1"/>
  <c r="N111" i="11"/>
  <c r="AA110" i="11"/>
  <c r="T110" i="11"/>
  <c r="Q110" i="11"/>
  <c r="P110" i="11"/>
  <c r="O110" i="11"/>
  <c r="R110" i="11" s="1"/>
  <c r="N110" i="11"/>
  <c r="AA109" i="11"/>
  <c r="U109" i="11"/>
  <c r="T109" i="11"/>
  <c r="Q109" i="11"/>
  <c r="C109" i="12" s="1"/>
  <c r="P109" i="11"/>
  <c r="O109" i="11"/>
  <c r="R109" i="11" s="1"/>
  <c r="N109" i="11"/>
  <c r="AA108" i="11"/>
  <c r="V108" i="11"/>
  <c r="T108" i="11"/>
  <c r="R108" i="11"/>
  <c r="P108" i="11"/>
  <c r="Q108" i="11" s="1"/>
  <c r="C108" i="12" s="1"/>
  <c r="O108" i="11"/>
  <c r="N108" i="11"/>
  <c r="AA107" i="11"/>
  <c r="T107" i="11"/>
  <c r="R107" i="11"/>
  <c r="P107" i="11"/>
  <c r="Q107" i="11" s="1"/>
  <c r="O107" i="11"/>
  <c r="N107" i="11"/>
  <c r="AA106" i="11"/>
  <c r="T106" i="11"/>
  <c r="P106" i="11"/>
  <c r="Q106" i="11" s="1"/>
  <c r="O106" i="11"/>
  <c r="R106" i="11" s="1"/>
  <c r="N106" i="11"/>
  <c r="AA105" i="11"/>
  <c r="W105" i="11"/>
  <c r="F105" i="12" s="1"/>
  <c r="V105" i="11"/>
  <c r="T105" i="11"/>
  <c r="S105" i="11"/>
  <c r="E105" i="12" s="1"/>
  <c r="R105" i="11"/>
  <c r="D105" i="12" s="1"/>
  <c r="Q105" i="11"/>
  <c r="P105" i="11"/>
  <c r="O105" i="11"/>
  <c r="N105" i="11"/>
  <c r="AA104" i="11"/>
  <c r="U104" i="11"/>
  <c r="T104" i="11"/>
  <c r="Q104" i="11"/>
  <c r="C104" i="12" s="1"/>
  <c r="P104" i="11"/>
  <c r="O104" i="11"/>
  <c r="N104" i="11"/>
  <c r="R104" i="11" s="1"/>
  <c r="AA103" i="11"/>
  <c r="T103" i="11"/>
  <c r="P103" i="11"/>
  <c r="Q103" i="11" s="1"/>
  <c r="O103" i="11"/>
  <c r="N103" i="11"/>
  <c r="AA102" i="11"/>
  <c r="T102" i="11"/>
  <c r="R102" i="11"/>
  <c r="Q102" i="11"/>
  <c r="C102" i="12" s="1"/>
  <c r="P102" i="11"/>
  <c r="O102" i="11"/>
  <c r="N102" i="11"/>
  <c r="AA101" i="11"/>
  <c r="T101" i="11"/>
  <c r="U101" i="11" s="1"/>
  <c r="Q101" i="11"/>
  <c r="C101" i="12" s="1"/>
  <c r="P101" i="11"/>
  <c r="O101" i="11"/>
  <c r="R101" i="11" s="1"/>
  <c r="N101" i="11"/>
  <c r="AA100" i="11"/>
  <c r="T100" i="11"/>
  <c r="Q100" i="11"/>
  <c r="P100" i="11"/>
  <c r="O100" i="11"/>
  <c r="R100" i="11" s="1"/>
  <c r="N100" i="11"/>
  <c r="AA99" i="11"/>
  <c r="U99" i="11"/>
  <c r="T99" i="11"/>
  <c r="S99" i="11"/>
  <c r="Q99" i="11"/>
  <c r="C99" i="12" s="1"/>
  <c r="P99" i="11"/>
  <c r="O99" i="11"/>
  <c r="R99" i="11" s="1"/>
  <c r="N99" i="11"/>
  <c r="AA98" i="11"/>
  <c r="W98" i="11"/>
  <c r="F98" i="12" s="1"/>
  <c r="U98" i="11"/>
  <c r="T98" i="11"/>
  <c r="S98" i="11"/>
  <c r="E98" i="12" s="1"/>
  <c r="P98" i="11"/>
  <c r="Q98" i="11" s="1"/>
  <c r="C98" i="12" s="1"/>
  <c r="O98" i="11"/>
  <c r="R98" i="11" s="1"/>
  <c r="N98" i="11"/>
  <c r="AA97" i="11"/>
  <c r="T97" i="11"/>
  <c r="R97" i="11"/>
  <c r="P97" i="11"/>
  <c r="Q97" i="11" s="1"/>
  <c r="O97" i="11"/>
  <c r="N97" i="11"/>
  <c r="AA96" i="11"/>
  <c r="T96" i="11"/>
  <c r="V96" i="11" s="1"/>
  <c r="R96" i="11"/>
  <c r="D96" i="12" s="1"/>
  <c r="P96" i="11"/>
  <c r="Q96" i="11" s="1"/>
  <c r="O96" i="11"/>
  <c r="N96" i="11"/>
  <c r="AA95" i="11"/>
  <c r="T95" i="11"/>
  <c r="V95" i="11" s="1"/>
  <c r="Q95" i="11"/>
  <c r="C95" i="12" s="1"/>
  <c r="P95" i="11"/>
  <c r="O95" i="11"/>
  <c r="R95" i="11" s="1"/>
  <c r="N95" i="11"/>
  <c r="AA94" i="11"/>
  <c r="T94" i="11"/>
  <c r="P94" i="11"/>
  <c r="Q94" i="11" s="1"/>
  <c r="O94" i="11"/>
  <c r="R94" i="11" s="1"/>
  <c r="N94" i="11"/>
  <c r="AA93" i="11"/>
  <c r="U93" i="11"/>
  <c r="T93" i="11"/>
  <c r="Q93" i="11"/>
  <c r="C93" i="12" s="1"/>
  <c r="P93" i="11"/>
  <c r="O93" i="11"/>
  <c r="R93" i="11" s="1"/>
  <c r="N93" i="11"/>
  <c r="AA92" i="11"/>
  <c r="T92" i="11"/>
  <c r="R92" i="11"/>
  <c r="P92" i="11"/>
  <c r="Q92" i="11" s="1"/>
  <c r="C92" i="12" s="1"/>
  <c r="O92" i="11"/>
  <c r="N92" i="11"/>
  <c r="AA91" i="11"/>
  <c r="T91" i="11"/>
  <c r="R91" i="11"/>
  <c r="P91" i="11"/>
  <c r="Q91" i="11" s="1"/>
  <c r="O91" i="11"/>
  <c r="N91" i="11"/>
  <c r="AA90" i="11"/>
  <c r="T90" i="11"/>
  <c r="R90" i="11"/>
  <c r="P90" i="11"/>
  <c r="Q90" i="11" s="1"/>
  <c r="O90" i="11"/>
  <c r="N90" i="11"/>
  <c r="AA89" i="11"/>
  <c r="V89" i="11"/>
  <c r="T89" i="11"/>
  <c r="R89" i="11"/>
  <c r="D89" i="12" s="1"/>
  <c r="Q89" i="11"/>
  <c r="P89" i="11"/>
  <c r="O89" i="11"/>
  <c r="N89" i="11"/>
  <c r="AA88" i="11"/>
  <c r="U88" i="11"/>
  <c r="T88" i="11"/>
  <c r="S88" i="11"/>
  <c r="R88" i="11"/>
  <c r="Q88" i="11"/>
  <c r="C88" i="12" s="1"/>
  <c r="P88" i="11"/>
  <c r="O88" i="11"/>
  <c r="N88" i="11"/>
  <c r="AA87" i="11"/>
  <c r="T87" i="11"/>
  <c r="S87" i="11"/>
  <c r="E87" i="12" s="1"/>
  <c r="P87" i="11"/>
  <c r="Q87" i="11" s="1"/>
  <c r="O87" i="11"/>
  <c r="R87" i="11" s="1"/>
  <c r="N87" i="11"/>
  <c r="AA86" i="11"/>
  <c r="T86" i="11"/>
  <c r="R86" i="11"/>
  <c r="Q86" i="11"/>
  <c r="C86" i="12" s="1"/>
  <c r="P86" i="11"/>
  <c r="O86" i="11"/>
  <c r="N86" i="11"/>
  <c r="AA85" i="11"/>
  <c r="T85" i="11"/>
  <c r="R85" i="11"/>
  <c r="D85" i="12" s="1"/>
  <c r="Q85" i="11"/>
  <c r="C85" i="12" s="1"/>
  <c r="P85" i="11"/>
  <c r="O85" i="11"/>
  <c r="N85" i="11"/>
  <c r="AA84" i="11"/>
  <c r="T84" i="11"/>
  <c r="Q84" i="11"/>
  <c r="P84" i="11"/>
  <c r="O84" i="11"/>
  <c r="N84" i="11"/>
  <c r="AA83" i="11"/>
  <c r="U83" i="11"/>
  <c r="T83" i="11"/>
  <c r="S83" i="11"/>
  <c r="Q83" i="11"/>
  <c r="C83" i="12" s="1"/>
  <c r="P83" i="11"/>
  <c r="O83" i="11"/>
  <c r="R83" i="11" s="1"/>
  <c r="N83" i="11"/>
  <c r="AA82" i="11"/>
  <c r="T82" i="11"/>
  <c r="P82" i="11"/>
  <c r="Q82" i="11" s="1"/>
  <c r="C82" i="12" s="1"/>
  <c r="O82" i="11"/>
  <c r="N82" i="11"/>
  <c r="AA81" i="11"/>
  <c r="T81" i="11"/>
  <c r="P81" i="11"/>
  <c r="Q81" i="11" s="1"/>
  <c r="C81" i="12" s="1"/>
  <c r="O81" i="11"/>
  <c r="R81" i="11" s="1"/>
  <c r="N81" i="11"/>
  <c r="AA80" i="11"/>
  <c r="T80" i="11"/>
  <c r="V80" i="11" s="1"/>
  <c r="R80" i="11"/>
  <c r="D80" i="12" s="1"/>
  <c r="P80" i="11"/>
  <c r="Q80" i="11" s="1"/>
  <c r="O80" i="11"/>
  <c r="N80" i="11"/>
  <c r="AA79" i="11"/>
  <c r="U79" i="11"/>
  <c r="T79" i="11"/>
  <c r="Q79" i="11"/>
  <c r="C79" i="12" s="1"/>
  <c r="P79" i="11"/>
  <c r="O79" i="11"/>
  <c r="R79" i="11" s="1"/>
  <c r="N79" i="11"/>
  <c r="AA78" i="11"/>
  <c r="V78" i="11"/>
  <c r="T78" i="11"/>
  <c r="P78" i="11"/>
  <c r="Q78" i="11" s="1"/>
  <c r="O78" i="11"/>
  <c r="R78" i="11" s="1"/>
  <c r="D78" i="12" s="1"/>
  <c r="N78" i="11"/>
  <c r="AA77" i="11"/>
  <c r="U77" i="11"/>
  <c r="T77" i="11"/>
  <c r="Q77" i="11"/>
  <c r="C77" i="12" s="1"/>
  <c r="P77" i="11"/>
  <c r="O77" i="11"/>
  <c r="N77" i="11"/>
  <c r="AA76" i="11"/>
  <c r="T76" i="11"/>
  <c r="R76" i="11"/>
  <c r="P76" i="11"/>
  <c r="Q76" i="11" s="1"/>
  <c r="C76" i="12" s="1"/>
  <c r="O76" i="11"/>
  <c r="N76" i="11"/>
  <c r="AA75" i="11"/>
  <c r="T75" i="11"/>
  <c r="R75" i="11"/>
  <c r="P75" i="11"/>
  <c r="Q75" i="11" s="1"/>
  <c r="O75" i="11"/>
  <c r="N75" i="11"/>
  <c r="AA74" i="11"/>
  <c r="T74" i="11"/>
  <c r="P74" i="11"/>
  <c r="Q74" i="11" s="1"/>
  <c r="O74" i="11"/>
  <c r="R74" i="11" s="1"/>
  <c r="N74" i="11"/>
  <c r="AA73" i="11"/>
  <c r="T73" i="11"/>
  <c r="Q73" i="11"/>
  <c r="P73" i="11"/>
  <c r="O73" i="11"/>
  <c r="R73" i="11" s="1"/>
  <c r="D73" i="12" s="1"/>
  <c r="N73" i="11"/>
  <c r="AA72" i="11"/>
  <c r="T72" i="11"/>
  <c r="Q72" i="11"/>
  <c r="C72" i="12" s="1"/>
  <c r="P72" i="11"/>
  <c r="O72" i="11"/>
  <c r="N72" i="11"/>
  <c r="R72" i="11" s="1"/>
  <c r="AA71" i="11"/>
  <c r="T71" i="11"/>
  <c r="P71" i="11"/>
  <c r="Q71" i="11" s="1"/>
  <c r="O71" i="11"/>
  <c r="R71" i="11" s="1"/>
  <c r="N71" i="11"/>
  <c r="AA70" i="11"/>
  <c r="T70" i="11"/>
  <c r="R70" i="11"/>
  <c r="P70" i="11"/>
  <c r="Q70" i="11" s="1"/>
  <c r="O70" i="11"/>
  <c r="N70" i="11"/>
  <c r="AA69" i="11"/>
  <c r="T69" i="11"/>
  <c r="R69" i="11"/>
  <c r="D69" i="12" s="1"/>
  <c r="Q69" i="11"/>
  <c r="C69" i="12" s="1"/>
  <c r="P69" i="11"/>
  <c r="O69" i="11"/>
  <c r="N69" i="11"/>
  <c r="AA68" i="11"/>
  <c r="T68" i="11"/>
  <c r="Q68" i="11"/>
  <c r="P68" i="11"/>
  <c r="O68" i="11"/>
  <c r="R68" i="11" s="1"/>
  <c r="N68" i="11"/>
  <c r="AA67" i="11"/>
  <c r="U67" i="11"/>
  <c r="T67" i="11"/>
  <c r="Q67" i="11"/>
  <c r="C67" i="12" s="1"/>
  <c r="P67" i="11"/>
  <c r="O67" i="11"/>
  <c r="R67" i="11" s="1"/>
  <c r="S67" i="11" s="1"/>
  <c r="N67" i="11"/>
  <c r="AA66" i="11"/>
  <c r="T66" i="11"/>
  <c r="R66" i="11"/>
  <c r="P66" i="11"/>
  <c r="Q66" i="11" s="1"/>
  <c r="C66" i="12" s="1"/>
  <c r="O66" i="11"/>
  <c r="N66" i="11"/>
  <c r="AA65" i="11"/>
  <c r="T65" i="11"/>
  <c r="R65" i="11"/>
  <c r="P65" i="11"/>
  <c r="Q65" i="11" s="1"/>
  <c r="C65" i="12" s="1"/>
  <c r="O65" i="11"/>
  <c r="N65" i="11"/>
  <c r="AA64" i="11"/>
  <c r="T64" i="11"/>
  <c r="S64" i="11"/>
  <c r="R64" i="11"/>
  <c r="D64" i="12" s="1"/>
  <c r="P64" i="11"/>
  <c r="Q64" i="11" s="1"/>
  <c r="C64" i="12" s="1"/>
  <c r="O64" i="11"/>
  <c r="N64" i="11"/>
  <c r="AA63" i="11"/>
  <c r="T63" i="11"/>
  <c r="P63" i="11"/>
  <c r="Q63" i="11" s="1"/>
  <c r="O63" i="11"/>
  <c r="R63" i="11" s="1"/>
  <c r="D63" i="12" s="1"/>
  <c r="N63" i="11"/>
  <c r="AA62" i="11"/>
  <c r="T62" i="11"/>
  <c r="S62" i="11"/>
  <c r="Q62" i="11"/>
  <c r="P62" i="11"/>
  <c r="O62" i="11"/>
  <c r="R62" i="11" s="1"/>
  <c r="D62" i="12" s="1"/>
  <c r="N62" i="11"/>
  <c r="AA61" i="11"/>
  <c r="U61" i="11"/>
  <c r="T61" i="11"/>
  <c r="Q61" i="11"/>
  <c r="C61" i="12" s="1"/>
  <c r="P61" i="11"/>
  <c r="O61" i="11"/>
  <c r="N61" i="11"/>
  <c r="AA60" i="11"/>
  <c r="T60" i="11"/>
  <c r="P60" i="11"/>
  <c r="Q60" i="11" s="1"/>
  <c r="O60" i="11"/>
  <c r="R60" i="11" s="1"/>
  <c r="N60" i="11"/>
  <c r="AA59" i="11"/>
  <c r="T59" i="11"/>
  <c r="P59" i="11"/>
  <c r="Q59" i="11" s="1"/>
  <c r="O59" i="11"/>
  <c r="R59" i="11" s="1"/>
  <c r="N59" i="11"/>
  <c r="AA58" i="11"/>
  <c r="T58" i="11"/>
  <c r="P58" i="11"/>
  <c r="Q58" i="11" s="1"/>
  <c r="C58" i="12" s="1"/>
  <c r="O58" i="11"/>
  <c r="R58" i="11" s="1"/>
  <c r="N58" i="11"/>
  <c r="AA57" i="11"/>
  <c r="T57" i="11"/>
  <c r="S57" i="11"/>
  <c r="E57" i="12" s="1"/>
  <c r="R57" i="11"/>
  <c r="D57" i="12" s="1"/>
  <c r="Q57" i="11"/>
  <c r="C57" i="12" s="1"/>
  <c r="P57" i="11"/>
  <c r="O57" i="11"/>
  <c r="N57" i="11"/>
  <c r="AA56" i="11"/>
  <c r="U56" i="11"/>
  <c r="T56" i="11"/>
  <c r="Q56" i="11"/>
  <c r="C56" i="12" s="1"/>
  <c r="P56" i="11"/>
  <c r="O56" i="11"/>
  <c r="N56" i="11"/>
  <c r="R56" i="11" s="1"/>
  <c r="AA55" i="11"/>
  <c r="U55" i="11"/>
  <c r="T55" i="11"/>
  <c r="P55" i="11"/>
  <c r="Q55" i="11" s="1"/>
  <c r="C55" i="12" s="1"/>
  <c r="O55" i="11"/>
  <c r="N55" i="11"/>
  <c r="AA54" i="11"/>
  <c r="T54" i="11"/>
  <c r="P54" i="11"/>
  <c r="Q54" i="11" s="1"/>
  <c r="O54" i="11"/>
  <c r="N54" i="11"/>
  <c r="R54" i="11" s="1"/>
  <c r="AA53" i="11"/>
  <c r="T53" i="11"/>
  <c r="Q53" i="11"/>
  <c r="P53" i="11"/>
  <c r="O53" i="11"/>
  <c r="R53" i="11" s="1"/>
  <c r="N53" i="11"/>
  <c r="AA52" i="11"/>
  <c r="T52" i="11"/>
  <c r="Q52" i="11"/>
  <c r="P52" i="11"/>
  <c r="O52" i="11"/>
  <c r="R52" i="11" s="1"/>
  <c r="N52" i="11"/>
  <c r="AA51" i="11"/>
  <c r="T51" i="11"/>
  <c r="R51" i="11"/>
  <c r="Q51" i="11"/>
  <c r="C51" i="12" s="1"/>
  <c r="P51" i="11"/>
  <c r="O51" i="11"/>
  <c r="N51" i="11"/>
  <c r="AA50" i="11"/>
  <c r="T50" i="11"/>
  <c r="S50" i="11"/>
  <c r="E50" i="12" s="1"/>
  <c r="R50" i="11"/>
  <c r="P50" i="11"/>
  <c r="Q50" i="11" s="1"/>
  <c r="C50" i="12" s="1"/>
  <c r="O50" i="11"/>
  <c r="N50" i="11"/>
  <c r="AA49" i="11"/>
  <c r="U49" i="11"/>
  <c r="T49" i="11"/>
  <c r="P49" i="11"/>
  <c r="Q49" i="11" s="1"/>
  <c r="C49" i="12" s="1"/>
  <c r="O49" i="11"/>
  <c r="R49" i="11" s="1"/>
  <c r="N49" i="11"/>
  <c r="AA48" i="11"/>
  <c r="T48" i="11"/>
  <c r="U48" i="11" s="1"/>
  <c r="S48" i="11"/>
  <c r="R48" i="11"/>
  <c r="D48" i="12" s="1"/>
  <c r="P48" i="11"/>
  <c r="Q48" i="11" s="1"/>
  <c r="C48" i="12" s="1"/>
  <c r="O48" i="11"/>
  <c r="N48" i="11"/>
  <c r="AA47" i="11"/>
  <c r="U47" i="11"/>
  <c r="T47" i="11"/>
  <c r="Q47" i="11"/>
  <c r="C47" i="12" s="1"/>
  <c r="P47" i="11"/>
  <c r="O47" i="11"/>
  <c r="N47" i="11"/>
  <c r="AA46" i="11"/>
  <c r="T46" i="11"/>
  <c r="Q46" i="11"/>
  <c r="P46" i="11"/>
  <c r="O46" i="11"/>
  <c r="N46" i="11"/>
  <c r="AA45" i="11"/>
  <c r="U45" i="11"/>
  <c r="T45" i="11"/>
  <c r="Q45" i="11"/>
  <c r="C45" i="12" s="1"/>
  <c r="P45" i="11"/>
  <c r="O45" i="11"/>
  <c r="N45" i="11"/>
  <c r="AA44" i="11"/>
  <c r="T44" i="11"/>
  <c r="R44" i="11"/>
  <c r="P44" i="11"/>
  <c r="Q44" i="11" s="1"/>
  <c r="O44" i="11"/>
  <c r="N44" i="11"/>
  <c r="AA43" i="11"/>
  <c r="T43" i="11"/>
  <c r="P43" i="11"/>
  <c r="Q43" i="11" s="1"/>
  <c r="O43" i="11"/>
  <c r="R43" i="11" s="1"/>
  <c r="N43" i="11"/>
  <c r="AA42" i="11"/>
  <c r="T42" i="11"/>
  <c r="U42" i="11" s="1"/>
  <c r="R42" i="11"/>
  <c r="V42" i="11" s="1"/>
  <c r="P42" i="11"/>
  <c r="Q42" i="11" s="1"/>
  <c r="C42" i="12" s="1"/>
  <c r="O42" i="11"/>
  <c r="N42" i="11"/>
  <c r="AA41" i="11"/>
  <c r="U41" i="11"/>
  <c r="T41" i="11"/>
  <c r="R41" i="11"/>
  <c r="D41" i="12" s="1"/>
  <c r="Q41" i="11"/>
  <c r="C41" i="12" s="1"/>
  <c r="P41" i="11"/>
  <c r="O41" i="11"/>
  <c r="N41" i="11"/>
  <c r="AA40" i="11"/>
  <c r="T40" i="11"/>
  <c r="P40" i="11"/>
  <c r="Q40" i="11" s="1"/>
  <c r="O40" i="11"/>
  <c r="N40" i="11"/>
  <c r="R40" i="11" s="1"/>
  <c r="AA39" i="11"/>
  <c r="T39" i="11"/>
  <c r="P39" i="11"/>
  <c r="Q39" i="11" s="1"/>
  <c r="C39" i="12" s="1"/>
  <c r="O39" i="11"/>
  <c r="N39" i="11"/>
  <c r="AA38" i="11"/>
  <c r="T38" i="11"/>
  <c r="P38" i="11"/>
  <c r="Q38" i="11" s="1"/>
  <c r="O38" i="11"/>
  <c r="N38" i="11"/>
  <c r="R38" i="11" s="1"/>
  <c r="AA37" i="11"/>
  <c r="T37" i="11"/>
  <c r="R37" i="11"/>
  <c r="D37" i="12" s="1"/>
  <c r="Q37" i="11"/>
  <c r="C37" i="12" s="1"/>
  <c r="P37" i="11"/>
  <c r="O37" i="11"/>
  <c r="N37" i="11"/>
  <c r="AA36" i="11"/>
  <c r="T36" i="11"/>
  <c r="P36" i="11"/>
  <c r="Q36" i="11" s="1"/>
  <c r="O36" i="11"/>
  <c r="R36" i="11" s="1"/>
  <c r="N36" i="11"/>
  <c r="AA35" i="11"/>
  <c r="T35" i="11"/>
  <c r="U35" i="11" s="1"/>
  <c r="R35" i="11"/>
  <c r="Q35" i="11"/>
  <c r="C35" i="12" s="1"/>
  <c r="P35" i="11"/>
  <c r="O35" i="11"/>
  <c r="N35" i="11"/>
  <c r="AA34" i="11"/>
  <c r="T34" i="11"/>
  <c r="P34" i="11"/>
  <c r="Q34" i="11" s="1"/>
  <c r="C34" i="12" s="1"/>
  <c r="O34" i="11"/>
  <c r="R34" i="11" s="1"/>
  <c r="N34" i="11"/>
  <c r="AA33" i="11"/>
  <c r="T33" i="11"/>
  <c r="P33" i="11"/>
  <c r="Q33" i="11" s="1"/>
  <c r="O33" i="11"/>
  <c r="R33" i="11" s="1"/>
  <c r="N33" i="11"/>
  <c r="AA32" i="11"/>
  <c r="T32" i="11"/>
  <c r="R32" i="11"/>
  <c r="D32" i="12" s="1"/>
  <c r="P32" i="11"/>
  <c r="Q32" i="11" s="1"/>
  <c r="C32" i="12" s="1"/>
  <c r="O32" i="11"/>
  <c r="N32" i="11"/>
  <c r="AA31" i="11"/>
  <c r="T31" i="11"/>
  <c r="P31" i="11"/>
  <c r="Q31" i="11" s="1"/>
  <c r="O31" i="11"/>
  <c r="R31" i="11" s="1"/>
  <c r="D31" i="12" s="1"/>
  <c r="N31" i="11"/>
  <c r="AA30" i="11"/>
  <c r="V30" i="11"/>
  <c r="T30" i="11"/>
  <c r="S30" i="11"/>
  <c r="R30" i="11"/>
  <c r="D30" i="12" s="1"/>
  <c r="Q30" i="11"/>
  <c r="P30" i="11"/>
  <c r="O30" i="11"/>
  <c r="N30" i="11"/>
  <c r="AA29" i="11"/>
  <c r="T29" i="11"/>
  <c r="U29" i="11" s="1"/>
  <c r="Q29" i="11"/>
  <c r="C29" i="12" s="1"/>
  <c r="P29" i="11"/>
  <c r="O29" i="11"/>
  <c r="N29" i="11"/>
  <c r="AA28" i="11"/>
  <c r="T28" i="11"/>
  <c r="P28" i="11"/>
  <c r="Q28" i="11" s="1"/>
  <c r="O28" i="11"/>
  <c r="R28" i="11" s="1"/>
  <c r="N28" i="11"/>
  <c r="AA27" i="11"/>
  <c r="T27" i="11"/>
  <c r="R27" i="11"/>
  <c r="P27" i="11"/>
  <c r="Q27" i="11" s="1"/>
  <c r="O27" i="11"/>
  <c r="N27" i="11"/>
  <c r="AA26" i="11"/>
  <c r="T26" i="11"/>
  <c r="P26" i="11"/>
  <c r="Q26" i="11" s="1"/>
  <c r="C26" i="12" s="1"/>
  <c r="O26" i="11"/>
  <c r="N26" i="11"/>
  <c r="R26" i="11" s="1"/>
  <c r="AA25" i="11"/>
  <c r="V25" i="11"/>
  <c r="U25" i="11"/>
  <c r="T25" i="11"/>
  <c r="R25" i="11"/>
  <c r="D25" i="12" s="1"/>
  <c r="Q25" i="11"/>
  <c r="C25" i="12" s="1"/>
  <c r="P25" i="11"/>
  <c r="O25" i="11"/>
  <c r="N25" i="11"/>
  <c r="AA24" i="11"/>
  <c r="U24" i="11"/>
  <c r="T24" i="11"/>
  <c r="Q24" i="11"/>
  <c r="C24" i="12" s="1"/>
  <c r="P24" i="11"/>
  <c r="O24" i="11"/>
  <c r="N24" i="11"/>
  <c r="R24" i="11" s="1"/>
  <c r="AA23" i="11"/>
  <c r="U23" i="11"/>
  <c r="T23" i="11"/>
  <c r="P23" i="11"/>
  <c r="Q23" i="11" s="1"/>
  <c r="C23" i="12" s="1"/>
  <c r="O23" i="11"/>
  <c r="N23" i="11"/>
  <c r="AA22" i="11"/>
  <c r="T22" i="11"/>
  <c r="R22" i="11"/>
  <c r="D22" i="12" s="1"/>
  <c r="P22" i="11"/>
  <c r="Q22" i="11" s="1"/>
  <c r="O22" i="11"/>
  <c r="N22" i="11"/>
  <c r="AA21" i="11"/>
  <c r="T21" i="11"/>
  <c r="Q21" i="11"/>
  <c r="C21" i="12" s="1"/>
  <c r="P21" i="11"/>
  <c r="O21" i="11"/>
  <c r="R21" i="11" s="1"/>
  <c r="N21" i="11"/>
  <c r="AA20" i="11"/>
  <c r="T20" i="11"/>
  <c r="V20" i="11" s="1"/>
  <c r="P20" i="11"/>
  <c r="Q20" i="11" s="1"/>
  <c r="O20" i="11"/>
  <c r="R20" i="11" s="1"/>
  <c r="N20" i="11"/>
  <c r="AA19" i="11"/>
  <c r="T19" i="11"/>
  <c r="S19" i="11"/>
  <c r="E19" i="12" s="1"/>
  <c r="R19" i="11"/>
  <c r="Q19" i="11"/>
  <c r="C19" i="12" s="1"/>
  <c r="P19" i="11"/>
  <c r="O19" i="11"/>
  <c r="N19" i="11"/>
  <c r="AA18" i="11"/>
  <c r="U18" i="11"/>
  <c r="T18" i="11"/>
  <c r="P18" i="11"/>
  <c r="Q18" i="11" s="1"/>
  <c r="C18" i="12" s="1"/>
  <c r="O18" i="11"/>
  <c r="R18" i="11" s="1"/>
  <c r="N18" i="11"/>
  <c r="AA17" i="11"/>
  <c r="T17" i="11"/>
  <c r="P17" i="11"/>
  <c r="Q17" i="11" s="1"/>
  <c r="O17" i="11"/>
  <c r="R17" i="11" s="1"/>
  <c r="N17" i="11"/>
  <c r="AA16" i="11"/>
  <c r="T16" i="11"/>
  <c r="P16" i="11"/>
  <c r="Q16" i="11" s="1"/>
  <c r="C16" i="12" s="1"/>
  <c r="O16" i="11"/>
  <c r="R16" i="11" s="1"/>
  <c r="N16" i="11"/>
  <c r="AA15" i="11"/>
  <c r="T15" i="11"/>
  <c r="P15" i="11"/>
  <c r="Q15" i="11" s="1"/>
  <c r="O15" i="11"/>
  <c r="R15" i="11" s="1"/>
  <c r="D15" i="12" s="1"/>
  <c r="N15" i="11"/>
  <c r="AA14" i="11"/>
  <c r="T14" i="11"/>
  <c r="Q14" i="11"/>
  <c r="C14" i="12" s="1"/>
  <c r="P14" i="11"/>
  <c r="O14" i="11"/>
  <c r="N14" i="11"/>
  <c r="R14" i="11" s="1"/>
  <c r="AA13" i="11"/>
  <c r="U13" i="11"/>
  <c r="T13" i="11"/>
  <c r="Q13" i="11"/>
  <c r="C13" i="12" s="1"/>
  <c r="P13" i="11"/>
  <c r="O13" i="11"/>
  <c r="N13" i="11"/>
  <c r="AA12" i="11"/>
  <c r="T12" i="11"/>
  <c r="R12" i="11"/>
  <c r="V12" i="11" s="1"/>
  <c r="P12" i="11"/>
  <c r="Q12" i="11" s="1"/>
  <c r="O12" i="11"/>
  <c r="N12" i="11"/>
  <c r="AA11" i="11"/>
  <c r="T11" i="11"/>
  <c r="Q11" i="11"/>
  <c r="P11" i="11"/>
  <c r="O11" i="11"/>
  <c r="R11" i="11" s="1"/>
  <c r="N11" i="11"/>
  <c r="AA10" i="11"/>
  <c r="V10" i="11"/>
  <c r="U10" i="11"/>
  <c r="T10" i="11"/>
  <c r="R10" i="11"/>
  <c r="Q10" i="11"/>
  <c r="C10" i="12" s="1"/>
  <c r="P10" i="11"/>
  <c r="O10" i="11"/>
  <c r="N10" i="11"/>
  <c r="AA9" i="11"/>
  <c r="T9" i="11"/>
  <c r="P9" i="11"/>
  <c r="Q9" i="11" s="1"/>
  <c r="O9" i="11"/>
  <c r="R9" i="11" s="1"/>
  <c r="N9" i="11"/>
  <c r="AA8" i="11"/>
  <c r="T8" i="11"/>
  <c r="P8" i="11"/>
  <c r="Q8" i="11" s="1"/>
  <c r="O8" i="11"/>
  <c r="N8" i="11"/>
  <c r="R8" i="11" s="1"/>
  <c r="AA7" i="11"/>
  <c r="V7" i="11"/>
  <c r="U7" i="11"/>
  <c r="T7" i="11"/>
  <c r="R7" i="11"/>
  <c r="D7" i="12" s="1"/>
  <c r="P7" i="11"/>
  <c r="Q7" i="11" s="1"/>
  <c r="C7" i="12" s="1"/>
  <c r="O7" i="11"/>
  <c r="N7" i="11"/>
  <c r="AA6" i="11"/>
  <c r="T6" i="11"/>
  <c r="Q6" i="11"/>
  <c r="P6" i="11"/>
  <c r="O6" i="11"/>
  <c r="N6" i="11"/>
  <c r="R6" i="11" s="1"/>
  <c r="AA5" i="11"/>
  <c r="U5" i="11"/>
  <c r="T5" i="11"/>
  <c r="Q5" i="11"/>
  <c r="C5" i="12" s="1"/>
  <c r="P5" i="11"/>
  <c r="O5" i="11"/>
  <c r="R5" i="11" s="1"/>
  <c r="N5" i="11"/>
  <c r="AA4" i="11"/>
  <c r="T4" i="11"/>
  <c r="R4" i="11"/>
  <c r="D4" i="12" s="1"/>
  <c r="P4" i="11"/>
  <c r="Q4" i="11" s="1"/>
  <c r="O4" i="11"/>
  <c r="N4" i="11"/>
  <c r="AA3" i="11"/>
  <c r="T3" i="11"/>
  <c r="Q3" i="11"/>
  <c r="C3" i="12" s="1"/>
  <c r="P3" i="11"/>
  <c r="O3" i="11"/>
  <c r="N3" i="11"/>
  <c r="R3" i="11" s="1"/>
  <c r="AA2" i="11"/>
  <c r="U2" i="11"/>
  <c r="T2" i="11"/>
  <c r="P2" i="11"/>
  <c r="Q2" i="11" s="1"/>
  <c r="C2" i="12" s="1"/>
  <c r="O2" i="11"/>
  <c r="R2" i="11" s="1"/>
  <c r="N2" i="11"/>
  <c r="J1275" i="10"/>
  <c r="I1275" i="10"/>
  <c r="J1274" i="10"/>
  <c r="I1274" i="10"/>
  <c r="J1273" i="10"/>
  <c r="I1273" i="10"/>
  <c r="J1272" i="10"/>
  <c r="I1272" i="10"/>
  <c r="J1271" i="10"/>
  <c r="I1271" i="10"/>
  <c r="J1270" i="10"/>
  <c r="I1270" i="10"/>
  <c r="J1269" i="10"/>
  <c r="I1269" i="10"/>
  <c r="J1268" i="10"/>
  <c r="I1268" i="10"/>
  <c r="J1267" i="10"/>
  <c r="I1267" i="10"/>
  <c r="J1266" i="10"/>
  <c r="I1266" i="10"/>
  <c r="J1265" i="10"/>
  <c r="I1265" i="10"/>
  <c r="J1264" i="10"/>
  <c r="I1264" i="10"/>
  <c r="J1263" i="10"/>
  <c r="I1263" i="10"/>
  <c r="J1262" i="10"/>
  <c r="I1262" i="10"/>
  <c r="J1261" i="10"/>
  <c r="I1261" i="10"/>
  <c r="J1260" i="10"/>
  <c r="I1260" i="10"/>
  <c r="J1259" i="10"/>
  <c r="I1259" i="10"/>
  <c r="J1258" i="10"/>
  <c r="I1258" i="10"/>
  <c r="J1257" i="10"/>
  <c r="I1257" i="10"/>
  <c r="J1256" i="10"/>
  <c r="I1256" i="10"/>
  <c r="J1255" i="10"/>
  <c r="I1255" i="10"/>
  <c r="J1254" i="10"/>
  <c r="I1254" i="10"/>
  <c r="J1253" i="10"/>
  <c r="I1253" i="10"/>
  <c r="J1252" i="10"/>
  <c r="I1252" i="10"/>
  <c r="J1251" i="10"/>
  <c r="I1251" i="10"/>
  <c r="J1250" i="10"/>
  <c r="I1250" i="10"/>
  <c r="J1249" i="10"/>
  <c r="I1249" i="10"/>
  <c r="J1248" i="10"/>
  <c r="I1248" i="10"/>
  <c r="J1247" i="10"/>
  <c r="I1247" i="10"/>
  <c r="J1246" i="10"/>
  <c r="I1246" i="10"/>
  <c r="J1245" i="10"/>
  <c r="I1245" i="10"/>
  <c r="J1244" i="10"/>
  <c r="I1244" i="10"/>
  <c r="J1243" i="10"/>
  <c r="I1243" i="10"/>
  <c r="J1242" i="10"/>
  <c r="I1242" i="10"/>
  <c r="J1241" i="10"/>
  <c r="I1241" i="10"/>
  <c r="J1240" i="10"/>
  <c r="I1240" i="10"/>
  <c r="J1239" i="10"/>
  <c r="I1239" i="10"/>
  <c r="J1238" i="10"/>
  <c r="I1238" i="10"/>
  <c r="J1237" i="10"/>
  <c r="I1237" i="10"/>
  <c r="J1236" i="10"/>
  <c r="I1236" i="10"/>
  <c r="J1235" i="10"/>
  <c r="I1235" i="10"/>
  <c r="J1234" i="10"/>
  <c r="I1234" i="10"/>
  <c r="J1233" i="10"/>
  <c r="I1233" i="10"/>
  <c r="J1232" i="10"/>
  <c r="I1232" i="10"/>
  <c r="J1231" i="10"/>
  <c r="I1231" i="10"/>
  <c r="J1230" i="10"/>
  <c r="I1230" i="10"/>
  <c r="J1229" i="10"/>
  <c r="I1229" i="10"/>
  <c r="J1228" i="10"/>
  <c r="I1228" i="10"/>
  <c r="J1227" i="10"/>
  <c r="I1227" i="10"/>
  <c r="J1226" i="10"/>
  <c r="I1226" i="10"/>
  <c r="J1225" i="10"/>
  <c r="I1225" i="10"/>
  <c r="J1224" i="10"/>
  <c r="I1224" i="10"/>
  <c r="J1223" i="10"/>
  <c r="I1223" i="10"/>
  <c r="J1222" i="10"/>
  <c r="I1222" i="10"/>
  <c r="J1221" i="10"/>
  <c r="I1221" i="10"/>
  <c r="J1220" i="10"/>
  <c r="I1220" i="10"/>
  <c r="J1219" i="10"/>
  <c r="I1219" i="10"/>
  <c r="J1218" i="10"/>
  <c r="I1218" i="10"/>
  <c r="J1217" i="10"/>
  <c r="I1217" i="10"/>
  <c r="J1216" i="10"/>
  <c r="I1216" i="10"/>
  <c r="J1215" i="10"/>
  <c r="I1215" i="10"/>
  <c r="J1214" i="10"/>
  <c r="I1214" i="10"/>
  <c r="J1213" i="10"/>
  <c r="I1213" i="10"/>
  <c r="J1212" i="10"/>
  <c r="I1212" i="10"/>
  <c r="J1211" i="10"/>
  <c r="I1211" i="10"/>
  <c r="J1210" i="10"/>
  <c r="I1210" i="10"/>
  <c r="J1209" i="10"/>
  <c r="I1209" i="10"/>
  <c r="J1208" i="10"/>
  <c r="I1208" i="10"/>
  <c r="J1207" i="10"/>
  <c r="I1207" i="10"/>
  <c r="J1206" i="10"/>
  <c r="I1206" i="10"/>
  <c r="J1205" i="10"/>
  <c r="I1205" i="10"/>
  <c r="J1204" i="10"/>
  <c r="I1204" i="10"/>
  <c r="J1203" i="10"/>
  <c r="I1203" i="10"/>
  <c r="J1202" i="10"/>
  <c r="I1202" i="10"/>
  <c r="J1201" i="10"/>
  <c r="I1201" i="10"/>
  <c r="J1200" i="10"/>
  <c r="I1200" i="10"/>
  <c r="J1199" i="10"/>
  <c r="I1199" i="10"/>
  <c r="J1198" i="10"/>
  <c r="I1198" i="10"/>
  <c r="J1197" i="10"/>
  <c r="I1197" i="10"/>
  <c r="J1196" i="10"/>
  <c r="I1196" i="10"/>
  <c r="J1195" i="10"/>
  <c r="I1195" i="10"/>
  <c r="J1194" i="10"/>
  <c r="I1194" i="10"/>
  <c r="J1193" i="10"/>
  <c r="I1193" i="10"/>
  <c r="J1192" i="10"/>
  <c r="I1192" i="10"/>
  <c r="J1191" i="10"/>
  <c r="I1191" i="10"/>
  <c r="J1190" i="10"/>
  <c r="I1190" i="10"/>
  <c r="J1189" i="10"/>
  <c r="I1189" i="10"/>
  <c r="J1188" i="10"/>
  <c r="I1188" i="10"/>
  <c r="J1187" i="10"/>
  <c r="I1187" i="10"/>
  <c r="J1186" i="10"/>
  <c r="I1186" i="10"/>
  <c r="J1185" i="10"/>
  <c r="I1185" i="10"/>
  <c r="J1184" i="10"/>
  <c r="I1184" i="10"/>
  <c r="J1183" i="10"/>
  <c r="I1183" i="10"/>
  <c r="J1182" i="10"/>
  <c r="I1182" i="10"/>
  <c r="J1181" i="10"/>
  <c r="I1181" i="10"/>
  <c r="J1180" i="10"/>
  <c r="I1180" i="10"/>
  <c r="J1179" i="10"/>
  <c r="I1179" i="10"/>
  <c r="J1178" i="10"/>
  <c r="I1178" i="10"/>
  <c r="J1177" i="10"/>
  <c r="I1177" i="10"/>
  <c r="J1176" i="10"/>
  <c r="I1176" i="10"/>
  <c r="J1175" i="10"/>
  <c r="I1175" i="10"/>
  <c r="J1174" i="10"/>
  <c r="I1174" i="10"/>
  <c r="J1173" i="10"/>
  <c r="I1173" i="10"/>
  <c r="J1172" i="10"/>
  <c r="I1172" i="10"/>
  <c r="J1171" i="10"/>
  <c r="I1171" i="10"/>
  <c r="J1170" i="10"/>
  <c r="I1170" i="10"/>
  <c r="J1169" i="10"/>
  <c r="I1169" i="10"/>
  <c r="J1168" i="10"/>
  <c r="I1168" i="10"/>
  <c r="J1167" i="10"/>
  <c r="I1167" i="10"/>
  <c r="J1166" i="10"/>
  <c r="I1166" i="10"/>
  <c r="J1165" i="10"/>
  <c r="I1165" i="10"/>
  <c r="J1164" i="10"/>
  <c r="I1164" i="10"/>
  <c r="J1163" i="10"/>
  <c r="I1163" i="10"/>
  <c r="J1162" i="10"/>
  <c r="I1162" i="10"/>
  <c r="J1161" i="10"/>
  <c r="I1161" i="10"/>
  <c r="J1160" i="10"/>
  <c r="I1160" i="10"/>
  <c r="J1159" i="10"/>
  <c r="I1159" i="10"/>
  <c r="J1158" i="10"/>
  <c r="I1158" i="10"/>
  <c r="J1157" i="10"/>
  <c r="I1157" i="10"/>
  <c r="J1156" i="10"/>
  <c r="I1156" i="10"/>
  <c r="J1155" i="10"/>
  <c r="I1155" i="10"/>
  <c r="J1154" i="10"/>
  <c r="I1154" i="10"/>
  <c r="J1153" i="10"/>
  <c r="I1153" i="10"/>
  <c r="J1152" i="10"/>
  <c r="I1152" i="10"/>
  <c r="J1151" i="10"/>
  <c r="I1151" i="10"/>
  <c r="J1150" i="10"/>
  <c r="I1150" i="10"/>
  <c r="J1149" i="10"/>
  <c r="I1149" i="10"/>
  <c r="J1148" i="10"/>
  <c r="I1148" i="10"/>
  <c r="J1147" i="10"/>
  <c r="I1147" i="10"/>
  <c r="J1146" i="10"/>
  <c r="I1146" i="10"/>
  <c r="J1145" i="10"/>
  <c r="I1145" i="10"/>
  <c r="J1144" i="10"/>
  <c r="I1144" i="10"/>
  <c r="J1143" i="10"/>
  <c r="I1143" i="10"/>
  <c r="J1142" i="10"/>
  <c r="I1142" i="10"/>
  <c r="J1141" i="10"/>
  <c r="I1141" i="10"/>
  <c r="J1140" i="10"/>
  <c r="I1140" i="10"/>
  <c r="J1139" i="10"/>
  <c r="I1139" i="10"/>
  <c r="J1138" i="10"/>
  <c r="I1138" i="10"/>
  <c r="J1137" i="10"/>
  <c r="I1137" i="10"/>
  <c r="J1136" i="10"/>
  <c r="I1136" i="10"/>
  <c r="J1135" i="10"/>
  <c r="I1135" i="10"/>
  <c r="J1134" i="10"/>
  <c r="I1134" i="10"/>
  <c r="J1133" i="10"/>
  <c r="I1133" i="10"/>
  <c r="J1132" i="10"/>
  <c r="I1132" i="10"/>
  <c r="J1131" i="10"/>
  <c r="I1131" i="10"/>
  <c r="J1130" i="10"/>
  <c r="I1130" i="10"/>
  <c r="J1129" i="10"/>
  <c r="I1129" i="10"/>
  <c r="J1128" i="10"/>
  <c r="I1128" i="10"/>
  <c r="J1127" i="10"/>
  <c r="I1127" i="10"/>
  <c r="J1126" i="10"/>
  <c r="I1126" i="10"/>
  <c r="J1125" i="10"/>
  <c r="I1125" i="10"/>
  <c r="J1124" i="10"/>
  <c r="I1124" i="10"/>
  <c r="J1123" i="10"/>
  <c r="I1123" i="10"/>
  <c r="J1122" i="10"/>
  <c r="I1122" i="10"/>
  <c r="J1121" i="10"/>
  <c r="I1121" i="10"/>
  <c r="J1120" i="10"/>
  <c r="I1120" i="10"/>
  <c r="J1119" i="10"/>
  <c r="I1119" i="10"/>
  <c r="J1118" i="10"/>
  <c r="I1118" i="10"/>
  <c r="J1117" i="10"/>
  <c r="I1117" i="10"/>
  <c r="J1116" i="10"/>
  <c r="I1116" i="10"/>
  <c r="J1115" i="10"/>
  <c r="I1115" i="10"/>
  <c r="J1114" i="10"/>
  <c r="I1114" i="10"/>
  <c r="J1113" i="10"/>
  <c r="I1113" i="10"/>
  <c r="J1112" i="10"/>
  <c r="I1112" i="10"/>
  <c r="J1111" i="10"/>
  <c r="I1111" i="10"/>
  <c r="J1110" i="10"/>
  <c r="I1110" i="10"/>
  <c r="J1109" i="10"/>
  <c r="I1109" i="10"/>
  <c r="J1108" i="10"/>
  <c r="I1108" i="10"/>
  <c r="J1107" i="10"/>
  <c r="I1107" i="10"/>
  <c r="J1106" i="10"/>
  <c r="I1106" i="10"/>
  <c r="J1105" i="10"/>
  <c r="I1105" i="10"/>
  <c r="J1104" i="10"/>
  <c r="I1104" i="10"/>
  <c r="J1103" i="10"/>
  <c r="I1103" i="10"/>
  <c r="J1102" i="10"/>
  <c r="I1102" i="10"/>
  <c r="J1101" i="10"/>
  <c r="I1101" i="10"/>
  <c r="J1100" i="10"/>
  <c r="I1100" i="10"/>
  <c r="J1099" i="10"/>
  <c r="I1099" i="10"/>
  <c r="J1098" i="10"/>
  <c r="I1098" i="10"/>
  <c r="J1097" i="10"/>
  <c r="I1097" i="10"/>
  <c r="J1096" i="10"/>
  <c r="I1096" i="10"/>
  <c r="J1095" i="10"/>
  <c r="I1095" i="10"/>
  <c r="J1094" i="10"/>
  <c r="I1094" i="10"/>
  <c r="J1093" i="10"/>
  <c r="I1093" i="10"/>
  <c r="J1092" i="10"/>
  <c r="I1092" i="10"/>
  <c r="J1091" i="10"/>
  <c r="I1091" i="10"/>
  <c r="J1090" i="10"/>
  <c r="I1090" i="10"/>
  <c r="J1089" i="10"/>
  <c r="I1089" i="10"/>
  <c r="J1088" i="10"/>
  <c r="I1088" i="10"/>
  <c r="J1087" i="10"/>
  <c r="I1087" i="10"/>
  <c r="J1086" i="10"/>
  <c r="I1086" i="10"/>
  <c r="J1085" i="10"/>
  <c r="I1085" i="10"/>
  <c r="J1084" i="10"/>
  <c r="I1084" i="10"/>
  <c r="J1083" i="10"/>
  <c r="I1083" i="10"/>
  <c r="J1082" i="10"/>
  <c r="I1082" i="10"/>
  <c r="J1081" i="10"/>
  <c r="I1081" i="10"/>
  <c r="J1080" i="10"/>
  <c r="I1080" i="10"/>
  <c r="J1079" i="10"/>
  <c r="I1079" i="10"/>
  <c r="J1078" i="10"/>
  <c r="I1078" i="10"/>
  <c r="J1077" i="10"/>
  <c r="I1077" i="10"/>
  <c r="J1076" i="10"/>
  <c r="I1076" i="10"/>
  <c r="J1075" i="10"/>
  <c r="I1075" i="10"/>
  <c r="J1074" i="10"/>
  <c r="I1074" i="10"/>
  <c r="J1073" i="10"/>
  <c r="I1073" i="10"/>
  <c r="J1072" i="10"/>
  <c r="I1072" i="10"/>
  <c r="J1071" i="10"/>
  <c r="I1071" i="10"/>
  <c r="J1070" i="10"/>
  <c r="I1070" i="10"/>
  <c r="J1069" i="10"/>
  <c r="I1069" i="10"/>
  <c r="J1068" i="10"/>
  <c r="I1068" i="10"/>
  <c r="J1067" i="10"/>
  <c r="I1067" i="10"/>
  <c r="J1066" i="10"/>
  <c r="I1066" i="10"/>
  <c r="J1065" i="10"/>
  <c r="I1065" i="10"/>
  <c r="J1064" i="10"/>
  <c r="I1064" i="10"/>
  <c r="J1063" i="10"/>
  <c r="I1063" i="10"/>
  <c r="J1062" i="10"/>
  <c r="I1062" i="10"/>
  <c r="J1061" i="10"/>
  <c r="I1061" i="10"/>
  <c r="J1060" i="10"/>
  <c r="I1060" i="10"/>
  <c r="J1059" i="10"/>
  <c r="I1059" i="10"/>
  <c r="J1058" i="10"/>
  <c r="I1058" i="10"/>
  <c r="J1057" i="10"/>
  <c r="I1057" i="10"/>
  <c r="J1056" i="10"/>
  <c r="I1056" i="10"/>
  <c r="J1055" i="10"/>
  <c r="I1055" i="10"/>
  <c r="J1054" i="10"/>
  <c r="I1054" i="10"/>
  <c r="J1053" i="10"/>
  <c r="I1053" i="10"/>
  <c r="J1052" i="10"/>
  <c r="I1052" i="10"/>
  <c r="J1051" i="10"/>
  <c r="I1051" i="10"/>
  <c r="J1050" i="10"/>
  <c r="I1050" i="10"/>
  <c r="J1049" i="10"/>
  <c r="I1049" i="10"/>
  <c r="J1048" i="10"/>
  <c r="I1048" i="10"/>
  <c r="J1047" i="10"/>
  <c r="I1047" i="10"/>
  <c r="J1046" i="10"/>
  <c r="I1046" i="10"/>
  <c r="J1045" i="10"/>
  <c r="I1045" i="10"/>
  <c r="J1044" i="10"/>
  <c r="I1044" i="10"/>
  <c r="J1043" i="10"/>
  <c r="I1043" i="10"/>
  <c r="J1042" i="10"/>
  <c r="I1042" i="10"/>
  <c r="J1041" i="10"/>
  <c r="I1041" i="10"/>
  <c r="J1040" i="10"/>
  <c r="I1040" i="10"/>
  <c r="J1039" i="10"/>
  <c r="I1039" i="10"/>
  <c r="J1038" i="10"/>
  <c r="I1038" i="10"/>
  <c r="J1037" i="10"/>
  <c r="I1037" i="10"/>
  <c r="J1036" i="10"/>
  <c r="I1036" i="10"/>
  <c r="J1035" i="10"/>
  <c r="I1035" i="10"/>
  <c r="J1034" i="10"/>
  <c r="I1034" i="10"/>
  <c r="J1033" i="10"/>
  <c r="I1033" i="10"/>
  <c r="J1032" i="10"/>
  <c r="I1032" i="10"/>
  <c r="J1031" i="10"/>
  <c r="I1031" i="10"/>
  <c r="J1030" i="10"/>
  <c r="I1030" i="10"/>
  <c r="J1029" i="10"/>
  <c r="I1029" i="10"/>
  <c r="J1028" i="10"/>
  <c r="I1028" i="10"/>
  <c r="J1027" i="10"/>
  <c r="I1027" i="10"/>
  <c r="J1026" i="10"/>
  <c r="I1026" i="10"/>
  <c r="J1025" i="10"/>
  <c r="I1025" i="10"/>
  <c r="J1024" i="10"/>
  <c r="I1024" i="10"/>
  <c r="J1023" i="10"/>
  <c r="I1023" i="10"/>
  <c r="J1022" i="10"/>
  <c r="I1022" i="10"/>
  <c r="J1021" i="10"/>
  <c r="I1021" i="10"/>
  <c r="J1020" i="10"/>
  <c r="I1020" i="10"/>
  <c r="J1019" i="10"/>
  <c r="I1019" i="10"/>
  <c r="J1018" i="10"/>
  <c r="I1018" i="10"/>
  <c r="J1017" i="10"/>
  <c r="I1017" i="10"/>
  <c r="J1016" i="10"/>
  <c r="I1016" i="10"/>
  <c r="J1015" i="10"/>
  <c r="I1015" i="10"/>
  <c r="J1014" i="10"/>
  <c r="I1014" i="10"/>
  <c r="J1013" i="10"/>
  <c r="I1013" i="10"/>
  <c r="J1012" i="10"/>
  <c r="I1012" i="10"/>
  <c r="J1011" i="10"/>
  <c r="I1011" i="10"/>
  <c r="J1010" i="10"/>
  <c r="I1010" i="10"/>
  <c r="J1009" i="10"/>
  <c r="I1009" i="10"/>
  <c r="J1008" i="10"/>
  <c r="I1008" i="10"/>
  <c r="J1007" i="10"/>
  <c r="I1007" i="10"/>
  <c r="J1006" i="10"/>
  <c r="I1006" i="10"/>
  <c r="J1005" i="10"/>
  <c r="I1005" i="10"/>
  <c r="J1004" i="10"/>
  <c r="I1004" i="10"/>
  <c r="J1003" i="10"/>
  <c r="I1003" i="10"/>
  <c r="J1002" i="10"/>
  <c r="I1002" i="10"/>
  <c r="J1001" i="10"/>
  <c r="I1001" i="10"/>
  <c r="J1000" i="10"/>
  <c r="I1000" i="10"/>
  <c r="J999" i="10"/>
  <c r="I999" i="10"/>
  <c r="J998" i="10"/>
  <c r="I998" i="10"/>
  <c r="J997" i="10"/>
  <c r="I997" i="10"/>
  <c r="J996" i="10"/>
  <c r="I996" i="10"/>
  <c r="J995" i="10"/>
  <c r="I995" i="10"/>
  <c r="J994" i="10"/>
  <c r="I994" i="10"/>
  <c r="J993" i="10"/>
  <c r="I993" i="10"/>
  <c r="J992" i="10"/>
  <c r="I992" i="10"/>
  <c r="J991" i="10"/>
  <c r="I991" i="10"/>
  <c r="J990" i="10"/>
  <c r="I990" i="10"/>
  <c r="J989" i="10"/>
  <c r="I989" i="10"/>
  <c r="J988" i="10"/>
  <c r="I988" i="10"/>
  <c r="J987" i="10"/>
  <c r="I987" i="10"/>
  <c r="J986" i="10"/>
  <c r="I986" i="10"/>
  <c r="J985" i="10"/>
  <c r="I985" i="10"/>
  <c r="J984" i="10"/>
  <c r="I984" i="10"/>
  <c r="J983" i="10"/>
  <c r="I983" i="10"/>
  <c r="J982" i="10"/>
  <c r="I982" i="10"/>
  <c r="J981" i="10"/>
  <c r="I981" i="10"/>
  <c r="J980" i="10"/>
  <c r="I980" i="10"/>
  <c r="J979" i="10"/>
  <c r="I979" i="10"/>
  <c r="J978" i="10"/>
  <c r="I978" i="10"/>
  <c r="J977" i="10"/>
  <c r="I977" i="10"/>
  <c r="J976" i="10"/>
  <c r="I976" i="10"/>
  <c r="J975" i="10"/>
  <c r="I975" i="10"/>
  <c r="J974" i="10"/>
  <c r="I974" i="10"/>
  <c r="J973" i="10"/>
  <c r="I973" i="10"/>
  <c r="J972" i="10"/>
  <c r="I972" i="10"/>
  <c r="J971" i="10"/>
  <c r="I971" i="10"/>
  <c r="J970" i="10"/>
  <c r="I970" i="10"/>
  <c r="J969" i="10"/>
  <c r="I969" i="10"/>
  <c r="J968" i="10"/>
  <c r="I968" i="10"/>
  <c r="J967" i="10"/>
  <c r="I967" i="10"/>
  <c r="J966" i="10"/>
  <c r="I966" i="10"/>
  <c r="J965" i="10"/>
  <c r="I965" i="10"/>
  <c r="J964" i="10"/>
  <c r="I964" i="10"/>
  <c r="J963" i="10"/>
  <c r="I963" i="10"/>
  <c r="J962" i="10"/>
  <c r="I962" i="10"/>
  <c r="J961" i="10"/>
  <c r="I961" i="10"/>
  <c r="J960" i="10"/>
  <c r="I960" i="10"/>
  <c r="J959" i="10"/>
  <c r="I959" i="10"/>
  <c r="J958" i="10"/>
  <c r="I958" i="10"/>
  <c r="J957" i="10"/>
  <c r="I957" i="10"/>
  <c r="J956" i="10"/>
  <c r="I956" i="10"/>
  <c r="J955" i="10"/>
  <c r="I955" i="10"/>
  <c r="J954" i="10"/>
  <c r="I954" i="10"/>
  <c r="J953" i="10"/>
  <c r="I953" i="10"/>
  <c r="J952" i="10"/>
  <c r="I952" i="10"/>
  <c r="J951" i="10"/>
  <c r="I951" i="10"/>
  <c r="J950" i="10"/>
  <c r="I950" i="10"/>
  <c r="J949" i="10"/>
  <c r="I949" i="10"/>
  <c r="J948" i="10"/>
  <c r="I948" i="10"/>
  <c r="J947" i="10"/>
  <c r="I947" i="10"/>
  <c r="J946" i="10"/>
  <c r="I946" i="10"/>
  <c r="J945" i="10"/>
  <c r="I945" i="10"/>
  <c r="J944" i="10"/>
  <c r="I944" i="10"/>
  <c r="J943" i="10"/>
  <c r="I943" i="10"/>
  <c r="J942" i="10"/>
  <c r="I942" i="10"/>
  <c r="J941" i="10"/>
  <c r="I941" i="10"/>
  <c r="J940" i="10"/>
  <c r="I940" i="10"/>
  <c r="J939" i="10"/>
  <c r="I939" i="10"/>
  <c r="J938" i="10"/>
  <c r="I938" i="10"/>
  <c r="J937" i="10"/>
  <c r="I937" i="10"/>
  <c r="J936" i="10"/>
  <c r="I936" i="10"/>
  <c r="J935" i="10"/>
  <c r="I935" i="10"/>
  <c r="J934" i="10"/>
  <c r="I934" i="10"/>
  <c r="J933" i="10"/>
  <c r="I933" i="10"/>
  <c r="J932" i="10"/>
  <c r="I932" i="10"/>
  <c r="J931" i="10"/>
  <c r="I931" i="10"/>
  <c r="J930" i="10"/>
  <c r="I930" i="10"/>
  <c r="J929" i="10"/>
  <c r="I929" i="10"/>
  <c r="J928" i="10"/>
  <c r="I928" i="10"/>
  <c r="J927" i="10"/>
  <c r="I927" i="10"/>
  <c r="J926" i="10"/>
  <c r="I926" i="10"/>
  <c r="J925" i="10"/>
  <c r="I925" i="10"/>
  <c r="J924" i="10"/>
  <c r="I924" i="10"/>
  <c r="J923" i="10"/>
  <c r="I923" i="10"/>
  <c r="J922" i="10"/>
  <c r="I922" i="10"/>
  <c r="J921" i="10"/>
  <c r="I921" i="10"/>
  <c r="J920" i="10"/>
  <c r="I920" i="10"/>
  <c r="J919" i="10"/>
  <c r="I919" i="10"/>
  <c r="J918" i="10"/>
  <c r="I918" i="10"/>
  <c r="J917" i="10"/>
  <c r="I917" i="10"/>
  <c r="J916" i="10"/>
  <c r="I916" i="10"/>
  <c r="J915" i="10"/>
  <c r="I915" i="10"/>
  <c r="J914" i="10"/>
  <c r="I914" i="10"/>
  <c r="J913" i="10"/>
  <c r="I913" i="10"/>
  <c r="J912" i="10"/>
  <c r="D4" i="13" s="1"/>
  <c r="I912" i="10"/>
  <c r="C4" i="13" s="1"/>
  <c r="J911" i="10"/>
  <c r="I911" i="10"/>
  <c r="J910" i="10"/>
  <c r="I910" i="10"/>
  <c r="J909" i="10"/>
  <c r="I909" i="10"/>
  <c r="J908" i="10"/>
  <c r="I908" i="10"/>
  <c r="J907" i="10"/>
  <c r="I907" i="10"/>
  <c r="J906" i="10"/>
  <c r="I906" i="10"/>
  <c r="J905" i="10"/>
  <c r="I905" i="10"/>
  <c r="J904" i="10"/>
  <c r="I904" i="10"/>
  <c r="J903" i="10"/>
  <c r="I903" i="10"/>
  <c r="J902" i="10"/>
  <c r="I902" i="10"/>
  <c r="J901" i="10"/>
  <c r="I901" i="10"/>
  <c r="J900" i="10"/>
  <c r="I900" i="10"/>
  <c r="J899" i="10"/>
  <c r="I899" i="10"/>
  <c r="J898" i="10"/>
  <c r="I898" i="10"/>
  <c r="J897" i="10"/>
  <c r="I897" i="10"/>
  <c r="J896" i="10"/>
  <c r="I896" i="10"/>
  <c r="J895" i="10"/>
  <c r="I895" i="10"/>
  <c r="J894" i="10"/>
  <c r="I894" i="10"/>
  <c r="J893" i="10"/>
  <c r="I893" i="10"/>
  <c r="J892" i="10"/>
  <c r="I892" i="10"/>
  <c r="J891" i="10"/>
  <c r="I891" i="10"/>
  <c r="J890" i="10"/>
  <c r="I890" i="10"/>
  <c r="J889" i="10"/>
  <c r="I889" i="10"/>
  <c r="J888" i="10"/>
  <c r="I888" i="10"/>
  <c r="J887" i="10"/>
  <c r="I887" i="10"/>
  <c r="J886" i="10"/>
  <c r="I886" i="10"/>
  <c r="J885" i="10"/>
  <c r="I885" i="10"/>
  <c r="J884" i="10"/>
  <c r="I884" i="10"/>
  <c r="J883" i="10"/>
  <c r="I883" i="10"/>
  <c r="J882" i="10"/>
  <c r="I882" i="10"/>
  <c r="J881" i="10"/>
  <c r="I881" i="10"/>
  <c r="J880" i="10"/>
  <c r="I880" i="10"/>
  <c r="J879" i="10"/>
  <c r="I879" i="10"/>
  <c r="J878" i="10"/>
  <c r="I878" i="10"/>
  <c r="J877" i="10"/>
  <c r="I877" i="10"/>
  <c r="J876" i="10"/>
  <c r="I876" i="10"/>
  <c r="J875" i="10"/>
  <c r="I875" i="10"/>
  <c r="J874" i="10"/>
  <c r="I874" i="10"/>
  <c r="J873" i="10"/>
  <c r="I873" i="10"/>
  <c r="J872" i="10"/>
  <c r="I872" i="10"/>
  <c r="J871" i="10"/>
  <c r="I871" i="10"/>
  <c r="J870" i="10"/>
  <c r="I870" i="10"/>
  <c r="J869" i="10"/>
  <c r="I869" i="10"/>
  <c r="J868" i="10"/>
  <c r="I868" i="10"/>
  <c r="J867" i="10"/>
  <c r="I867" i="10"/>
  <c r="J866" i="10"/>
  <c r="I866" i="10"/>
  <c r="J865" i="10"/>
  <c r="I865" i="10"/>
  <c r="J864" i="10"/>
  <c r="I864" i="10"/>
  <c r="J863" i="10"/>
  <c r="I863" i="10"/>
  <c r="J862" i="10"/>
  <c r="I862" i="10"/>
  <c r="J861" i="10"/>
  <c r="I861" i="10"/>
  <c r="J860" i="10"/>
  <c r="I860" i="10"/>
  <c r="J859" i="10"/>
  <c r="I859" i="10"/>
  <c r="J858" i="10"/>
  <c r="I858" i="10"/>
  <c r="J857" i="10"/>
  <c r="I857" i="10"/>
  <c r="J856" i="10"/>
  <c r="I856" i="10"/>
  <c r="J855" i="10"/>
  <c r="I855" i="10"/>
  <c r="J854" i="10"/>
  <c r="I854" i="10"/>
  <c r="J853" i="10"/>
  <c r="I853" i="10"/>
  <c r="J852" i="10"/>
  <c r="I852" i="10"/>
  <c r="J851" i="10"/>
  <c r="I851" i="10"/>
  <c r="J850" i="10"/>
  <c r="I850" i="10"/>
  <c r="J849" i="10"/>
  <c r="I849" i="10"/>
  <c r="J848" i="10"/>
  <c r="I848" i="10"/>
  <c r="J847" i="10"/>
  <c r="I847" i="10"/>
  <c r="J846" i="10"/>
  <c r="I846" i="10"/>
  <c r="J845" i="10"/>
  <c r="I845" i="10"/>
  <c r="J844" i="10"/>
  <c r="I844" i="10"/>
  <c r="J843" i="10"/>
  <c r="I843" i="10"/>
  <c r="J842" i="10"/>
  <c r="I842" i="10"/>
  <c r="J841" i="10"/>
  <c r="I841" i="10"/>
  <c r="J840" i="10"/>
  <c r="I840" i="10"/>
  <c r="J839" i="10"/>
  <c r="I839" i="10"/>
  <c r="J838" i="10"/>
  <c r="I838" i="10"/>
  <c r="J837" i="10"/>
  <c r="I837" i="10"/>
  <c r="J836" i="10"/>
  <c r="I836" i="10"/>
  <c r="J835" i="10"/>
  <c r="I835" i="10"/>
  <c r="J834" i="10"/>
  <c r="I834" i="10"/>
  <c r="J833" i="10"/>
  <c r="I833" i="10"/>
  <c r="J832" i="10"/>
  <c r="I832" i="10"/>
  <c r="J831" i="10"/>
  <c r="I831" i="10"/>
  <c r="J830" i="10"/>
  <c r="I830" i="10"/>
  <c r="J829" i="10"/>
  <c r="I829" i="10"/>
  <c r="J828" i="10"/>
  <c r="I828" i="10"/>
  <c r="J827" i="10"/>
  <c r="I827" i="10"/>
  <c r="J826" i="10"/>
  <c r="I826" i="10"/>
  <c r="J825" i="10"/>
  <c r="I825" i="10"/>
  <c r="J824" i="10"/>
  <c r="I824" i="10"/>
  <c r="J823" i="10"/>
  <c r="I823" i="10"/>
  <c r="J822" i="10"/>
  <c r="I822" i="10"/>
  <c r="J821" i="10"/>
  <c r="I821" i="10"/>
  <c r="J820" i="10"/>
  <c r="I820" i="10"/>
  <c r="J819" i="10"/>
  <c r="I819" i="10"/>
  <c r="J818" i="10"/>
  <c r="I818" i="10"/>
  <c r="J817" i="10"/>
  <c r="I817" i="10"/>
  <c r="J816" i="10"/>
  <c r="I816" i="10"/>
  <c r="J815" i="10"/>
  <c r="I815" i="10"/>
  <c r="J814" i="10"/>
  <c r="I814" i="10"/>
  <c r="J813" i="10"/>
  <c r="I813" i="10"/>
  <c r="J812" i="10"/>
  <c r="I812" i="10"/>
  <c r="J811" i="10"/>
  <c r="I811" i="10"/>
  <c r="J810" i="10"/>
  <c r="I810" i="10"/>
  <c r="J809" i="10"/>
  <c r="I809" i="10"/>
  <c r="J808" i="10"/>
  <c r="I808" i="10"/>
  <c r="J807" i="10"/>
  <c r="I807" i="10"/>
  <c r="J806" i="10"/>
  <c r="I806" i="10"/>
  <c r="J805" i="10"/>
  <c r="I805" i="10"/>
  <c r="J804" i="10"/>
  <c r="I804" i="10"/>
  <c r="J803" i="10"/>
  <c r="I803" i="10"/>
  <c r="J802" i="10"/>
  <c r="I802" i="10"/>
  <c r="J801" i="10"/>
  <c r="I801" i="10"/>
  <c r="J800" i="10"/>
  <c r="I800" i="10"/>
  <c r="J799" i="10"/>
  <c r="I799" i="10"/>
  <c r="J798" i="10"/>
  <c r="I798" i="10"/>
  <c r="J797" i="10"/>
  <c r="I797" i="10"/>
  <c r="J796" i="10"/>
  <c r="I796" i="10"/>
  <c r="J795" i="10"/>
  <c r="I795" i="10"/>
  <c r="J794" i="10"/>
  <c r="I794" i="10"/>
  <c r="J793" i="10"/>
  <c r="I793" i="10"/>
  <c r="J792" i="10"/>
  <c r="I792" i="10"/>
  <c r="J791" i="10"/>
  <c r="I791" i="10"/>
  <c r="J790" i="10"/>
  <c r="I790" i="10"/>
  <c r="J789" i="10"/>
  <c r="I789" i="10"/>
  <c r="J788" i="10"/>
  <c r="I788" i="10"/>
  <c r="J787" i="10"/>
  <c r="I787" i="10"/>
  <c r="J786" i="10"/>
  <c r="I786" i="10"/>
  <c r="J785" i="10"/>
  <c r="I785" i="10"/>
  <c r="J784" i="10"/>
  <c r="I784" i="10"/>
  <c r="J783" i="10"/>
  <c r="I783" i="10"/>
  <c r="J782" i="10"/>
  <c r="I782" i="10"/>
  <c r="J781" i="10"/>
  <c r="I781" i="10"/>
  <c r="J780" i="10"/>
  <c r="I780" i="10"/>
  <c r="J779" i="10"/>
  <c r="I779" i="10"/>
  <c r="J778" i="10"/>
  <c r="I778" i="10"/>
  <c r="J777" i="10"/>
  <c r="I777" i="10"/>
  <c r="J776" i="10"/>
  <c r="I776" i="10"/>
  <c r="J775" i="10"/>
  <c r="I775" i="10"/>
  <c r="J774" i="10"/>
  <c r="I774" i="10"/>
  <c r="J773" i="10"/>
  <c r="I773" i="10"/>
  <c r="J772" i="10"/>
  <c r="I772" i="10"/>
  <c r="J771" i="10"/>
  <c r="I771" i="10"/>
  <c r="J770" i="10"/>
  <c r="I770" i="10"/>
  <c r="J769" i="10"/>
  <c r="I769" i="10"/>
  <c r="J768" i="10"/>
  <c r="I768" i="10"/>
  <c r="J767" i="10"/>
  <c r="I767" i="10"/>
  <c r="J766" i="10"/>
  <c r="I766" i="10"/>
  <c r="J765" i="10"/>
  <c r="I765" i="10"/>
  <c r="J764" i="10"/>
  <c r="I764" i="10"/>
  <c r="J763" i="10"/>
  <c r="I763" i="10"/>
  <c r="J762" i="10"/>
  <c r="I762" i="10"/>
  <c r="J761" i="10"/>
  <c r="I761" i="10"/>
  <c r="J760" i="10"/>
  <c r="I760" i="10"/>
  <c r="J759" i="10"/>
  <c r="I759" i="10"/>
  <c r="J758" i="10"/>
  <c r="I758" i="10"/>
  <c r="J757" i="10"/>
  <c r="I757" i="10"/>
  <c r="J756" i="10"/>
  <c r="I756" i="10"/>
  <c r="J755" i="10"/>
  <c r="I755" i="10"/>
  <c r="J754" i="10"/>
  <c r="I754" i="10"/>
  <c r="J753" i="10"/>
  <c r="I753" i="10"/>
  <c r="J752" i="10"/>
  <c r="I752" i="10"/>
  <c r="J751" i="10"/>
  <c r="I751" i="10"/>
  <c r="J750" i="10"/>
  <c r="I750" i="10"/>
  <c r="J749" i="10"/>
  <c r="I749" i="10"/>
  <c r="J748" i="10"/>
  <c r="I748" i="10"/>
  <c r="J747" i="10"/>
  <c r="I747" i="10"/>
  <c r="J746" i="10"/>
  <c r="I746" i="10"/>
  <c r="J745" i="10"/>
  <c r="I745" i="10"/>
  <c r="J744" i="10"/>
  <c r="I744" i="10"/>
  <c r="J743" i="10"/>
  <c r="I743" i="10"/>
  <c r="J742" i="10"/>
  <c r="I742" i="10"/>
  <c r="J741" i="10"/>
  <c r="I741" i="10"/>
  <c r="J740" i="10"/>
  <c r="I740" i="10"/>
  <c r="J739" i="10"/>
  <c r="I739" i="10"/>
  <c r="J738" i="10"/>
  <c r="I738" i="10"/>
  <c r="J737" i="10"/>
  <c r="I737" i="10"/>
  <c r="J736" i="10"/>
  <c r="I736" i="10"/>
  <c r="J735" i="10"/>
  <c r="I735" i="10"/>
  <c r="J734" i="10"/>
  <c r="I734" i="10"/>
  <c r="J733" i="10"/>
  <c r="I733" i="10"/>
  <c r="J732" i="10"/>
  <c r="I732" i="10"/>
  <c r="J731" i="10"/>
  <c r="I731" i="10"/>
  <c r="J730" i="10"/>
  <c r="I730" i="10"/>
  <c r="J729" i="10"/>
  <c r="I729" i="10"/>
  <c r="J728" i="10"/>
  <c r="I728" i="10"/>
  <c r="J727" i="10"/>
  <c r="I727" i="10"/>
  <c r="J726" i="10"/>
  <c r="I726" i="10"/>
  <c r="J725" i="10"/>
  <c r="I725" i="10"/>
  <c r="J724" i="10"/>
  <c r="I724" i="10"/>
  <c r="J723" i="10"/>
  <c r="I723" i="10"/>
  <c r="J722" i="10"/>
  <c r="I722" i="10"/>
  <c r="J721" i="10"/>
  <c r="I721" i="10"/>
  <c r="J720" i="10"/>
  <c r="I720" i="10"/>
  <c r="J719" i="10"/>
  <c r="I719" i="10"/>
  <c r="J718" i="10"/>
  <c r="I718" i="10"/>
  <c r="J717" i="10"/>
  <c r="I717" i="10"/>
  <c r="J716" i="10"/>
  <c r="I716" i="10"/>
  <c r="J715" i="10"/>
  <c r="I715" i="10"/>
  <c r="J714" i="10"/>
  <c r="I714" i="10"/>
  <c r="J713" i="10"/>
  <c r="I713" i="10"/>
  <c r="J712" i="10"/>
  <c r="I712" i="10"/>
  <c r="J711" i="10"/>
  <c r="I711" i="10"/>
  <c r="J710" i="10"/>
  <c r="I710" i="10"/>
  <c r="J709" i="10"/>
  <c r="I709" i="10"/>
  <c r="J708" i="10"/>
  <c r="I708" i="10"/>
  <c r="J707" i="10"/>
  <c r="I707" i="10"/>
  <c r="J706" i="10"/>
  <c r="I706" i="10"/>
  <c r="J705" i="10"/>
  <c r="I705" i="10"/>
  <c r="J704" i="10"/>
  <c r="I704" i="10"/>
  <c r="J703" i="10"/>
  <c r="I703" i="10"/>
  <c r="J702" i="10"/>
  <c r="I702" i="10"/>
  <c r="J701" i="10"/>
  <c r="I701" i="10"/>
  <c r="J700" i="10"/>
  <c r="I700" i="10"/>
  <c r="J699" i="10"/>
  <c r="I699" i="10"/>
  <c r="J698" i="10"/>
  <c r="I698" i="10"/>
  <c r="J697" i="10"/>
  <c r="I697" i="10"/>
  <c r="J696" i="10"/>
  <c r="I696" i="10"/>
  <c r="J695" i="10"/>
  <c r="I695" i="10"/>
  <c r="J694" i="10"/>
  <c r="I694" i="10"/>
  <c r="J693" i="10"/>
  <c r="I693" i="10"/>
  <c r="J692" i="10"/>
  <c r="I692" i="10"/>
  <c r="J691" i="10"/>
  <c r="I691" i="10"/>
  <c r="J690" i="10"/>
  <c r="I690" i="10"/>
  <c r="J689" i="10"/>
  <c r="I689" i="10"/>
  <c r="J688" i="10"/>
  <c r="I688" i="10"/>
  <c r="J687" i="10"/>
  <c r="I687" i="10"/>
  <c r="J686" i="10"/>
  <c r="I686" i="10"/>
  <c r="J685" i="10"/>
  <c r="I685" i="10"/>
  <c r="J684" i="10"/>
  <c r="I684" i="10"/>
  <c r="J683" i="10"/>
  <c r="I683" i="10"/>
  <c r="J682" i="10"/>
  <c r="I682" i="10"/>
  <c r="J681" i="10"/>
  <c r="I681" i="10"/>
  <c r="J680" i="10"/>
  <c r="I680" i="10"/>
  <c r="J679" i="10"/>
  <c r="I679" i="10"/>
  <c r="J678" i="10"/>
  <c r="I678" i="10"/>
  <c r="J677" i="10"/>
  <c r="I677" i="10"/>
  <c r="J676" i="10"/>
  <c r="I676" i="10"/>
  <c r="J675" i="10"/>
  <c r="I675" i="10"/>
  <c r="J674" i="10"/>
  <c r="I674" i="10"/>
  <c r="J673" i="10"/>
  <c r="I673" i="10"/>
  <c r="J672" i="10"/>
  <c r="I672" i="10"/>
  <c r="J671" i="10"/>
  <c r="I671" i="10"/>
  <c r="J670" i="10"/>
  <c r="I670" i="10"/>
  <c r="J669" i="10"/>
  <c r="I669" i="10"/>
  <c r="J668" i="10"/>
  <c r="I668" i="10"/>
  <c r="J667" i="10"/>
  <c r="I667" i="10"/>
  <c r="J666" i="10"/>
  <c r="I666" i="10"/>
  <c r="J665" i="10"/>
  <c r="I665" i="10"/>
  <c r="J664" i="10"/>
  <c r="I664" i="10"/>
  <c r="J663" i="10"/>
  <c r="I663" i="10"/>
  <c r="J662" i="10"/>
  <c r="I662" i="10"/>
  <c r="J661" i="10"/>
  <c r="I661" i="10"/>
  <c r="J660" i="10"/>
  <c r="I660" i="10"/>
  <c r="J659" i="10"/>
  <c r="I659" i="10"/>
  <c r="J658" i="10"/>
  <c r="I658" i="10"/>
  <c r="J657" i="10"/>
  <c r="I657" i="10"/>
  <c r="J656" i="10"/>
  <c r="I656" i="10"/>
  <c r="J655" i="10"/>
  <c r="I655" i="10"/>
  <c r="J654" i="10"/>
  <c r="I654" i="10"/>
  <c r="J653" i="10"/>
  <c r="I653" i="10"/>
  <c r="J652" i="10"/>
  <c r="I652" i="10"/>
  <c r="J651" i="10"/>
  <c r="I651" i="10"/>
  <c r="J650" i="10"/>
  <c r="I650" i="10"/>
  <c r="J649" i="10"/>
  <c r="I649" i="10"/>
  <c r="J648" i="10"/>
  <c r="I648" i="10"/>
  <c r="J647" i="10"/>
  <c r="I647" i="10"/>
  <c r="J646" i="10"/>
  <c r="I646" i="10"/>
  <c r="J645" i="10"/>
  <c r="I645" i="10"/>
  <c r="J644" i="10"/>
  <c r="I644" i="10"/>
  <c r="J643" i="10"/>
  <c r="I643" i="10"/>
  <c r="J642" i="10"/>
  <c r="I642" i="10"/>
  <c r="J641" i="10"/>
  <c r="I641" i="10"/>
  <c r="J640" i="10"/>
  <c r="I640" i="10"/>
  <c r="J639" i="10"/>
  <c r="I639" i="10"/>
  <c r="J638" i="10"/>
  <c r="I638" i="10"/>
  <c r="J637" i="10"/>
  <c r="I637" i="10"/>
  <c r="J636" i="10"/>
  <c r="I636" i="10"/>
  <c r="J635" i="10"/>
  <c r="I635" i="10"/>
  <c r="J634" i="10"/>
  <c r="I634" i="10"/>
  <c r="J633" i="10"/>
  <c r="I633" i="10"/>
  <c r="J632" i="10"/>
  <c r="I632" i="10"/>
  <c r="J631" i="10"/>
  <c r="I631" i="10"/>
  <c r="J630" i="10"/>
  <c r="I630" i="10"/>
  <c r="J629" i="10"/>
  <c r="I629" i="10"/>
  <c r="J628" i="10"/>
  <c r="I628" i="10"/>
  <c r="J627" i="10"/>
  <c r="I627" i="10"/>
  <c r="J626" i="10"/>
  <c r="I626" i="10"/>
  <c r="J625" i="10"/>
  <c r="I625" i="10"/>
  <c r="J624" i="10"/>
  <c r="I624" i="10"/>
  <c r="J623" i="10"/>
  <c r="I623" i="10"/>
  <c r="J622" i="10"/>
  <c r="I622" i="10"/>
  <c r="J621" i="10"/>
  <c r="I621" i="10"/>
  <c r="J620" i="10"/>
  <c r="I620" i="10"/>
  <c r="J619" i="10"/>
  <c r="I619" i="10"/>
  <c r="J618" i="10"/>
  <c r="I618" i="10"/>
  <c r="J617" i="10"/>
  <c r="I617" i="10"/>
  <c r="J616" i="10"/>
  <c r="I616" i="10"/>
  <c r="J615" i="10"/>
  <c r="I615" i="10"/>
  <c r="J614" i="10"/>
  <c r="I614" i="10"/>
  <c r="J613" i="10"/>
  <c r="I613" i="10"/>
  <c r="J612" i="10"/>
  <c r="I612" i="10"/>
  <c r="J611" i="10"/>
  <c r="I611" i="10"/>
  <c r="J610" i="10"/>
  <c r="I610" i="10"/>
  <c r="J609" i="10"/>
  <c r="I609" i="10"/>
  <c r="J608" i="10"/>
  <c r="I608" i="10"/>
  <c r="J607" i="10"/>
  <c r="I607" i="10"/>
  <c r="J606" i="10"/>
  <c r="I606" i="10"/>
  <c r="J605" i="10"/>
  <c r="I605" i="10"/>
  <c r="J604" i="10"/>
  <c r="I604" i="10"/>
  <c r="J603" i="10"/>
  <c r="I603" i="10"/>
  <c r="J602" i="10"/>
  <c r="I602" i="10"/>
  <c r="J601" i="10"/>
  <c r="I601" i="10"/>
  <c r="J600" i="10"/>
  <c r="I600" i="10"/>
  <c r="J599" i="10"/>
  <c r="I599" i="10"/>
  <c r="J598" i="10"/>
  <c r="I598" i="10"/>
  <c r="J597" i="10"/>
  <c r="I597" i="10"/>
  <c r="J596" i="10"/>
  <c r="I596" i="10"/>
  <c r="J595" i="10"/>
  <c r="I595" i="10"/>
  <c r="J594" i="10"/>
  <c r="I594" i="10"/>
  <c r="J593" i="10"/>
  <c r="I593" i="10"/>
  <c r="J592" i="10"/>
  <c r="I592" i="10"/>
  <c r="J591" i="10"/>
  <c r="I591" i="10"/>
  <c r="J590" i="10"/>
  <c r="I590" i="10"/>
  <c r="J589" i="10"/>
  <c r="I589" i="10"/>
  <c r="J588" i="10"/>
  <c r="I588" i="10"/>
  <c r="J587" i="10"/>
  <c r="I587" i="10"/>
  <c r="J586" i="10"/>
  <c r="I586" i="10"/>
  <c r="J585" i="10"/>
  <c r="I585" i="10"/>
  <c r="J584" i="10"/>
  <c r="I584" i="10"/>
  <c r="J583" i="10"/>
  <c r="I583" i="10"/>
  <c r="J582" i="10"/>
  <c r="I582" i="10"/>
  <c r="J581" i="10"/>
  <c r="I581" i="10"/>
  <c r="J580" i="10"/>
  <c r="I580" i="10"/>
  <c r="J579" i="10"/>
  <c r="I579" i="10"/>
  <c r="J578" i="10"/>
  <c r="I578" i="10"/>
  <c r="J577" i="10"/>
  <c r="I577" i="10"/>
  <c r="J576" i="10"/>
  <c r="I576" i="10"/>
  <c r="J575" i="10"/>
  <c r="I575" i="10"/>
  <c r="J574" i="10"/>
  <c r="I574" i="10"/>
  <c r="J573" i="10"/>
  <c r="I573" i="10"/>
  <c r="J572" i="10"/>
  <c r="I572" i="10"/>
  <c r="J571" i="10"/>
  <c r="I571" i="10"/>
  <c r="J570" i="10"/>
  <c r="I570" i="10"/>
  <c r="J569" i="10"/>
  <c r="I569" i="10"/>
  <c r="J568" i="10"/>
  <c r="I568" i="10"/>
  <c r="J567" i="10"/>
  <c r="I567" i="10"/>
  <c r="J566" i="10"/>
  <c r="I566" i="10"/>
  <c r="J565" i="10"/>
  <c r="I565" i="10"/>
  <c r="J564" i="10"/>
  <c r="I564" i="10"/>
  <c r="J563" i="10"/>
  <c r="I563" i="10"/>
  <c r="J562" i="10"/>
  <c r="I562" i="10"/>
  <c r="J561" i="10"/>
  <c r="I561" i="10"/>
  <c r="J560" i="10"/>
  <c r="I560" i="10"/>
  <c r="J559" i="10"/>
  <c r="I559" i="10"/>
  <c r="J558" i="10"/>
  <c r="I558" i="10"/>
  <c r="J557" i="10"/>
  <c r="I557" i="10"/>
  <c r="J556" i="10"/>
  <c r="I556" i="10"/>
  <c r="J555" i="10"/>
  <c r="I555" i="10"/>
  <c r="J554" i="10"/>
  <c r="I554" i="10"/>
  <c r="J553" i="10"/>
  <c r="I553" i="10"/>
  <c r="J552" i="10"/>
  <c r="I552" i="10"/>
  <c r="J551" i="10"/>
  <c r="I551" i="10"/>
  <c r="J550" i="10"/>
  <c r="I550" i="10"/>
  <c r="J549" i="10"/>
  <c r="I549" i="10"/>
  <c r="J548" i="10"/>
  <c r="I548" i="10"/>
  <c r="J547" i="10"/>
  <c r="I547" i="10"/>
  <c r="J546" i="10"/>
  <c r="I546" i="10"/>
  <c r="J545" i="10"/>
  <c r="I545" i="10"/>
  <c r="J544" i="10"/>
  <c r="I544" i="10"/>
  <c r="J543" i="10"/>
  <c r="I543" i="10"/>
  <c r="J542" i="10"/>
  <c r="I542" i="10"/>
  <c r="J541" i="10"/>
  <c r="I541" i="10"/>
  <c r="J540" i="10"/>
  <c r="I540" i="10"/>
  <c r="J539" i="10"/>
  <c r="I539" i="10"/>
  <c r="J538" i="10"/>
  <c r="I538" i="10"/>
  <c r="J537" i="10"/>
  <c r="I537" i="10"/>
  <c r="J536" i="10"/>
  <c r="I536" i="10"/>
  <c r="J535" i="10"/>
  <c r="I535" i="10"/>
  <c r="J534" i="10"/>
  <c r="I534" i="10"/>
  <c r="J533" i="10"/>
  <c r="I533" i="10"/>
  <c r="J532" i="10"/>
  <c r="I532" i="10"/>
  <c r="J531" i="10"/>
  <c r="I531" i="10"/>
  <c r="J530" i="10"/>
  <c r="I530" i="10"/>
  <c r="J529" i="10"/>
  <c r="I529" i="10"/>
  <c r="J528" i="10"/>
  <c r="I528" i="10"/>
  <c r="J527" i="10"/>
  <c r="I527" i="10"/>
  <c r="J526" i="10"/>
  <c r="I526" i="10"/>
  <c r="J525" i="10"/>
  <c r="I525" i="10"/>
  <c r="J524" i="10"/>
  <c r="I524" i="10"/>
  <c r="J523" i="10"/>
  <c r="I523" i="10"/>
  <c r="J522" i="10"/>
  <c r="I522" i="10"/>
  <c r="J521" i="10"/>
  <c r="I521" i="10"/>
  <c r="J520" i="10"/>
  <c r="I520" i="10"/>
  <c r="J519" i="10"/>
  <c r="I519" i="10"/>
  <c r="J518" i="10"/>
  <c r="I518" i="10"/>
  <c r="J517" i="10"/>
  <c r="I517" i="10"/>
  <c r="J516" i="10"/>
  <c r="I516" i="10"/>
  <c r="J515" i="10"/>
  <c r="I515" i="10"/>
  <c r="J514" i="10"/>
  <c r="I514" i="10"/>
  <c r="J513" i="10"/>
  <c r="I513" i="10"/>
  <c r="J512" i="10"/>
  <c r="I512" i="10"/>
  <c r="J511" i="10"/>
  <c r="I511" i="10"/>
  <c r="J510" i="10"/>
  <c r="I510" i="10"/>
  <c r="J509" i="10"/>
  <c r="I509" i="10"/>
  <c r="J508" i="10"/>
  <c r="I508" i="10"/>
  <c r="J507" i="10"/>
  <c r="I507" i="10"/>
  <c r="J506" i="10"/>
  <c r="I506" i="10"/>
  <c r="J505" i="10"/>
  <c r="I505" i="10"/>
  <c r="J504" i="10"/>
  <c r="I504" i="10"/>
  <c r="J503" i="10"/>
  <c r="I503" i="10"/>
  <c r="J502" i="10"/>
  <c r="I502" i="10"/>
  <c r="J501" i="10"/>
  <c r="I501" i="10"/>
  <c r="J500" i="10"/>
  <c r="I500" i="10"/>
  <c r="J499" i="10"/>
  <c r="I499" i="10"/>
  <c r="J498" i="10"/>
  <c r="I498" i="10"/>
  <c r="J497" i="10"/>
  <c r="I497" i="10"/>
  <c r="J496" i="10"/>
  <c r="I496" i="10"/>
  <c r="J495" i="10"/>
  <c r="I495" i="10"/>
  <c r="J494" i="10"/>
  <c r="I494" i="10"/>
  <c r="J493" i="10"/>
  <c r="I493" i="10"/>
  <c r="J492" i="10"/>
  <c r="I492" i="10"/>
  <c r="J491" i="10"/>
  <c r="I491" i="10"/>
  <c r="J490" i="10"/>
  <c r="I490" i="10"/>
  <c r="J489" i="10"/>
  <c r="I489" i="10"/>
  <c r="J488" i="10"/>
  <c r="I488" i="10"/>
  <c r="J487" i="10"/>
  <c r="I487" i="10"/>
  <c r="J486" i="10"/>
  <c r="I486" i="10"/>
  <c r="J485" i="10"/>
  <c r="I485" i="10"/>
  <c r="J484" i="10"/>
  <c r="I484" i="10"/>
  <c r="J483" i="10"/>
  <c r="I483" i="10"/>
  <c r="J482" i="10"/>
  <c r="I482" i="10"/>
  <c r="J481" i="10"/>
  <c r="I481" i="10"/>
  <c r="J480" i="10"/>
  <c r="I480" i="10"/>
  <c r="J479" i="10"/>
  <c r="I479" i="10"/>
  <c r="J478" i="10"/>
  <c r="I478" i="10"/>
  <c r="J477" i="10"/>
  <c r="I477" i="10"/>
  <c r="J476" i="10"/>
  <c r="I476" i="10"/>
  <c r="J475" i="10"/>
  <c r="I475" i="10"/>
  <c r="J474" i="10"/>
  <c r="I474" i="10"/>
  <c r="J473" i="10"/>
  <c r="I473" i="10"/>
  <c r="J472" i="10"/>
  <c r="I472" i="10"/>
  <c r="J471" i="10"/>
  <c r="I471" i="10"/>
  <c r="J470" i="10"/>
  <c r="I470" i="10"/>
  <c r="J469" i="10"/>
  <c r="I469" i="10"/>
  <c r="J468" i="10"/>
  <c r="I468" i="10"/>
  <c r="J467" i="10"/>
  <c r="I467" i="10"/>
  <c r="J466" i="10"/>
  <c r="I466" i="10"/>
  <c r="J465" i="10"/>
  <c r="I465" i="10"/>
  <c r="J464" i="10"/>
  <c r="I464" i="10"/>
  <c r="J463" i="10"/>
  <c r="I463" i="10"/>
  <c r="J462" i="10"/>
  <c r="I462" i="10"/>
  <c r="J461" i="10"/>
  <c r="I461" i="10"/>
  <c r="J460" i="10"/>
  <c r="I460" i="10"/>
  <c r="J459" i="10"/>
  <c r="I459" i="10"/>
  <c r="J458" i="10"/>
  <c r="I458" i="10"/>
  <c r="J457" i="10"/>
  <c r="I457" i="10"/>
  <c r="J456" i="10"/>
  <c r="I456" i="10"/>
  <c r="J455" i="10"/>
  <c r="I455" i="10"/>
  <c r="J454" i="10"/>
  <c r="I454" i="10"/>
  <c r="J453" i="10"/>
  <c r="I453" i="10"/>
  <c r="J452" i="10"/>
  <c r="I452" i="10"/>
  <c r="J451" i="10"/>
  <c r="I451" i="10"/>
  <c r="J450" i="10"/>
  <c r="I450" i="10"/>
  <c r="J449" i="10"/>
  <c r="I449" i="10"/>
  <c r="J448" i="10"/>
  <c r="I448" i="10"/>
  <c r="J447" i="10"/>
  <c r="I447" i="10"/>
  <c r="J446" i="10"/>
  <c r="I446" i="10"/>
  <c r="J445" i="10"/>
  <c r="I445" i="10"/>
  <c r="J444" i="10"/>
  <c r="I444" i="10"/>
  <c r="J443" i="10"/>
  <c r="I443" i="10"/>
  <c r="J442" i="10"/>
  <c r="I442" i="10"/>
  <c r="J441" i="10"/>
  <c r="I441" i="10"/>
  <c r="J440" i="10"/>
  <c r="I440" i="10"/>
  <c r="J439" i="10"/>
  <c r="I439" i="10"/>
  <c r="J438" i="10"/>
  <c r="I438" i="10"/>
  <c r="J437" i="10"/>
  <c r="I437" i="10"/>
  <c r="J436" i="10"/>
  <c r="I436" i="10"/>
  <c r="J435" i="10"/>
  <c r="I435" i="10"/>
  <c r="J434" i="10"/>
  <c r="I434" i="10"/>
  <c r="J433" i="10"/>
  <c r="I433" i="10"/>
  <c r="J432" i="10"/>
  <c r="I432" i="10"/>
  <c r="J431" i="10"/>
  <c r="I431" i="10"/>
  <c r="J430" i="10"/>
  <c r="I430" i="10"/>
  <c r="J429" i="10"/>
  <c r="I429" i="10"/>
  <c r="J428" i="10"/>
  <c r="I428" i="10"/>
  <c r="J427" i="10"/>
  <c r="I427" i="10"/>
  <c r="J426" i="10"/>
  <c r="I426" i="10"/>
  <c r="J425" i="10"/>
  <c r="I425" i="10"/>
  <c r="J424" i="10"/>
  <c r="I424" i="10"/>
  <c r="J423" i="10"/>
  <c r="I423" i="10"/>
  <c r="J422" i="10"/>
  <c r="I422" i="10"/>
  <c r="J421" i="10"/>
  <c r="I421" i="10"/>
  <c r="J420" i="10"/>
  <c r="I420" i="10"/>
  <c r="J419" i="10"/>
  <c r="I419" i="10"/>
  <c r="J418" i="10"/>
  <c r="I418" i="10"/>
  <c r="J417" i="10"/>
  <c r="I417" i="10"/>
  <c r="J416" i="10"/>
  <c r="I416" i="10"/>
  <c r="J415" i="10"/>
  <c r="I415" i="10"/>
  <c r="J414" i="10"/>
  <c r="I414" i="10"/>
  <c r="J413" i="10"/>
  <c r="I413" i="10"/>
  <c r="J412" i="10"/>
  <c r="I412" i="10"/>
  <c r="J411" i="10"/>
  <c r="I411" i="10"/>
  <c r="J410" i="10"/>
  <c r="I410" i="10"/>
  <c r="J409" i="10"/>
  <c r="I409" i="10"/>
  <c r="J408" i="10"/>
  <c r="I408" i="10"/>
  <c r="J407" i="10"/>
  <c r="I407" i="10"/>
  <c r="J406" i="10"/>
  <c r="I406" i="10"/>
  <c r="J405" i="10"/>
  <c r="I405" i="10"/>
  <c r="J404" i="10"/>
  <c r="I404" i="10"/>
  <c r="J403" i="10"/>
  <c r="I403" i="10"/>
  <c r="J402" i="10"/>
  <c r="I402" i="10"/>
  <c r="J401" i="10"/>
  <c r="I401" i="10"/>
  <c r="J400" i="10"/>
  <c r="I400" i="10"/>
  <c r="J399" i="10"/>
  <c r="I399" i="10"/>
  <c r="J398" i="10"/>
  <c r="I398" i="10"/>
  <c r="J397" i="10"/>
  <c r="I397" i="10"/>
  <c r="J396" i="10"/>
  <c r="I396" i="10"/>
  <c r="J395" i="10"/>
  <c r="I395" i="10"/>
  <c r="J394" i="10"/>
  <c r="I394" i="10"/>
  <c r="J393" i="10"/>
  <c r="I393" i="10"/>
  <c r="J392" i="10"/>
  <c r="I392" i="10"/>
  <c r="J391" i="10"/>
  <c r="I391" i="10"/>
  <c r="J390" i="10"/>
  <c r="I390" i="10"/>
  <c r="J389" i="10"/>
  <c r="I389" i="10"/>
  <c r="J388" i="10"/>
  <c r="I388" i="10"/>
  <c r="J387" i="10"/>
  <c r="I387" i="10"/>
  <c r="J386" i="10"/>
  <c r="I386" i="10"/>
  <c r="J385" i="10"/>
  <c r="I385" i="10"/>
  <c r="J384" i="10"/>
  <c r="I384" i="10"/>
  <c r="J383" i="10"/>
  <c r="I383" i="10"/>
  <c r="J382" i="10"/>
  <c r="I382" i="10"/>
  <c r="J381" i="10"/>
  <c r="I381" i="10"/>
  <c r="J380" i="10"/>
  <c r="I380" i="10"/>
  <c r="J379" i="10"/>
  <c r="I379" i="10"/>
  <c r="J378" i="10"/>
  <c r="I378" i="10"/>
  <c r="J377" i="10"/>
  <c r="I377" i="10"/>
  <c r="J376" i="10"/>
  <c r="I376" i="10"/>
  <c r="J375" i="10"/>
  <c r="I375" i="10"/>
  <c r="J374" i="10"/>
  <c r="I374" i="10"/>
  <c r="J373" i="10"/>
  <c r="I373" i="10"/>
  <c r="J372" i="10"/>
  <c r="I372" i="10"/>
  <c r="J371" i="10"/>
  <c r="I371" i="10"/>
  <c r="J370" i="10"/>
  <c r="I370" i="10"/>
  <c r="J369" i="10"/>
  <c r="I369" i="10"/>
  <c r="J368" i="10"/>
  <c r="I368" i="10"/>
  <c r="J367" i="10"/>
  <c r="I367" i="10"/>
  <c r="J366" i="10"/>
  <c r="I366" i="10"/>
  <c r="J365" i="10"/>
  <c r="I365" i="10"/>
  <c r="J364" i="10"/>
  <c r="I364" i="10"/>
  <c r="J363" i="10"/>
  <c r="I363" i="10"/>
  <c r="J362" i="10"/>
  <c r="I362" i="10"/>
  <c r="J361" i="10"/>
  <c r="I361" i="10"/>
  <c r="J360" i="10"/>
  <c r="I360" i="10"/>
  <c r="J359" i="10"/>
  <c r="I359" i="10"/>
  <c r="J358" i="10"/>
  <c r="I358" i="10"/>
  <c r="J357" i="10"/>
  <c r="I357" i="10"/>
  <c r="J356" i="10"/>
  <c r="I356" i="10"/>
  <c r="J355" i="10"/>
  <c r="I355" i="10"/>
  <c r="J354" i="10"/>
  <c r="I354" i="10"/>
  <c r="J353" i="10"/>
  <c r="I353" i="10"/>
  <c r="J352" i="10"/>
  <c r="I352" i="10"/>
  <c r="J351" i="10"/>
  <c r="I351" i="10"/>
  <c r="J350" i="10"/>
  <c r="I350" i="10"/>
  <c r="J349" i="10"/>
  <c r="I349" i="10"/>
  <c r="J348" i="10"/>
  <c r="I348" i="10"/>
  <c r="J347" i="10"/>
  <c r="I347" i="10"/>
  <c r="J346" i="10"/>
  <c r="I346" i="10"/>
  <c r="J345" i="10"/>
  <c r="I345" i="10"/>
  <c r="J344" i="10"/>
  <c r="I344" i="10"/>
  <c r="J343" i="10"/>
  <c r="I343" i="10"/>
  <c r="J342" i="10"/>
  <c r="I342" i="10"/>
  <c r="J341" i="10"/>
  <c r="I341" i="10"/>
  <c r="J340" i="10"/>
  <c r="I340" i="10"/>
  <c r="J339" i="10"/>
  <c r="I339" i="10"/>
  <c r="J338" i="10"/>
  <c r="I338" i="10"/>
  <c r="J337" i="10"/>
  <c r="I337" i="10"/>
  <c r="J336" i="10"/>
  <c r="I336" i="10"/>
  <c r="J335" i="10"/>
  <c r="I335" i="10"/>
  <c r="J334" i="10"/>
  <c r="I334" i="10"/>
  <c r="J333" i="10"/>
  <c r="I333" i="10"/>
  <c r="J332" i="10"/>
  <c r="I332" i="10"/>
  <c r="J331" i="10"/>
  <c r="I331" i="10"/>
  <c r="J330" i="10"/>
  <c r="I330" i="10"/>
  <c r="J329" i="10"/>
  <c r="I329" i="10"/>
  <c r="J328" i="10"/>
  <c r="I328" i="10"/>
  <c r="J327" i="10"/>
  <c r="I327" i="10"/>
  <c r="J326" i="10"/>
  <c r="I326" i="10"/>
  <c r="J325" i="10"/>
  <c r="I325" i="10"/>
  <c r="J324" i="10"/>
  <c r="I324" i="10"/>
  <c r="J323" i="10"/>
  <c r="I323" i="10"/>
  <c r="J322" i="10"/>
  <c r="I322" i="10"/>
  <c r="J321" i="10"/>
  <c r="I321" i="10"/>
  <c r="J320" i="10"/>
  <c r="I320" i="10"/>
  <c r="J319" i="10"/>
  <c r="I319" i="10"/>
  <c r="J318" i="10"/>
  <c r="I318" i="10"/>
  <c r="J317" i="10"/>
  <c r="I317" i="10"/>
  <c r="J316" i="10"/>
  <c r="I316" i="10"/>
  <c r="J315" i="10"/>
  <c r="I315" i="10"/>
  <c r="J314" i="10"/>
  <c r="I314" i="10"/>
  <c r="J313" i="10"/>
  <c r="I313" i="10"/>
  <c r="J312" i="10"/>
  <c r="I312" i="10"/>
  <c r="J311" i="10"/>
  <c r="I311" i="10"/>
  <c r="J310" i="10"/>
  <c r="I310" i="10"/>
  <c r="J309" i="10"/>
  <c r="I309" i="10"/>
  <c r="J308" i="10"/>
  <c r="I308" i="10"/>
  <c r="J307" i="10"/>
  <c r="I307" i="10"/>
  <c r="J306" i="10"/>
  <c r="I306" i="10"/>
  <c r="J305" i="10"/>
  <c r="I305" i="10"/>
  <c r="J304" i="10"/>
  <c r="I304" i="10"/>
  <c r="J303" i="10"/>
  <c r="I303" i="10"/>
  <c r="J302" i="10"/>
  <c r="I302" i="10"/>
  <c r="J301" i="10"/>
  <c r="I301" i="10"/>
  <c r="J300" i="10"/>
  <c r="I300" i="10"/>
  <c r="J299" i="10"/>
  <c r="I299" i="10"/>
  <c r="J298" i="10"/>
  <c r="I298" i="10"/>
  <c r="J297" i="10"/>
  <c r="I297" i="10"/>
  <c r="J296" i="10"/>
  <c r="I296" i="10"/>
  <c r="J295" i="10"/>
  <c r="I295" i="10"/>
  <c r="J294" i="10"/>
  <c r="I294" i="10"/>
  <c r="J293" i="10"/>
  <c r="I293" i="10"/>
  <c r="J292" i="10"/>
  <c r="I292" i="10"/>
  <c r="J291" i="10"/>
  <c r="I291" i="10"/>
  <c r="J290" i="10"/>
  <c r="I290" i="10"/>
  <c r="J289" i="10"/>
  <c r="I289" i="10"/>
  <c r="J288" i="10"/>
  <c r="I288" i="10"/>
  <c r="J287" i="10"/>
  <c r="I287" i="10"/>
  <c r="J286" i="10"/>
  <c r="I286" i="10"/>
  <c r="J285" i="10"/>
  <c r="I285" i="10"/>
  <c r="J284" i="10"/>
  <c r="I284" i="10"/>
  <c r="J283" i="10"/>
  <c r="I283" i="10"/>
  <c r="J282" i="10"/>
  <c r="I282" i="10"/>
  <c r="J281" i="10"/>
  <c r="I281" i="10"/>
  <c r="J280" i="10"/>
  <c r="I280" i="10"/>
  <c r="J279" i="10"/>
  <c r="I279" i="10"/>
  <c r="J278" i="10"/>
  <c r="I278" i="10"/>
  <c r="J277" i="10"/>
  <c r="I277" i="10"/>
  <c r="J276" i="10"/>
  <c r="I276" i="10"/>
  <c r="J275" i="10"/>
  <c r="I275" i="10"/>
  <c r="J274" i="10"/>
  <c r="I274" i="10"/>
  <c r="J273" i="10"/>
  <c r="I273" i="10"/>
  <c r="J272" i="10"/>
  <c r="I272" i="10"/>
  <c r="J271" i="10"/>
  <c r="I271" i="10"/>
  <c r="J270" i="10"/>
  <c r="I270" i="10"/>
  <c r="J269" i="10"/>
  <c r="I269" i="10"/>
  <c r="J268" i="10"/>
  <c r="I268" i="10"/>
  <c r="J267" i="10"/>
  <c r="I267" i="10"/>
  <c r="J266" i="10"/>
  <c r="I266" i="10"/>
  <c r="J265" i="10"/>
  <c r="I265" i="10"/>
  <c r="J264" i="10"/>
  <c r="I264" i="10"/>
  <c r="J263" i="10"/>
  <c r="I263" i="10"/>
  <c r="J262" i="10"/>
  <c r="I262" i="10"/>
  <c r="J261" i="10"/>
  <c r="I261" i="10"/>
  <c r="J260" i="10"/>
  <c r="I260" i="10"/>
  <c r="J259" i="10"/>
  <c r="I259" i="10"/>
  <c r="J258" i="10"/>
  <c r="I258" i="10"/>
  <c r="J257" i="10"/>
  <c r="I257" i="10"/>
  <c r="J256" i="10"/>
  <c r="I256" i="10"/>
  <c r="J255" i="10"/>
  <c r="I255" i="10"/>
  <c r="J254" i="10"/>
  <c r="I254" i="10"/>
  <c r="J253" i="10"/>
  <c r="I253" i="10"/>
  <c r="J252" i="10"/>
  <c r="I252" i="10"/>
  <c r="J251" i="10"/>
  <c r="I251" i="10"/>
  <c r="J250" i="10"/>
  <c r="I250" i="10"/>
  <c r="J249" i="10"/>
  <c r="I249" i="10"/>
  <c r="J248" i="10"/>
  <c r="I248" i="10"/>
  <c r="J247" i="10"/>
  <c r="I247" i="10"/>
  <c r="J246" i="10"/>
  <c r="I246" i="10"/>
  <c r="J245" i="10"/>
  <c r="I245" i="10"/>
  <c r="J244" i="10"/>
  <c r="I244" i="10"/>
  <c r="J243" i="10"/>
  <c r="I243" i="10"/>
  <c r="J242" i="10"/>
  <c r="I242" i="10"/>
  <c r="J241" i="10"/>
  <c r="I241" i="10"/>
  <c r="J240" i="10"/>
  <c r="I240" i="10"/>
  <c r="J239" i="10"/>
  <c r="I239" i="10"/>
  <c r="J238" i="10"/>
  <c r="I238" i="10"/>
  <c r="J237" i="10"/>
  <c r="I237" i="10"/>
  <c r="J236" i="10"/>
  <c r="I236" i="10"/>
  <c r="J235" i="10"/>
  <c r="I235" i="10"/>
  <c r="J234" i="10"/>
  <c r="I234" i="10"/>
  <c r="J233" i="10"/>
  <c r="I233" i="10"/>
  <c r="J232" i="10"/>
  <c r="I232" i="10"/>
  <c r="J231" i="10"/>
  <c r="I231" i="10"/>
  <c r="J230" i="10"/>
  <c r="I230" i="10"/>
  <c r="J229" i="10"/>
  <c r="I229" i="10"/>
  <c r="J228" i="10"/>
  <c r="I228" i="10"/>
  <c r="J227" i="10"/>
  <c r="I227" i="10"/>
  <c r="J226" i="10"/>
  <c r="I226" i="10"/>
  <c r="J225" i="10"/>
  <c r="I225" i="10"/>
  <c r="J224" i="10"/>
  <c r="I224" i="10"/>
  <c r="J223" i="10"/>
  <c r="I223" i="10"/>
  <c r="J222" i="10"/>
  <c r="I222" i="10"/>
  <c r="J221" i="10"/>
  <c r="I221" i="10"/>
  <c r="J220" i="10"/>
  <c r="I220" i="10"/>
  <c r="J219" i="10"/>
  <c r="I219" i="10"/>
  <c r="J218" i="10"/>
  <c r="I218" i="10"/>
  <c r="J217" i="10"/>
  <c r="I217" i="10"/>
  <c r="J216" i="10"/>
  <c r="I216" i="10"/>
  <c r="J215" i="10"/>
  <c r="I215" i="10"/>
  <c r="J214" i="10"/>
  <c r="I214" i="10"/>
  <c r="J213" i="10"/>
  <c r="I213" i="10"/>
  <c r="J212" i="10"/>
  <c r="I212" i="10"/>
  <c r="J211" i="10"/>
  <c r="I211" i="10"/>
  <c r="J210" i="10"/>
  <c r="I210" i="10"/>
  <c r="J209" i="10"/>
  <c r="I209" i="10"/>
  <c r="J208" i="10"/>
  <c r="I208" i="10"/>
  <c r="J207" i="10"/>
  <c r="I207" i="10"/>
  <c r="J206" i="10"/>
  <c r="I206" i="10"/>
  <c r="J205" i="10"/>
  <c r="I205" i="10"/>
  <c r="J204" i="10"/>
  <c r="I204" i="10"/>
  <c r="J203" i="10"/>
  <c r="I203" i="10"/>
  <c r="J202" i="10"/>
  <c r="I202" i="10"/>
  <c r="J201" i="10"/>
  <c r="I201" i="10"/>
  <c r="J200" i="10"/>
  <c r="I200" i="10"/>
  <c r="J199" i="10"/>
  <c r="I199" i="10"/>
  <c r="J198" i="10"/>
  <c r="I198" i="10"/>
  <c r="J197" i="10"/>
  <c r="I197" i="10"/>
  <c r="J196" i="10"/>
  <c r="I196" i="10"/>
  <c r="J195" i="10"/>
  <c r="I195" i="10"/>
  <c r="J194" i="10"/>
  <c r="I194" i="10"/>
  <c r="J193" i="10"/>
  <c r="I193" i="10"/>
  <c r="J192" i="10"/>
  <c r="I192" i="10"/>
  <c r="J191" i="10"/>
  <c r="I191" i="10"/>
  <c r="J190" i="10"/>
  <c r="I190" i="10"/>
  <c r="J189" i="10"/>
  <c r="I189" i="10"/>
  <c r="J188" i="10"/>
  <c r="I188" i="10"/>
  <c r="J187" i="10"/>
  <c r="I187" i="10"/>
  <c r="J186" i="10"/>
  <c r="I186" i="10"/>
  <c r="J185" i="10"/>
  <c r="I185" i="10"/>
  <c r="J184" i="10"/>
  <c r="D7" i="13" s="1"/>
  <c r="I184" i="10"/>
  <c r="C7" i="13" s="1"/>
  <c r="J183" i="10"/>
  <c r="I183" i="10"/>
  <c r="J182" i="10"/>
  <c r="I182" i="10"/>
  <c r="J181" i="10"/>
  <c r="I181" i="10"/>
  <c r="J180" i="10"/>
  <c r="I180" i="10"/>
  <c r="J179" i="10"/>
  <c r="I179" i="10"/>
  <c r="J178" i="10"/>
  <c r="I178" i="10"/>
  <c r="J177" i="10"/>
  <c r="I177" i="10"/>
  <c r="J176" i="10"/>
  <c r="I176" i="10"/>
  <c r="J175" i="10"/>
  <c r="I175" i="10"/>
  <c r="J174" i="10"/>
  <c r="I174" i="10"/>
  <c r="J173" i="10"/>
  <c r="I173" i="10"/>
  <c r="J172" i="10"/>
  <c r="I172" i="10"/>
  <c r="J171" i="10"/>
  <c r="I171" i="10"/>
  <c r="J170" i="10"/>
  <c r="I170" i="10"/>
  <c r="J169" i="10"/>
  <c r="I169" i="10"/>
  <c r="J168" i="10"/>
  <c r="I168" i="10"/>
  <c r="J167" i="10"/>
  <c r="I167" i="10"/>
  <c r="J166" i="10"/>
  <c r="I166" i="10"/>
  <c r="J165" i="10"/>
  <c r="I165" i="10"/>
  <c r="J164" i="10"/>
  <c r="I164" i="10"/>
  <c r="J163" i="10"/>
  <c r="I163" i="10"/>
  <c r="J162" i="10"/>
  <c r="I162" i="10"/>
  <c r="J161" i="10"/>
  <c r="I161" i="10"/>
  <c r="J160" i="10"/>
  <c r="I160" i="10"/>
  <c r="J159" i="10"/>
  <c r="I159" i="10"/>
  <c r="J158" i="10"/>
  <c r="I158" i="10"/>
  <c r="J157" i="10"/>
  <c r="I157" i="10"/>
  <c r="J156" i="10"/>
  <c r="I156" i="10"/>
  <c r="J155" i="10"/>
  <c r="I155" i="10"/>
  <c r="J154" i="10"/>
  <c r="I154" i="10"/>
  <c r="J153" i="10"/>
  <c r="I153" i="10"/>
  <c r="J152" i="10"/>
  <c r="I152" i="10"/>
  <c r="J151" i="10"/>
  <c r="I151" i="10"/>
  <c r="J150" i="10"/>
  <c r="I150" i="10"/>
  <c r="J149" i="10"/>
  <c r="I149" i="10"/>
  <c r="J148" i="10"/>
  <c r="I148" i="10"/>
  <c r="J147" i="10"/>
  <c r="I147" i="10"/>
  <c r="J146" i="10"/>
  <c r="I146" i="10"/>
  <c r="J145" i="10"/>
  <c r="I145" i="10"/>
  <c r="J144" i="10"/>
  <c r="I144" i="10"/>
  <c r="J143" i="10"/>
  <c r="I143" i="10"/>
  <c r="J142" i="10"/>
  <c r="I142" i="10"/>
  <c r="J141" i="10"/>
  <c r="I141" i="10"/>
  <c r="J140" i="10"/>
  <c r="I140" i="10"/>
  <c r="J139" i="10"/>
  <c r="I139" i="10"/>
  <c r="J138" i="10"/>
  <c r="I138" i="10"/>
  <c r="J137" i="10"/>
  <c r="I137" i="10"/>
  <c r="J136" i="10"/>
  <c r="I136" i="10"/>
  <c r="J135" i="10"/>
  <c r="I135" i="10"/>
  <c r="J134" i="10"/>
  <c r="I134" i="10"/>
  <c r="J133" i="10"/>
  <c r="I133" i="10"/>
  <c r="J132" i="10"/>
  <c r="I132" i="10"/>
  <c r="J131" i="10"/>
  <c r="I131" i="10"/>
  <c r="J130" i="10"/>
  <c r="I130" i="10"/>
  <c r="J129" i="10"/>
  <c r="I129" i="10"/>
  <c r="J128" i="10"/>
  <c r="I128" i="10"/>
  <c r="J127" i="10"/>
  <c r="I127" i="10"/>
  <c r="J126" i="10"/>
  <c r="I126" i="10"/>
  <c r="J125" i="10"/>
  <c r="I125" i="10"/>
  <c r="J124" i="10"/>
  <c r="I124" i="10"/>
  <c r="J123" i="10"/>
  <c r="I123" i="10"/>
  <c r="J122" i="10"/>
  <c r="I122" i="10"/>
  <c r="J121" i="10"/>
  <c r="I121" i="10"/>
  <c r="J120" i="10"/>
  <c r="I120" i="10"/>
  <c r="J119" i="10"/>
  <c r="I119" i="10"/>
  <c r="J118" i="10"/>
  <c r="I118" i="10"/>
  <c r="J117" i="10"/>
  <c r="I117" i="10"/>
  <c r="J116" i="10"/>
  <c r="I116" i="10"/>
  <c r="J115" i="10"/>
  <c r="I115" i="10"/>
  <c r="J114" i="10"/>
  <c r="I114" i="10"/>
  <c r="J113" i="10"/>
  <c r="I113" i="10"/>
  <c r="J112" i="10"/>
  <c r="I112" i="10"/>
  <c r="J111" i="10"/>
  <c r="I111" i="10"/>
  <c r="J110" i="10"/>
  <c r="I110" i="10"/>
  <c r="J109" i="10"/>
  <c r="I109" i="10"/>
  <c r="J108" i="10"/>
  <c r="I108" i="10"/>
  <c r="J107" i="10"/>
  <c r="I107" i="10"/>
  <c r="J106" i="10"/>
  <c r="I106" i="10"/>
  <c r="J105" i="10"/>
  <c r="I105" i="10"/>
  <c r="J104" i="10"/>
  <c r="I104" i="10"/>
  <c r="J103" i="10"/>
  <c r="I103" i="10"/>
  <c r="J102" i="10"/>
  <c r="I102" i="10"/>
  <c r="J101" i="10"/>
  <c r="I101" i="10"/>
  <c r="J100" i="10"/>
  <c r="I100" i="10"/>
  <c r="J99" i="10"/>
  <c r="I99" i="10"/>
  <c r="J98" i="10"/>
  <c r="I98" i="10"/>
  <c r="J97" i="10"/>
  <c r="I97" i="10"/>
  <c r="J96" i="10"/>
  <c r="I96" i="10"/>
  <c r="J95" i="10"/>
  <c r="I95" i="10"/>
  <c r="J94" i="10"/>
  <c r="I94" i="10"/>
  <c r="J93" i="10"/>
  <c r="I93" i="10"/>
  <c r="J92" i="10"/>
  <c r="I92" i="10"/>
  <c r="J91" i="10"/>
  <c r="I91" i="10"/>
  <c r="J90" i="10"/>
  <c r="I90" i="10"/>
  <c r="J89" i="10"/>
  <c r="I89" i="10"/>
  <c r="J88" i="10"/>
  <c r="I88" i="10"/>
  <c r="J87" i="10"/>
  <c r="I87" i="10"/>
  <c r="J86" i="10"/>
  <c r="I86" i="10"/>
  <c r="J85" i="10"/>
  <c r="I85" i="10"/>
  <c r="J84" i="10"/>
  <c r="I84" i="10"/>
  <c r="J83" i="10"/>
  <c r="I83" i="10"/>
  <c r="J82" i="10"/>
  <c r="I82" i="10"/>
  <c r="J81" i="10"/>
  <c r="I81" i="10"/>
  <c r="J80" i="10"/>
  <c r="I80" i="10"/>
  <c r="J79" i="10"/>
  <c r="I79" i="10"/>
  <c r="J78" i="10"/>
  <c r="I78" i="10"/>
  <c r="J77" i="10"/>
  <c r="I77" i="10"/>
  <c r="J76" i="10"/>
  <c r="I76" i="10"/>
  <c r="J75" i="10"/>
  <c r="I75" i="10"/>
  <c r="J74" i="10"/>
  <c r="I74" i="10"/>
  <c r="J73" i="10"/>
  <c r="I73" i="10"/>
  <c r="J72" i="10"/>
  <c r="I72" i="10"/>
  <c r="J71" i="10"/>
  <c r="I71" i="10"/>
  <c r="J70" i="10"/>
  <c r="I70" i="10"/>
  <c r="J69" i="10"/>
  <c r="I69" i="10"/>
  <c r="J68" i="10"/>
  <c r="I68" i="10"/>
  <c r="J67" i="10"/>
  <c r="I67" i="10"/>
  <c r="J66" i="10"/>
  <c r="I66" i="10"/>
  <c r="J65" i="10"/>
  <c r="I65" i="10"/>
  <c r="J64" i="10"/>
  <c r="I64" i="10"/>
  <c r="J63" i="10"/>
  <c r="I63" i="10"/>
  <c r="J62" i="10"/>
  <c r="I62" i="10"/>
  <c r="J61" i="10"/>
  <c r="I61" i="10"/>
  <c r="J60" i="10"/>
  <c r="I60" i="10"/>
  <c r="J59" i="10"/>
  <c r="I59" i="10"/>
  <c r="J58" i="10"/>
  <c r="I58" i="10"/>
  <c r="J57" i="10"/>
  <c r="I57" i="10"/>
  <c r="J56" i="10"/>
  <c r="I56" i="10"/>
  <c r="J55" i="10"/>
  <c r="I55" i="10"/>
  <c r="J54" i="10"/>
  <c r="I54" i="10"/>
  <c r="J53" i="10"/>
  <c r="I53" i="10"/>
  <c r="J52" i="10"/>
  <c r="I52" i="10"/>
  <c r="J51" i="10"/>
  <c r="I51" i="10"/>
  <c r="J50" i="10"/>
  <c r="I50" i="10"/>
  <c r="J49" i="10"/>
  <c r="I49" i="10"/>
  <c r="J48" i="10"/>
  <c r="I48" i="10"/>
  <c r="J47" i="10"/>
  <c r="I47" i="10"/>
  <c r="J46" i="10"/>
  <c r="I46" i="10"/>
  <c r="J45" i="10"/>
  <c r="I45" i="10"/>
  <c r="J44" i="10"/>
  <c r="I44" i="10"/>
  <c r="J43" i="10"/>
  <c r="I43" i="10"/>
  <c r="J42" i="10"/>
  <c r="I42" i="10"/>
  <c r="J41" i="10"/>
  <c r="I41" i="10"/>
  <c r="J40" i="10"/>
  <c r="I40" i="10"/>
  <c r="J39" i="10"/>
  <c r="I39" i="10"/>
  <c r="J38" i="10"/>
  <c r="I38" i="10"/>
  <c r="J37" i="10"/>
  <c r="I37" i="10"/>
  <c r="J36" i="10"/>
  <c r="I36" i="10"/>
  <c r="J35" i="10"/>
  <c r="I35" i="10"/>
  <c r="J34" i="10"/>
  <c r="I34" i="10"/>
  <c r="J33" i="10"/>
  <c r="I33" i="10"/>
  <c r="J32" i="10"/>
  <c r="I32" i="10"/>
  <c r="J31" i="10"/>
  <c r="I31" i="10"/>
  <c r="J30" i="10"/>
  <c r="I30" i="10"/>
  <c r="J29" i="10"/>
  <c r="I29" i="10"/>
  <c r="J28" i="10"/>
  <c r="I28" i="10"/>
  <c r="J27" i="10"/>
  <c r="I27" i="10"/>
  <c r="J26" i="10"/>
  <c r="I26" i="10"/>
  <c r="J25" i="10"/>
  <c r="I25" i="10"/>
  <c r="J24" i="10"/>
  <c r="I24" i="10"/>
  <c r="J23" i="10"/>
  <c r="I23" i="10"/>
  <c r="J22" i="10"/>
  <c r="I22" i="10"/>
  <c r="J21" i="10"/>
  <c r="I21" i="10"/>
  <c r="J20" i="10"/>
  <c r="I20" i="10"/>
  <c r="J19" i="10"/>
  <c r="I19" i="10"/>
  <c r="J18" i="10"/>
  <c r="I18" i="10"/>
  <c r="J17" i="10"/>
  <c r="I17" i="10"/>
  <c r="J16" i="10"/>
  <c r="I16" i="10"/>
  <c r="J15" i="10"/>
  <c r="I15" i="10"/>
  <c r="J14" i="10"/>
  <c r="I14" i="10"/>
  <c r="J13" i="10"/>
  <c r="I13" i="10"/>
  <c r="J12" i="10"/>
  <c r="I12" i="10"/>
  <c r="J11" i="10"/>
  <c r="I11" i="10"/>
  <c r="J10" i="10"/>
  <c r="I10" i="10"/>
  <c r="J9" i="10"/>
  <c r="I9" i="10"/>
  <c r="J8" i="10"/>
  <c r="I8" i="10"/>
  <c r="J7" i="10"/>
  <c r="I7" i="10"/>
  <c r="J6" i="10"/>
  <c r="I6" i="10"/>
  <c r="J5" i="10"/>
  <c r="I5" i="10"/>
  <c r="J4" i="10"/>
  <c r="I4" i="10"/>
  <c r="J3" i="10"/>
  <c r="I3" i="10"/>
  <c r="J2" i="10"/>
  <c r="I2" i="10"/>
  <c r="O8" i="9"/>
  <c r="O7" i="9"/>
  <c r="O6" i="9"/>
  <c r="O5" i="9"/>
  <c r="O4" i="9"/>
  <c r="O3" i="9"/>
  <c r="O2" i="9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K8" i="7"/>
  <c r="I8" i="7"/>
  <c r="J8" i="7" s="1"/>
  <c r="K7" i="7"/>
  <c r="I7" i="7"/>
  <c r="J7" i="7" s="1"/>
  <c r="I6" i="7"/>
  <c r="J6" i="7" s="1"/>
  <c r="K5" i="7"/>
  <c r="I5" i="7"/>
  <c r="J5" i="7" s="1"/>
  <c r="I4" i="7"/>
  <c r="K4" i="7" s="1"/>
  <c r="K3" i="7"/>
  <c r="J3" i="7"/>
  <c r="I3" i="7"/>
  <c r="K2" i="7"/>
  <c r="J2" i="7"/>
  <c r="I2" i="7"/>
  <c r="U28" i="4"/>
  <c r="V28" i="4" s="1"/>
  <c r="R28" i="4"/>
  <c r="Q28" i="4"/>
  <c r="P28" i="4"/>
  <c r="U27" i="4"/>
  <c r="V27" i="4" s="1"/>
  <c r="R27" i="4"/>
  <c r="Q27" i="4"/>
  <c r="P27" i="4"/>
  <c r="U26" i="4"/>
  <c r="V26" i="4" s="1"/>
  <c r="R26" i="4"/>
  <c r="Q26" i="4"/>
  <c r="P26" i="4"/>
  <c r="U25" i="4"/>
  <c r="V25" i="4" s="1"/>
  <c r="R25" i="4"/>
  <c r="Q25" i="4"/>
  <c r="P25" i="4"/>
  <c r="V24" i="4"/>
  <c r="U24" i="4"/>
  <c r="R24" i="4"/>
  <c r="Q24" i="4"/>
  <c r="P24" i="4"/>
  <c r="U23" i="4"/>
  <c r="V23" i="4" s="1"/>
  <c r="R23" i="4"/>
  <c r="Q23" i="4"/>
  <c r="P23" i="4"/>
  <c r="V22" i="4"/>
  <c r="U22" i="4"/>
  <c r="R22" i="4"/>
  <c r="Q22" i="4"/>
  <c r="P22" i="4"/>
  <c r="U21" i="4"/>
  <c r="V21" i="4" s="1"/>
  <c r="R21" i="4"/>
  <c r="Q21" i="4"/>
  <c r="P21" i="4"/>
  <c r="U20" i="4"/>
  <c r="V20" i="4" s="1"/>
  <c r="R20" i="4"/>
  <c r="Q20" i="4"/>
  <c r="P20" i="4"/>
  <c r="V19" i="4"/>
  <c r="U19" i="4"/>
  <c r="R19" i="4"/>
  <c r="Q19" i="4"/>
  <c r="P19" i="4"/>
  <c r="U18" i="4"/>
  <c r="V18" i="4" s="1"/>
  <c r="R18" i="4"/>
  <c r="Q18" i="4"/>
  <c r="P18" i="4"/>
  <c r="V17" i="4"/>
  <c r="U17" i="4"/>
  <c r="R17" i="4"/>
  <c r="Q17" i="4"/>
  <c r="P17" i="4"/>
  <c r="U16" i="4"/>
  <c r="V16" i="4" s="1"/>
  <c r="R16" i="4"/>
  <c r="Q16" i="4"/>
  <c r="P16" i="4"/>
  <c r="U15" i="4"/>
  <c r="V15" i="4" s="1"/>
  <c r="R15" i="4"/>
  <c r="Q15" i="4"/>
  <c r="P15" i="4"/>
  <c r="V14" i="4"/>
  <c r="U14" i="4"/>
  <c r="R14" i="4"/>
  <c r="Q14" i="4"/>
  <c r="P14" i="4"/>
  <c r="V13" i="4"/>
  <c r="U13" i="4"/>
  <c r="R13" i="4"/>
  <c r="Q13" i="4"/>
  <c r="P13" i="4"/>
  <c r="U12" i="4"/>
  <c r="V12" i="4" s="1"/>
  <c r="R12" i="4"/>
  <c r="Q12" i="4"/>
  <c r="P12" i="4"/>
  <c r="U11" i="4"/>
  <c r="V11" i="4" s="1"/>
  <c r="R11" i="4"/>
  <c r="Q11" i="4"/>
  <c r="P11" i="4"/>
  <c r="U10" i="4"/>
  <c r="V10" i="4" s="1"/>
  <c r="R10" i="4"/>
  <c r="Q10" i="4"/>
  <c r="P10" i="4"/>
  <c r="U9" i="4"/>
  <c r="V9" i="4" s="1"/>
  <c r="R9" i="4"/>
  <c r="Q9" i="4"/>
  <c r="P9" i="4"/>
  <c r="V8" i="4"/>
  <c r="U8" i="4"/>
  <c r="R8" i="4"/>
  <c r="Q8" i="4"/>
  <c r="P8" i="4"/>
  <c r="U7" i="4"/>
  <c r="V7" i="4" s="1"/>
  <c r="R7" i="4"/>
  <c r="Q7" i="4"/>
  <c r="P7" i="4"/>
  <c r="V6" i="4"/>
  <c r="U6" i="4"/>
  <c r="R6" i="4"/>
  <c r="Q6" i="4"/>
  <c r="P6" i="4"/>
  <c r="U5" i="4"/>
  <c r="V5" i="4" s="1"/>
  <c r="R5" i="4"/>
  <c r="Q5" i="4"/>
  <c r="P5" i="4"/>
  <c r="U4" i="4"/>
  <c r="V4" i="4" s="1"/>
  <c r="R4" i="4"/>
  <c r="Q4" i="4"/>
  <c r="P4" i="4"/>
  <c r="V3" i="4"/>
  <c r="U3" i="4"/>
  <c r="R3" i="4"/>
  <c r="Q3" i="4"/>
  <c r="P3" i="4"/>
  <c r="U2" i="4"/>
  <c r="V2" i="4" s="1"/>
  <c r="R2" i="4"/>
  <c r="Q2" i="4"/>
  <c r="P2" i="4"/>
  <c r="B11" i="3"/>
  <c r="B9" i="3"/>
  <c r="B8" i="3"/>
  <c r="C40" i="12" l="1"/>
  <c r="U40" i="11"/>
  <c r="D11" i="12"/>
  <c r="V11" i="11"/>
  <c r="S11" i="11"/>
  <c r="C91" i="12"/>
  <c r="U91" i="11"/>
  <c r="V104" i="11"/>
  <c r="D104" i="12"/>
  <c r="S104" i="11"/>
  <c r="C123" i="12"/>
  <c r="U123" i="11"/>
  <c r="C8" i="12"/>
  <c r="U8" i="11"/>
  <c r="D101" i="12"/>
  <c r="S101" i="11"/>
  <c r="V101" i="11"/>
  <c r="D43" i="12"/>
  <c r="V43" i="11"/>
  <c r="S43" i="11"/>
  <c r="D53" i="12"/>
  <c r="V53" i="11"/>
  <c r="S53" i="11"/>
  <c r="D56" i="12"/>
  <c r="V56" i="11"/>
  <c r="S56" i="11"/>
  <c r="D58" i="12"/>
  <c r="S58" i="11"/>
  <c r="V58" i="11"/>
  <c r="D74" i="12"/>
  <c r="S74" i="11"/>
  <c r="V74" i="11"/>
  <c r="W169" i="11"/>
  <c r="C63" i="12"/>
  <c r="S63" i="11"/>
  <c r="U63" i="11"/>
  <c r="C161" i="12"/>
  <c r="U161" i="11"/>
  <c r="D9" i="12"/>
  <c r="V9" i="11"/>
  <c r="S9" i="11"/>
  <c r="D14" i="12"/>
  <c r="V14" i="11"/>
  <c r="S14" i="11"/>
  <c r="C22" i="12"/>
  <c r="U22" i="11"/>
  <c r="C43" i="12"/>
  <c r="U43" i="11"/>
  <c r="W164" i="11"/>
  <c r="C9" i="12"/>
  <c r="U9" i="11"/>
  <c r="C94" i="12"/>
  <c r="U94" i="11"/>
  <c r="C17" i="12"/>
  <c r="U17" i="11"/>
  <c r="S27" i="11"/>
  <c r="V72" i="11"/>
  <c r="D72" i="12"/>
  <c r="S72" i="11"/>
  <c r="C139" i="12"/>
  <c r="U139" i="11"/>
  <c r="D17" i="12"/>
  <c r="V17" i="11"/>
  <c r="S17" i="11"/>
  <c r="D38" i="12"/>
  <c r="V38" i="11"/>
  <c r="S38" i="11"/>
  <c r="C38" i="12"/>
  <c r="U38" i="11"/>
  <c r="C27" i="12"/>
  <c r="U27" i="11"/>
  <c r="D2" i="12"/>
  <c r="V2" i="11"/>
  <c r="S2" i="11"/>
  <c r="D54" i="12"/>
  <c r="V54" i="11"/>
  <c r="S54" i="11"/>
  <c r="D59" i="12"/>
  <c r="V59" i="11"/>
  <c r="S59" i="11"/>
  <c r="E67" i="12"/>
  <c r="W67" i="11"/>
  <c r="F67" i="12" s="1"/>
  <c r="D16" i="12"/>
  <c r="V16" i="11"/>
  <c r="S16" i="11"/>
  <c r="C12" i="12"/>
  <c r="U12" i="11"/>
  <c r="D49" i="12"/>
  <c r="V49" i="11"/>
  <c r="S49" i="11"/>
  <c r="C75" i="12"/>
  <c r="U75" i="11"/>
  <c r="C44" i="12"/>
  <c r="U44" i="11"/>
  <c r="D5" i="12"/>
  <c r="V5" i="11"/>
  <c r="S5" i="11"/>
  <c r="D18" i="12"/>
  <c r="V18" i="11"/>
  <c r="S18" i="11"/>
  <c r="D28" i="12"/>
  <c r="S28" i="11"/>
  <c r="V28" i="11"/>
  <c r="C33" i="12"/>
  <c r="U33" i="11"/>
  <c r="C54" i="12"/>
  <c r="U54" i="11"/>
  <c r="C107" i="12"/>
  <c r="U107" i="11"/>
  <c r="C155" i="12"/>
  <c r="U155" i="11"/>
  <c r="C28" i="12"/>
  <c r="U28" i="11"/>
  <c r="C36" i="12"/>
  <c r="U36" i="11"/>
  <c r="D6" i="12"/>
  <c r="V6" i="11"/>
  <c r="S6" i="11"/>
  <c r="C20" i="12"/>
  <c r="U20" i="11"/>
  <c r="C15" i="12"/>
  <c r="S15" i="11"/>
  <c r="U15" i="11"/>
  <c r="C78" i="12"/>
  <c r="U78" i="11"/>
  <c r="D33" i="12"/>
  <c r="V33" i="11"/>
  <c r="S33" i="11"/>
  <c r="V3" i="11"/>
  <c r="D3" i="12"/>
  <c r="S3" i="11"/>
  <c r="D21" i="12"/>
  <c r="V21" i="11"/>
  <c r="S21" i="11"/>
  <c r="D60" i="12"/>
  <c r="S60" i="11"/>
  <c r="V60" i="11"/>
  <c r="C59" i="12"/>
  <c r="U59" i="11"/>
  <c r="D8" i="12"/>
  <c r="V8" i="11"/>
  <c r="S8" i="11"/>
  <c r="V24" i="11"/>
  <c r="D24" i="12"/>
  <c r="S24" i="11"/>
  <c r="D26" i="12"/>
  <c r="S26" i="11"/>
  <c r="V26" i="11"/>
  <c r="D34" i="12"/>
  <c r="V34" i="11"/>
  <c r="S34" i="11"/>
  <c r="C60" i="12"/>
  <c r="U60" i="11"/>
  <c r="D81" i="12"/>
  <c r="V81" i="11"/>
  <c r="S81" i="11"/>
  <c r="C4" i="12"/>
  <c r="U4" i="11"/>
  <c r="C31" i="12"/>
  <c r="U31" i="11"/>
  <c r="S31" i="11"/>
  <c r="D40" i="12"/>
  <c r="V40" i="11"/>
  <c r="S40" i="11"/>
  <c r="D113" i="12"/>
  <c r="V113" i="11"/>
  <c r="S113" i="11"/>
  <c r="E146" i="12"/>
  <c r="W146" i="11"/>
  <c r="F146" i="12" s="1"/>
  <c r="C158" i="12"/>
  <c r="U158" i="11"/>
  <c r="V219" i="11"/>
  <c r="S219" i="11"/>
  <c r="W219" i="11" s="1"/>
  <c r="D44" i="12"/>
  <c r="S44" i="11"/>
  <c r="C53" i="12"/>
  <c r="U53" i="11"/>
  <c r="J4" i="7"/>
  <c r="V4" i="11"/>
  <c r="V15" i="11"/>
  <c r="S22" i="11"/>
  <c r="U37" i="11"/>
  <c r="R46" i="11"/>
  <c r="R55" i="11"/>
  <c r="V63" i="11"/>
  <c r="U65" i="11"/>
  <c r="S69" i="11"/>
  <c r="S73" i="11"/>
  <c r="D75" i="12"/>
  <c r="V75" i="11"/>
  <c r="S75" i="11"/>
  <c r="V85" i="11"/>
  <c r="U95" i="11"/>
  <c r="D108" i="12"/>
  <c r="S108" i="11"/>
  <c r="R119" i="11"/>
  <c r="U127" i="11"/>
  <c r="C174" i="12"/>
  <c r="U174" i="11"/>
  <c r="U191" i="11"/>
  <c r="V214" i="11"/>
  <c r="S230" i="11"/>
  <c r="W230" i="11" s="1"/>
  <c r="V230" i="11"/>
  <c r="S232" i="11"/>
  <c r="W232" i="11" s="1"/>
  <c r="R39" i="11"/>
  <c r="D51" i="12"/>
  <c r="V51" i="11"/>
  <c r="D65" i="12"/>
  <c r="V65" i="11"/>
  <c r="S65" i="11"/>
  <c r="D79" i="12"/>
  <c r="S79" i="11"/>
  <c r="R125" i="11"/>
  <c r="D141" i="12"/>
  <c r="V141" i="11"/>
  <c r="S141" i="11"/>
  <c r="S32" i="11"/>
  <c r="D110" i="12"/>
  <c r="V110" i="11"/>
  <c r="C112" i="12"/>
  <c r="U112" i="11"/>
  <c r="D155" i="12"/>
  <c r="V155" i="11"/>
  <c r="S155" i="11"/>
  <c r="C167" i="12"/>
  <c r="U167" i="11"/>
  <c r="C8" i="13"/>
  <c r="C5" i="13"/>
  <c r="C6" i="12"/>
  <c r="U6" i="11"/>
  <c r="U32" i="11"/>
  <c r="V37" i="11"/>
  <c r="U51" i="11"/>
  <c r="U58" i="11"/>
  <c r="U81" i="11"/>
  <c r="D98" i="12"/>
  <c r="V98" i="11"/>
  <c r="D100" i="12"/>
  <c r="V100" i="11"/>
  <c r="S100" i="11"/>
  <c r="D106" i="12"/>
  <c r="S106" i="11"/>
  <c r="C110" i="12"/>
  <c r="U110" i="11"/>
  <c r="D115" i="12"/>
  <c r="V115" i="11"/>
  <c r="C119" i="12"/>
  <c r="U119" i="11"/>
  <c r="C121" i="12"/>
  <c r="U121" i="11"/>
  <c r="S121" i="11"/>
  <c r="D123" i="12"/>
  <c r="V123" i="11"/>
  <c r="S123" i="11"/>
  <c r="D139" i="12"/>
  <c r="V139" i="11"/>
  <c r="S139" i="11"/>
  <c r="U146" i="11"/>
  <c r="D151" i="12"/>
  <c r="V151" i="11"/>
  <c r="S151" i="11"/>
  <c r="S174" i="11"/>
  <c r="S182" i="11"/>
  <c r="V182" i="11"/>
  <c r="V270" i="11"/>
  <c r="S270" i="11"/>
  <c r="W270" i="11" s="1"/>
  <c r="D67" i="12"/>
  <c r="V67" i="11"/>
  <c r="C171" i="12"/>
  <c r="U171" i="11"/>
  <c r="C11" i="15"/>
  <c r="D11" i="15" s="1"/>
  <c r="R29" i="11"/>
  <c r="D8" i="13"/>
  <c r="V22" i="11"/>
  <c r="V32" i="11"/>
  <c r="D36" i="12"/>
  <c r="S36" i="11"/>
  <c r="U39" i="11"/>
  <c r="V44" i="11"/>
  <c r="C46" i="12"/>
  <c r="U46" i="11"/>
  <c r="V69" i="11"/>
  <c r="V73" i="11"/>
  <c r="C106" i="12"/>
  <c r="U106" i="11"/>
  <c r="U108" i="11"/>
  <c r="S110" i="11"/>
  <c r="U130" i="11"/>
  <c r="C151" i="12"/>
  <c r="U151" i="11"/>
  <c r="D165" i="12"/>
  <c r="V165" i="11"/>
  <c r="S165" i="11"/>
  <c r="V177" i="11"/>
  <c r="S177" i="11"/>
  <c r="V200" i="11"/>
  <c r="S200" i="11"/>
  <c r="W200" i="11" s="1"/>
  <c r="V283" i="11"/>
  <c r="S283" i="11"/>
  <c r="W283" i="11" s="1"/>
  <c r="R130" i="11"/>
  <c r="D12" i="12"/>
  <c r="S12" i="11"/>
  <c r="V19" i="11"/>
  <c r="U34" i="11"/>
  <c r="V79" i="11"/>
  <c r="C100" i="12"/>
  <c r="U100" i="11"/>
  <c r="D102" i="12"/>
  <c r="V102" i="11"/>
  <c r="S102" i="11"/>
  <c r="E117" i="12"/>
  <c r="W117" i="11"/>
  <c r="F117" i="12" s="1"/>
  <c r="D135" i="12"/>
  <c r="V135" i="11"/>
  <c r="S135" i="11"/>
  <c r="V144" i="11"/>
  <c r="S144" i="11"/>
  <c r="V158" i="11"/>
  <c r="S158" i="11"/>
  <c r="C165" i="12"/>
  <c r="U165" i="11"/>
  <c r="V174" i="11"/>
  <c r="C177" i="12"/>
  <c r="U177" i="11"/>
  <c r="S187" i="11"/>
  <c r="W187" i="11" s="1"/>
  <c r="V235" i="11"/>
  <c r="S235" i="11"/>
  <c r="W235" i="11" s="1"/>
  <c r="V248" i="11"/>
  <c r="S248" i="11"/>
  <c r="W248" i="11" s="1"/>
  <c r="D146" i="12"/>
  <c r="V146" i="11"/>
  <c r="D164" i="12"/>
  <c r="V164" i="11"/>
  <c r="U280" i="11"/>
  <c r="S280" i="11"/>
  <c r="W280" i="11" s="1"/>
  <c r="D27" i="12"/>
  <c r="V27" i="11"/>
  <c r="S51" i="11"/>
  <c r="C11" i="12"/>
  <c r="U11" i="11"/>
  <c r="S41" i="11"/>
  <c r="E48" i="12"/>
  <c r="W48" i="11"/>
  <c r="F48" i="12" s="1"/>
  <c r="D50" i="12"/>
  <c r="V50" i="11"/>
  <c r="C62" i="12"/>
  <c r="U62" i="11"/>
  <c r="R82" i="11"/>
  <c r="R84" i="11"/>
  <c r="V106" i="11"/>
  <c r="C113" i="12"/>
  <c r="U113" i="11"/>
  <c r="S115" i="11"/>
  <c r="D128" i="12"/>
  <c r="V128" i="11"/>
  <c r="S128" i="11"/>
  <c r="C135" i="12"/>
  <c r="U135" i="11"/>
  <c r="C144" i="12"/>
  <c r="U144" i="11"/>
  <c r="D147" i="12"/>
  <c r="V147" i="11"/>
  <c r="S147" i="11"/>
  <c r="D149" i="12"/>
  <c r="V149" i="11"/>
  <c r="V245" i="11"/>
  <c r="D71" i="12"/>
  <c r="V71" i="11"/>
  <c r="C89" i="12"/>
  <c r="U89" i="11"/>
  <c r="U176" i="11"/>
  <c r="C176" i="12"/>
  <c r="S4" i="11"/>
  <c r="V305" i="11"/>
  <c r="S305" i="11"/>
  <c r="W305" i="11" s="1"/>
  <c r="C6" i="13"/>
  <c r="D52" i="12"/>
  <c r="S52" i="11"/>
  <c r="E62" i="12"/>
  <c r="W62" i="11"/>
  <c r="F62" i="12" s="1"/>
  <c r="D88" i="12"/>
  <c r="V88" i="11"/>
  <c r="D94" i="12"/>
  <c r="V94" i="11"/>
  <c r="C96" i="12"/>
  <c r="U96" i="11"/>
  <c r="S96" i="11"/>
  <c r="V117" i="11"/>
  <c r="D126" i="12"/>
  <c r="V126" i="11"/>
  <c r="C128" i="12"/>
  <c r="U128" i="11"/>
  <c r="D131" i="12"/>
  <c r="V131" i="11"/>
  <c r="D142" i="12"/>
  <c r="V142" i="11"/>
  <c r="S142" i="11"/>
  <c r="S149" i="11"/>
  <c r="R163" i="11"/>
  <c r="V168" i="11"/>
  <c r="D168" i="12"/>
  <c r="S168" i="11"/>
  <c r="V190" i="11"/>
  <c r="S190" i="11"/>
  <c r="W190" i="11" s="1"/>
  <c r="S245" i="11"/>
  <c r="W245" i="11" s="1"/>
  <c r="S71" i="11"/>
  <c r="E83" i="12"/>
  <c r="W83" i="11"/>
  <c r="F83" i="12" s="1"/>
  <c r="D91" i="12"/>
  <c r="V91" i="11"/>
  <c r="S91" i="11"/>
  <c r="D6" i="13"/>
  <c r="U3" i="11"/>
  <c r="R13" i="11"/>
  <c r="U14" i="11"/>
  <c r="U19" i="11"/>
  <c r="R23" i="11"/>
  <c r="V36" i="11"/>
  <c r="R45" i="11"/>
  <c r="E64" i="12"/>
  <c r="W64" i="11"/>
  <c r="F64" i="12" s="1"/>
  <c r="D66" i="12"/>
  <c r="V66" i="11"/>
  <c r="D68" i="12"/>
  <c r="V68" i="11"/>
  <c r="S68" i="11"/>
  <c r="C70" i="12"/>
  <c r="U70" i="11"/>
  <c r="C84" i="12"/>
  <c r="U84" i="11"/>
  <c r="D86" i="12"/>
  <c r="V86" i="11"/>
  <c r="S86" i="11"/>
  <c r="E88" i="12"/>
  <c r="W88" i="11"/>
  <c r="F88" i="12" s="1"/>
  <c r="C90" i="12"/>
  <c r="U90" i="11"/>
  <c r="D92" i="12"/>
  <c r="S92" i="11"/>
  <c r="D111" i="12"/>
  <c r="S111" i="11"/>
  <c r="D133" i="12"/>
  <c r="V133" i="11"/>
  <c r="V166" i="11"/>
  <c r="S166" i="11"/>
  <c r="D180" i="12"/>
  <c r="V180" i="11"/>
  <c r="S180" i="11"/>
  <c r="V210" i="11"/>
  <c r="S210" i="11"/>
  <c r="W210" i="11" s="1"/>
  <c r="V213" i="11"/>
  <c r="S213" i="11"/>
  <c r="W213" i="11" s="1"/>
  <c r="V243" i="11"/>
  <c r="S243" i="11"/>
  <c r="W243" i="11" s="1"/>
  <c r="V311" i="11"/>
  <c r="S311" i="11"/>
  <c r="W311" i="11" s="1"/>
  <c r="S37" i="11"/>
  <c r="S85" i="11"/>
  <c r="S89" i="11"/>
  <c r="K6" i="7"/>
  <c r="W19" i="11"/>
  <c r="F19" i="12" s="1"/>
  <c r="U26" i="11"/>
  <c r="V41" i="11"/>
  <c r="V48" i="11"/>
  <c r="U50" i="11"/>
  <c r="C52" i="12"/>
  <c r="U52" i="11"/>
  <c r="V62" i="11"/>
  <c r="S66" i="11"/>
  <c r="D70" i="12"/>
  <c r="V70" i="11"/>
  <c r="C74" i="12"/>
  <c r="U74" i="11"/>
  <c r="D76" i="12"/>
  <c r="S76" i="11"/>
  <c r="C80" i="12"/>
  <c r="U80" i="11"/>
  <c r="S80" i="11"/>
  <c r="D90" i="12"/>
  <c r="S90" i="11"/>
  <c r="V109" i="11"/>
  <c r="S109" i="11"/>
  <c r="D109" i="12"/>
  <c r="C126" i="12"/>
  <c r="U126" i="11"/>
  <c r="E133" i="12"/>
  <c r="W133" i="11"/>
  <c r="F133" i="12" s="1"/>
  <c r="C142" i="12"/>
  <c r="U142" i="11"/>
  <c r="D154" i="12"/>
  <c r="V154" i="11"/>
  <c r="S154" i="11"/>
  <c r="C180" i="12"/>
  <c r="U180" i="11"/>
  <c r="V223" i="11"/>
  <c r="S223" i="11"/>
  <c r="W223" i="11" s="1"/>
  <c r="D19" i="12"/>
  <c r="E30" i="12"/>
  <c r="W30" i="11"/>
  <c r="F30" i="12" s="1"/>
  <c r="D42" i="12"/>
  <c r="S42" i="11"/>
  <c r="V93" i="11"/>
  <c r="D93" i="12"/>
  <c r="S93" i="11"/>
  <c r="C169" i="12"/>
  <c r="U169" i="11"/>
  <c r="V267" i="11"/>
  <c r="S267" i="11"/>
  <c r="W267" i="11" s="1"/>
  <c r="U21" i="11"/>
  <c r="V31" i="11"/>
  <c r="R47" i="11"/>
  <c r="W50" i="11"/>
  <c r="F50" i="12" s="1"/>
  <c r="U57" i="11"/>
  <c r="R61" i="11"/>
  <c r="U64" i="11"/>
  <c r="C68" i="12"/>
  <c r="U68" i="11"/>
  <c r="S70" i="11"/>
  <c r="U82" i="11"/>
  <c r="U92" i="11"/>
  <c r="S94" i="11"/>
  <c r="R103" i="11"/>
  <c r="D122" i="12"/>
  <c r="S122" i="11"/>
  <c r="S126" i="11"/>
  <c r="S131" i="11"/>
  <c r="R145" i="11"/>
  <c r="C152" i="12"/>
  <c r="U152" i="11"/>
  <c r="C154" i="12"/>
  <c r="U154" i="11"/>
  <c r="V289" i="11"/>
  <c r="S289" i="11"/>
  <c r="W289" i="11" s="1"/>
  <c r="V294" i="11"/>
  <c r="S294" i="11"/>
  <c r="W294" i="11" s="1"/>
  <c r="D132" i="12"/>
  <c r="V132" i="11"/>
  <c r="S132" i="11"/>
  <c r="V254" i="11"/>
  <c r="S254" i="11"/>
  <c r="W254" i="11" s="1"/>
  <c r="V234" i="11"/>
  <c r="S234" i="11"/>
  <c r="W234" i="11" s="1"/>
  <c r="C73" i="12"/>
  <c r="U73" i="11"/>
  <c r="W87" i="11"/>
  <c r="F87" i="12" s="1"/>
  <c r="C2" i="15"/>
  <c r="D2" i="15" s="1"/>
  <c r="C3" i="13"/>
  <c r="C2" i="13"/>
  <c r="U16" i="11"/>
  <c r="V52" i="11"/>
  <c r="V57" i="11"/>
  <c r="V64" i="11"/>
  <c r="U66" i="11"/>
  <c r="U76" i="11"/>
  <c r="S78" i="11"/>
  <c r="V90" i="11"/>
  <c r="V92" i="11"/>
  <c r="D99" i="12"/>
  <c r="V99" i="11"/>
  <c r="C103" i="12"/>
  <c r="U103" i="11"/>
  <c r="C105" i="12"/>
  <c r="U105" i="11"/>
  <c r="R114" i="11"/>
  <c r="R116" i="11"/>
  <c r="D120" i="12"/>
  <c r="V120" i="11"/>
  <c r="C122" i="12"/>
  <c r="U122" i="11"/>
  <c r="U124" i="11"/>
  <c r="D129" i="12"/>
  <c r="V129" i="11"/>
  <c r="S129" i="11"/>
  <c r="D138" i="12"/>
  <c r="V138" i="11"/>
  <c r="S138" i="11"/>
  <c r="U140" i="11"/>
  <c r="C145" i="12"/>
  <c r="U145" i="11"/>
  <c r="D152" i="12"/>
  <c r="V152" i="11"/>
  <c r="D159" i="12"/>
  <c r="S159" i="11"/>
  <c r="D161" i="12"/>
  <c r="V161" i="11"/>
  <c r="S161" i="11"/>
  <c r="D178" i="12"/>
  <c r="V178" i="11"/>
  <c r="V256" i="11"/>
  <c r="S256" i="11"/>
  <c r="W256" i="11" s="1"/>
  <c r="S261" i="11"/>
  <c r="W261" i="11" s="1"/>
  <c r="U264" i="11"/>
  <c r="S264" i="11"/>
  <c r="W264" i="11" s="1"/>
  <c r="C71" i="12"/>
  <c r="U71" i="11"/>
  <c r="R77" i="11"/>
  <c r="D112" i="12"/>
  <c r="V112" i="11"/>
  <c r="S112" i="11"/>
  <c r="S176" i="11"/>
  <c r="V194" i="11"/>
  <c r="S194" i="11"/>
  <c r="W194" i="11" s="1"/>
  <c r="V272" i="11"/>
  <c r="S272" i="11"/>
  <c r="W272" i="11" s="1"/>
  <c r="D3" i="13"/>
  <c r="D2" i="13"/>
  <c r="D20" i="12"/>
  <c r="S20" i="11"/>
  <c r="W57" i="11"/>
  <c r="F57" i="12" s="1"/>
  <c r="U72" i="11"/>
  <c r="V76" i="11"/>
  <c r="D107" i="12"/>
  <c r="V107" i="11"/>
  <c r="S107" i="11"/>
  <c r="S120" i="11"/>
  <c r="C129" i="12"/>
  <c r="U129" i="11"/>
  <c r="C136" i="12"/>
  <c r="U136" i="11"/>
  <c r="C138" i="12"/>
  <c r="U138" i="11"/>
  <c r="E152" i="12"/>
  <c r="W152" i="11"/>
  <c r="F152" i="12" s="1"/>
  <c r="E178" i="12"/>
  <c r="W178" i="11"/>
  <c r="V259" i="11"/>
  <c r="S259" i="11"/>
  <c r="W259" i="11" s="1"/>
  <c r="D97" i="12"/>
  <c r="V97" i="11"/>
  <c r="S97" i="11"/>
  <c r="C30" i="12"/>
  <c r="U30" i="11"/>
  <c r="D87" i="12"/>
  <c r="V87" i="11"/>
  <c r="V111" i="11"/>
  <c r="C116" i="12"/>
  <c r="U116" i="11"/>
  <c r="D118" i="12"/>
  <c r="V118" i="11"/>
  <c r="S118" i="11"/>
  <c r="D136" i="12"/>
  <c r="V136" i="11"/>
  <c r="D143" i="12"/>
  <c r="S143" i="11"/>
  <c r="D148" i="12"/>
  <c r="V148" i="11"/>
  <c r="S148" i="11"/>
  <c r="V193" i="11"/>
  <c r="S193" i="11"/>
  <c r="W193" i="11" s="1"/>
  <c r="V221" i="11"/>
  <c r="S221" i="11"/>
  <c r="W221" i="11" s="1"/>
  <c r="V277" i="11"/>
  <c r="S277" i="11"/>
  <c r="W277" i="11" s="1"/>
  <c r="D10" i="12"/>
  <c r="S10" i="11"/>
  <c r="D35" i="12"/>
  <c r="V35" i="11"/>
  <c r="S7" i="11"/>
  <c r="S25" i="11"/>
  <c r="S35" i="11"/>
  <c r="D83" i="12"/>
  <c r="V83" i="11"/>
  <c r="C87" i="12"/>
  <c r="U87" i="11"/>
  <c r="D95" i="12"/>
  <c r="S95" i="11"/>
  <c r="C97" i="12"/>
  <c r="U97" i="11"/>
  <c r="E99" i="12"/>
  <c r="W99" i="11"/>
  <c r="F99" i="12" s="1"/>
  <c r="D127" i="12"/>
  <c r="S127" i="11"/>
  <c r="S136" i="11"/>
  <c r="D157" i="12"/>
  <c r="V157" i="11"/>
  <c r="S157" i="11"/>
  <c r="R171" i="11"/>
  <c r="V184" i="11"/>
  <c r="S184" i="11"/>
  <c r="W184" i="11" s="1"/>
  <c r="U69" i="11"/>
  <c r="U85" i="11"/>
  <c r="R228" i="11"/>
  <c r="U230" i="11"/>
  <c r="R241" i="11"/>
  <c r="S252" i="11"/>
  <c r="W252" i="11" s="1"/>
  <c r="V275" i="11"/>
  <c r="S275" i="11"/>
  <c r="W275" i="11" s="1"/>
  <c r="R286" i="11"/>
  <c r="V297" i="11"/>
  <c r="D173" i="12"/>
  <c r="V173" i="11"/>
  <c r="S173" i="11"/>
  <c r="S297" i="11"/>
  <c r="W297" i="11" s="1"/>
  <c r="R175" i="11"/>
  <c r="R206" i="11"/>
  <c r="R215" i="11"/>
  <c r="V250" i="11"/>
  <c r="S250" i="11"/>
  <c r="W250" i="11" s="1"/>
  <c r="R257" i="11"/>
  <c r="R160" i="11"/>
  <c r="C173" i="12"/>
  <c r="R186" i="11"/>
  <c r="S188" i="11"/>
  <c r="W188" i="11" s="1"/>
  <c r="R196" i="11"/>
  <c r="S204" i="11"/>
  <c r="W204" i="11" s="1"/>
  <c r="V237" i="11"/>
  <c r="S237" i="11"/>
  <c r="W237" i="11" s="1"/>
  <c r="V266" i="11"/>
  <c r="S266" i="11"/>
  <c r="W266" i="11" s="1"/>
  <c r="U268" i="11"/>
  <c r="R273" i="11"/>
  <c r="S300" i="11"/>
  <c r="W300" i="11" s="1"/>
  <c r="C160" i="12"/>
  <c r="C168" i="12"/>
  <c r="C175" i="12"/>
  <c r="V202" i="11"/>
  <c r="S202" i="11"/>
  <c r="W202" i="11" s="1"/>
  <c r="S226" i="11"/>
  <c r="W226" i="11" s="1"/>
  <c r="S239" i="11"/>
  <c r="W239" i="11" s="1"/>
  <c r="R244" i="11"/>
  <c r="V282" i="11"/>
  <c r="S282" i="11"/>
  <c r="W282" i="11" s="1"/>
  <c r="V298" i="11"/>
  <c r="S298" i="11"/>
  <c r="W298" i="11" s="1"/>
  <c r="R307" i="11"/>
  <c r="D177" i="12" s="1"/>
  <c r="D5" i="13"/>
  <c r="U132" i="11"/>
  <c r="U148" i="11"/>
  <c r="U163" i="11"/>
  <c r="U173" i="11"/>
  <c r="U192" i="11"/>
  <c r="U198" i="11"/>
  <c r="V208" i="11"/>
  <c r="V211" i="11"/>
  <c r="S211" i="11"/>
  <c r="W211" i="11" s="1"/>
  <c r="R260" i="11"/>
  <c r="D182" i="12" s="1"/>
  <c r="V291" i="11"/>
  <c r="S291" i="11"/>
  <c r="W291" i="11" s="1"/>
  <c r="U312" i="11"/>
  <c r="C179" i="12"/>
  <c r="V188" i="11"/>
  <c r="V204" i="11"/>
  <c r="R231" i="11"/>
  <c r="V246" i="11"/>
  <c r="R276" i="11"/>
  <c r="D172" i="12" s="1"/>
  <c r="S312" i="11"/>
  <c r="W312" i="11" s="1"/>
  <c r="U160" i="11"/>
  <c r="C162" i="12"/>
  <c r="C170" i="12"/>
  <c r="D179" i="12"/>
  <c r="V179" i="11"/>
  <c r="V192" i="11"/>
  <c r="V198" i="11"/>
  <c r="R222" i="11"/>
  <c r="V242" i="11"/>
  <c r="V253" i="11"/>
  <c r="S253" i="11"/>
  <c r="W253" i="11" s="1"/>
  <c r="S255" i="11"/>
  <c r="W255" i="11" s="1"/>
  <c r="V262" i="11"/>
  <c r="V296" i="11"/>
  <c r="S296" i="11"/>
  <c r="W296" i="11" s="1"/>
  <c r="S301" i="11"/>
  <c r="W301" i="11" s="1"/>
  <c r="V301" i="11"/>
  <c r="S170" i="11"/>
  <c r="C172" i="12"/>
  <c r="D181" i="12"/>
  <c r="D183" i="12"/>
  <c r="V183" i="11"/>
  <c r="V209" i="11"/>
  <c r="S209" i="11"/>
  <c r="W209" i="11" s="1"/>
  <c r="V269" i="11"/>
  <c r="S269" i="11"/>
  <c r="W269" i="11" s="1"/>
  <c r="S271" i="11"/>
  <c r="W271" i="11" s="1"/>
  <c r="V278" i="11"/>
  <c r="S134" i="11"/>
  <c r="S150" i="11"/>
  <c r="S162" i="11"/>
  <c r="R167" i="11"/>
  <c r="S181" i="11"/>
  <c r="C183" i="12"/>
  <c r="U183" i="11"/>
  <c r="V227" i="11"/>
  <c r="S227" i="11"/>
  <c r="W227" i="11" s="1"/>
  <c r="V285" i="11"/>
  <c r="S285" i="11"/>
  <c r="W285" i="11" s="1"/>
  <c r="V299" i="11"/>
  <c r="S299" i="11"/>
  <c r="W299" i="11" s="1"/>
  <c r="V303" i="11"/>
  <c r="S137" i="11"/>
  <c r="S153" i="11"/>
  <c r="S172" i="11"/>
  <c r="S183" i="11"/>
  <c r="V189" i="11"/>
  <c r="S189" i="11"/>
  <c r="W189" i="11" s="1"/>
  <c r="V205" i="11"/>
  <c r="S205" i="11"/>
  <c r="W205" i="11" s="1"/>
  <c r="V218" i="11"/>
  <c r="S218" i="11"/>
  <c r="W218" i="11" s="1"/>
  <c r="S229" i="11"/>
  <c r="W229" i="11" s="1"/>
  <c r="V247" i="11"/>
  <c r="S247" i="11"/>
  <c r="W247" i="11" s="1"/>
  <c r="V251" i="11"/>
  <c r="S251" i="11"/>
  <c r="W251" i="11" s="1"/>
  <c r="U86" i="11"/>
  <c r="U102" i="11"/>
  <c r="U118" i="11"/>
  <c r="S124" i="11"/>
  <c r="U134" i="11"/>
  <c r="S140" i="11"/>
  <c r="U150" i="11"/>
  <c r="S156" i="11"/>
  <c r="U162" i="11"/>
  <c r="V170" i="11"/>
  <c r="W179" i="11"/>
  <c r="U181" i="11"/>
  <c r="R199" i="11"/>
  <c r="S216" i="11"/>
  <c r="W216" i="11" s="1"/>
  <c r="V220" i="11"/>
  <c r="R238" i="11"/>
  <c r="R263" i="11"/>
  <c r="S274" i="11"/>
  <c r="W274" i="11" s="1"/>
  <c r="V287" i="11"/>
  <c r="V134" i="11"/>
  <c r="U137" i="11"/>
  <c r="V150" i="11"/>
  <c r="U153" i="11"/>
  <c r="V162" i="11"/>
  <c r="C164" i="12"/>
  <c r="U164" i="11"/>
  <c r="U172" i="11"/>
  <c r="D176" i="12"/>
  <c r="C178" i="12"/>
  <c r="V181" i="11"/>
  <c r="V212" i="11"/>
  <c r="S212" i="11"/>
  <c r="W212" i="11" s="1"/>
  <c r="U214" i="11"/>
  <c r="V225" i="11"/>
  <c r="S225" i="11"/>
  <c r="W225" i="11" s="1"/>
  <c r="S236" i="11"/>
  <c r="W236" i="11" s="1"/>
  <c r="U245" i="11"/>
  <c r="R279" i="11"/>
  <c r="V292" i="11"/>
  <c r="S302" i="11"/>
  <c r="W302" i="11" s="1"/>
  <c r="S309" i="11"/>
  <c r="W309" i="11" s="1"/>
  <c r="R288" i="11"/>
  <c r="R293" i="11"/>
  <c r="V313" i="11"/>
  <c r="S313" i="11"/>
  <c r="W313" i="11" s="1"/>
  <c r="V309" i="11"/>
  <c r="S306" i="11"/>
  <c r="W306" i="11" s="1"/>
  <c r="C182" i="12"/>
  <c r="U295" i="11"/>
  <c r="D169" i="12"/>
  <c r="S290" i="11"/>
  <c r="W290" i="11" s="1"/>
  <c r="S295" i="11"/>
  <c r="W295" i="11" s="1"/>
  <c r="V308" i="11"/>
  <c r="U182" i="11"/>
  <c r="V306" i="11"/>
  <c r="S308" i="11"/>
  <c r="W308" i="11" s="1"/>
  <c r="E73" i="12" l="1"/>
  <c r="W73" i="11"/>
  <c r="F73" i="12" s="1"/>
  <c r="C14" i="15"/>
  <c r="D14" i="15" s="1"/>
  <c r="E70" i="12"/>
  <c r="W70" i="11"/>
  <c r="F70" i="12" s="1"/>
  <c r="E92" i="12"/>
  <c r="W92" i="11"/>
  <c r="F92" i="12" s="1"/>
  <c r="E81" i="12"/>
  <c r="W81" i="11"/>
  <c r="F81" i="12" s="1"/>
  <c r="E97" i="12"/>
  <c r="W97" i="11"/>
  <c r="F97" i="12" s="1"/>
  <c r="E93" i="12"/>
  <c r="W93" i="11"/>
  <c r="F93" i="12" s="1"/>
  <c r="D114" i="12"/>
  <c r="V114" i="11"/>
  <c r="S114" i="11"/>
  <c r="V199" i="11"/>
  <c r="S199" i="11"/>
  <c r="W199" i="11" s="1"/>
  <c r="E25" i="12"/>
  <c r="W25" i="11"/>
  <c r="F25" i="12" s="1"/>
  <c r="E42" i="12"/>
  <c r="W42" i="11"/>
  <c r="F42" i="12" s="1"/>
  <c r="E66" i="12"/>
  <c r="W66" i="11"/>
  <c r="F66" i="12" s="1"/>
  <c r="E71" i="12"/>
  <c r="W71" i="11"/>
  <c r="F71" i="12" s="1"/>
  <c r="E177" i="12"/>
  <c r="W177" i="11"/>
  <c r="F177" i="12" s="1"/>
  <c r="E32" i="12"/>
  <c r="W32" i="11"/>
  <c r="F32" i="12" s="1"/>
  <c r="E72" i="12"/>
  <c r="W72" i="11"/>
  <c r="F72" i="12" s="1"/>
  <c r="E14" i="12"/>
  <c r="W14" i="11"/>
  <c r="F14" i="12" s="1"/>
  <c r="V222" i="11"/>
  <c r="S222" i="11"/>
  <c r="W222" i="11" s="1"/>
  <c r="E7" i="12"/>
  <c r="W7" i="11"/>
  <c r="F7" i="12" s="1"/>
  <c r="E4" i="12"/>
  <c r="W4" i="11"/>
  <c r="F4" i="12" s="1"/>
  <c r="E41" i="12"/>
  <c r="W41" i="11"/>
  <c r="F41" i="12" s="1"/>
  <c r="E102" i="12"/>
  <c r="W102" i="11"/>
  <c r="F102" i="12" s="1"/>
  <c r="W182" i="11"/>
  <c r="E141" i="12"/>
  <c r="W141" i="11"/>
  <c r="F141" i="12" s="1"/>
  <c r="D55" i="12"/>
  <c r="V55" i="11"/>
  <c r="S55" i="11"/>
  <c r="E15" i="12"/>
  <c r="W15" i="11"/>
  <c r="F15" i="12" s="1"/>
  <c r="E49" i="12"/>
  <c r="W49" i="11"/>
  <c r="F49" i="12" s="1"/>
  <c r="E2" i="12"/>
  <c r="W2" i="11"/>
  <c r="F2" i="12" s="1"/>
  <c r="E58" i="12"/>
  <c r="W58" i="11"/>
  <c r="F58" i="12" s="1"/>
  <c r="E136" i="12"/>
  <c r="W136" i="11"/>
  <c r="F136" i="12" s="1"/>
  <c r="F178" i="12"/>
  <c r="E128" i="12"/>
  <c r="W128" i="11"/>
  <c r="F128" i="12" s="1"/>
  <c r="D46" i="12"/>
  <c r="V46" i="11"/>
  <c r="S46" i="11"/>
  <c r="E173" i="12"/>
  <c r="W173" i="11"/>
  <c r="F173" i="12" s="1"/>
  <c r="E143" i="12"/>
  <c r="W143" i="11"/>
  <c r="F143" i="12" s="1"/>
  <c r="V77" i="11"/>
  <c r="S77" i="11"/>
  <c r="D77" i="12"/>
  <c r="V288" i="11"/>
  <c r="S288" i="11"/>
  <c r="W288" i="11" s="1"/>
  <c r="V244" i="11"/>
  <c r="S244" i="11"/>
  <c r="W244" i="11" s="1"/>
  <c r="E20" i="12"/>
  <c r="W20" i="11"/>
  <c r="F20" i="12" s="1"/>
  <c r="E138" i="12"/>
  <c r="W138" i="11"/>
  <c r="F138" i="12" s="1"/>
  <c r="D61" i="12"/>
  <c r="S61" i="11"/>
  <c r="V61" i="11"/>
  <c r="E109" i="12"/>
  <c r="W109" i="11"/>
  <c r="F109" i="12" s="1"/>
  <c r="V45" i="11"/>
  <c r="D45" i="12"/>
  <c r="S45" i="11"/>
  <c r="E96" i="12"/>
  <c r="W96" i="11"/>
  <c r="F96" i="12" s="1"/>
  <c r="W165" i="11"/>
  <c r="F165" i="12" s="1"/>
  <c r="E165" i="12"/>
  <c r="E36" i="12"/>
  <c r="W36" i="11"/>
  <c r="F36" i="12" s="1"/>
  <c r="E174" i="12"/>
  <c r="W174" i="11"/>
  <c r="F174" i="12" s="1"/>
  <c r="E60" i="12"/>
  <c r="W60" i="11"/>
  <c r="F60" i="12" s="1"/>
  <c r="E27" i="12"/>
  <c r="W27" i="11"/>
  <c r="F27" i="12" s="1"/>
  <c r="E9" i="12"/>
  <c r="W9" i="11"/>
  <c r="F9" i="12" s="1"/>
  <c r="E56" i="12"/>
  <c r="W56" i="11"/>
  <c r="F56" i="12" s="1"/>
  <c r="E104" i="12"/>
  <c r="W104" i="11"/>
  <c r="F104" i="12" s="1"/>
  <c r="V286" i="11"/>
  <c r="S286" i="11"/>
  <c r="W286" i="11" s="1"/>
  <c r="E10" i="12"/>
  <c r="W10" i="11"/>
  <c r="F10" i="12" s="1"/>
  <c r="E168" i="12"/>
  <c r="W168" i="11"/>
  <c r="F168" i="12" s="1"/>
  <c r="E51" i="12"/>
  <c r="W51" i="11"/>
  <c r="F51" i="12" s="1"/>
  <c r="E151" i="12"/>
  <c r="W151" i="11"/>
  <c r="F151" i="12" s="1"/>
  <c r="D125" i="12"/>
  <c r="V125" i="11"/>
  <c r="S125" i="11"/>
  <c r="E22" i="12"/>
  <c r="W22" i="11"/>
  <c r="F22" i="12" s="1"/>
  <c r="E113" i="12"/>
  <c r="W113" i="11"/>
  <c r="F113" i="12" s="1"/>
  <c r="E34" i="12"/>
  <c r="W34" i="11"/>
  <c r="F34" i="12" s="1"/>
  <c r="V238" i="11"/>
  <c r="S238" i="11"/>
  <c r="W238" i="11" s="1"/>
  <c r="D116" i="12"/>
  <c r="V116" i="11"/>
  <c r="S116" i="11"/>
  <c r="V260" i="11"/>
  <c r="S260" i="11"/>
  <c r="W260" i="11" s="1"/>
  <c r="V196" i="11"/>
  <c r="S196" i="11"/>
  <c r="W196" i="11" s="1"/>
  <c r="E127" i="12"/>
  <c r="W127" i="11"/>
  <c r="F127" i="12" s="1"/>
  <c r="E90" i="12"/>
  <c r="W90" i="11"/>
  <c r="F90" i="12" s="1"/>
  <c r="W180" i="11"/>
  <c r="E86" i="12"/>
  <c r="W86" i="11"/>
  <c r="F86" i="12" s="1"/>
  <c r="D23" i="12"/>
  <c r="V23" i="11"/>
  <c r="S23" i="11"/>
  <c r="E115" i="12"/>
  <c r="W115" i="11"/>
  <c r="F115" i="12" s="1"/>
  <c r="E79" i="12"/>
  <c r="W79" i="11"/>
  <c r="F79" i="12" s="1"/>
  <c r="D119" i="12"/>
  <c r="V119" i="11"/>
  <c r="S119" i="11"/>
  <c r="E21" i="12"/>
  <c r="W21" i="11"/>
  <c r="F21" i="12" s="1"/>
  <c r="E6" i="12"/>
  <c r="W6" i="11"/>
  <c r="F6" i="12" s="1"/>
  <c r="E28" i="12"/>
  <c r="W28" i="11"/>
  <c r="F28" i="12" s="1"/>
  <c r="E8" i="12"/>
  <c r="W8" i="11"/>
  <c r="F8" i="12" s="1"/>
  <c r="E69" i="12"/>
  <c r="W69" i="11"/>
  <c r="F69" i="12" s="1"/>
  <c r="E54" i="12"/>
  <c r="W54" i="11"/>
  <c r="F54" i="12" s="1"/>
  <c r="E170" i="12"/>
  <c r="W170" i="11"/>
  <c r="F170" i="12" s="1"/>
  <c r="E129" i="12"/>
  <c r="W129" i="11"/>
  <c r="F129" i="12" s="1"/>
  <c r="D145" i="12"/>
  <c r="V145" i="11"/>
  <c r="S145" i="11"/>
  <c r="D47" i="12"/>
  <c r="S47" i="11"/>
  <c r="V47" i="11"/>
  <c r="E108" i="12"/>
  <c r="W108" i="11"/>
  <c r="F108" i="12" s="1"/>
  <c r="E16" i="12"/>
  <c r="W16" i="11"/>
  <c r="F16" i="12" s="1"/>
  <c r="E53" i="12"/>
  <c r="W53" i="11"/>
  <c r="F53" i="12" s="1"/>
  <c r="D175" i="12"/>
  <c r="V175" i="11"/>
  <c r="S175" i="11"/>
  <c r="V307" i="11"/>
  <c r="S307" i="11"/>
  <c r="W307" i="11" s="1"/>
  <c r="S186" i="11"/>
  <c r="W186" i="11" s="1"/>
  <c r="V186" i="11"/>
  <c r="V279" i="11"/>
  <c r="S279" i="11"/>
  <c r="W279" i="11" s="1"/>
  <c r="E140" i="12"/>
  <c r="W140" i="11"/>
  <c r="F140" i="12" s="1"/>
  <c r="D167" i="12"/>
  <c r="S167" i="11"/>
  <c r="V167" i="11"/>
  <c r="D170" i="12"/>
  <c r="D163" i="12"/>
  <c r="V163" i="11"/>
  <c r="S163" i="11"/>
  <c r="E158" i="12"/>
  <c r="W158" i="11"/>
  <c r="F158" i="12" s="1"/>
  <c r="E106" i="12"/>
  <c r="W106" i="11"/>
  <c r="F106" i="12" s="1"/>
  <c r="E65" i="12"/>
  <c r="W65" i="11"/>
  <c r="F65" i="12" s="1"/>
  <c r="E40" i="12"/>
  <c r="W40" i="11"/>
  <c r="F40" i="12" s="1"/>
  <c r="E18" i="12"/>
  <c r="W18" i="11"/>
  <c r="F18" i="12" s="1"/>
  <c r="E101" i="12"/>
  <c r="W101" i="11"/>
  <c r="F101" i="12" s="1"/>
  <c r="D171" i="12"/>
  <c r="V171" i="11"/>
  <c r="S171" i="11"/>
  <c r="E118" i="12"/>
  <c r="W118" i="11"/>
  <c r="F118" i="12" s="1"/>
  <c r="E156" i="12"/>
  <c r="W156" i="11"/>
  <c r="F156" i="12" s="1"/>
  <c r="E181" i="12"/>
  <c r="W181" i="11"/>
  <c r="F181" i="12" s="1"/>
  <c r="D160" i="12"/>
  <c r="V160" i="11"/>
  <c r="S160" i="11"/>
  <c r="V241" i="11"/>
  <c r="S241" i="11"/>
  <c r="W241" i="11" s="1"/>
  <c r="E131" i="12"/>
  <c r="W131" i="11"/>
  <c r="F131" i="12" s="1"/>
  <c r="E80" i="12"/>
  <c r="W80" i="11"/>
  <c r="F80" i="12" s="1"/>
  <c r="E183" i="12"/>
  <c r="W183" i="11"/>
  <c r="F183" i="12" s="1"/>
  <c r="E162" i="12"/>
  <c r="W162" i="11"/>
  <c r="F162" i="12" s="1"/>
  <c r="V257" i="11"/>
  <c r="S257" i="11"/>
  <c r="W257" i="11" s="1"/>
  <c r="E78" i="12"/>
  <c r="W78" i="11"/>
  <c r="F78" i="12" s="1"/>
  <c r="E126" i="12"/>
  <c r="W126" i="11"/>
  <c r="F126" i="12" s="1"/>
  <c r="E166" i="12"/>
  <c r="W166" i="11"/>
  <c r="F166" i="12" s="1"/>
  <c r="D13" i="12"/>
  <c r="C10" i="15" s="1"/>
  <c r="D10" i="15" s="1"/>
  <c r="V13" i="11"/>
  <c r="S13" i="11"/>
  <c r="E149" i="12"/>
  <c r="W149" i="11"/>
  <c r="F149" i="12" s="1"/>
  <c r="D29" i="12"/>
  <c r="V29" i="11"/>
  <c r="S29" i="11"/>
  <c r="E139" i="12"/>
  <c r="W139" i="11"/>
  <c r="F139" i="12" s="1"/>
  <c r="E26" i="12"/>
  <c r="W26" i="11"/>
  <c r="F26" i="12" s="1"/>
  <c r="E3" i="12"/>
  <c r="W3" i="11"/>
  <c r="F3" i="12" s="1"/>
  <c r="E38" i="12"/>
  <c r="W38" i="11"/>
  <c r="F38" i="12" s="1"/>
  <c r="E11" i="12"/>
  <c r="W11" i="11"/>
  <c r="F11" i="12" s="1"/>
  <c r="V293" i="11"/>
  <c r="S293" i="11"/>
  <c r="W293" i="11" s="1"/>
  <c r="E124" i="12"/>
  <c r="W124" i="11"/>
  <c r="F124" i="12" s="1"/>
  <c r="E172" i="12"/>
  <c r="W172" i="11"/>
  <c r="E150" i="12"/>
  <c r="W150" i="11"/>
  <c r="F150" i="12" s="1"/>
  <c r="V228" i="11"/>
  <c r="S228" i="11"/>
  <c r="W228" i="11" s="1"/>
  <c r="E95" i="12"/>
  <c r="W95" i="11"/>
  <c r="F95" i="12" s="1"/>
  <c r="E161" i="12"/>
  <c r="W161" i="11"/>
  <c r="F161" i="12" s="1"/>
  <c r="E132" i="12"/>
  <c r="W132" i="11"/>
  <c r="F132" i="12" s="1"/>
  <c r="E122" i="12"/>
  <c r="W122" i="11"/>
  <c r="F122" i="12" s="1"/>
  <c r="E154" i="12"/>
  <c r="W154" i="11"/>
  <c r="F154" i="12" s="1"/>
  <c r="E142" i="12"/>
  <c r="W142" i="11"/>
  <c r="F142" i="12" s="1"/>
  <c r="D84" i="12"/>
  <c r="V84" i="11"/>
  <c r="S84" i="11"/>
  <c r="D158" i="12"/>
  <c r="E12" i="12"/>
  <c r="W12" i="11"/>
  <c r="F12" i="12" s="1"/>
  <c r="E110" i="12"/>
  <c r="W110" i="11"/>
  <c r="F110" i="12" s="1"/>
  <c r="E100" i="12"/>
  <c r="W100" i="11"/>
  <c r="F100" i="12" s="1"/>
  <c r="E155" i="12"/>
  <c r="W155" i="11"/>
  <c r="F155" i="12" s="1"/>
  <c r="E63" i="12"/>
  <c r="W63" i="11"/>
  <c r="F63" i="12" s="1"/>
  <c r="E43" i="12"/>
  <c r="W43" i="11"/>
  <c r="F43" i="12" s="1"/>
  <c r="E107" i="12"/>
  <c r="W107" i="11"/>
  <c r="F107" i="12" s="1"/>
  <c r="E76" i="12"/>
  <c r="W76" i="11"/>
  <c r="F76" i="12" s="1"/>
  <c r="E89" i="12"/>
  <c r="W89" i="11"/>
  <c r="F89" i="12" s="1"/>
  <c r="D166" i="12"/>
  <c r="D82" i="12"/>
  <c r="V82" i="11"/>
  <c r="S82" i="11"/>
  <c r="E144" i="12"/>
  <c r="W144" i="11"/>
  <c r="F144" i="12" s="1"/>
  <c r="E75" i="12"/>
  <c r="W75" i="11"/>
  <c r="F75" i="12" s="1"/>
  <c r="E44" i="12"/>
  <c r="W44" i="11"/>
  <c r="F44" i="12" s="1"/>
  <c r="E31" i="12"/>
  <c r="W31" i="11"/>
  <c r="F31" i="12" s="1"/>
  <c r="E24" i="12"/>
  <c r="W24" i="11"/>
  <c r="F24" i="12" s="1"/>
  <c r="E5" i="12"/>
  <c r="W5" i="11"/>
  <c r="F5" i="12" s="1"/>
  <c r="F164" i="12"/>
  <c r="E111" i="12"/>
  <c r="W111" i="11"/>
  <c r="F111" i="12" s="1"/>
  <c r="E35" i="12"/>
  <c r="W35" i="11"/>
  <c r="F35" i="12" s="1"/>
  <c r="E153" i="12"/>
  <c r="W153" i="11"/>
  <c r="F153" i="12" s="1"/>
  <c r="E134" i="12"/>
  <c r="W134" i="11"/>
  <c r="F134" i="12" s="1"/>
  <c r="V276" i="11"/>
  <c r="S276" i="11"/>
  <c r="W276" i="11" s="1"/>
  <c r="D103" i="12"/>
  <c r="V103" i="11"/>
  <c r="S103" i="11"/>
  <c r="E85" i="12"/>
  <c r="W85" i="11"/>
  <c r="F85" i="12" s="1"/>
  <c r="E91" i="12"/>
  <c r="W91" i="11"/>
  <c r="F91" i="12" s="1"/>
  <c r="E147" i="12"/>
  <c r="W147" i="11"/>
  <c r="F147" i="12" s="1"/>
  <c r="D130" i="12"/>
  <c r="V130" i="11"/>
  <c r="S130" i="11"/>
  <c r="E123" i="12"/>
  <c r="W123" i="11"/>
  <c r="F123" i="12" s="1"/>
  <c r="E33" i="12"/>
  <c r="W33" i="11"/>
  <c r="F33" i="12" s="1"/>
  <c r="E59" i="12"/>
  <c r="W59" i="11"/>
  <c r="F59" i="12" s="1"/>
  <c r="E17" i="12"/>
  <c r="W17" i="11"/>
  <c r="F17" i="12" s="1"/>
  <c r="E164" i="12"/>
  <c r="E121" i="12"/>
  <c r="W121" i="11"/>
  <c r="F121" i="12" s="1"/>
  <c r="E74" i="12"/>
  <c r="W74" i="11"/>
  <c r="F74" i="12" s="1"/>
  <c r="E157" i="12"/>
  <c r="W157" i="11"/>
  <c r="F157" i="12" s="1"/>
  <c r="E137" i="12"/>
  <c r="W137" i="11"/>
  <c r="F137" i="12" s="1"/>
  <c r="V215" i="11"/>
  <c r="S215" i="11"/>
  <c r="W215" i="11" s="1"/>
  <c r="E176" i="12"/>
  <c r="W176" i="11"/>
  <c r="F176" i="12" s="1"/>
  <c r="V263" i="11"/>
  <c r="S263" i="11"/>
  <c r="W263" i="11" s="1"/>
  <c r="V231" i="11"/>
  <c r="S231" i="11"/>
  <c r="W231" i="11" s="1"/>
  <c r="F179" i="12" s="1"/>
  <c r="V273" i="11"/>
  <c r="S273" i="11"/>
  <c r="W273" i="11" s="1"/>
  <c r="F169" i="12" s="1"/>
  <c r="V206" i="11"/>
  <c r="S206" i="11"/>
  <c r="W206" i="11" s="1"/>
  <c r="E148" i="12"/>
  <c r="W148" i="11"/>
  <c r="F148" i="12" s="1"/>
  <c r="E120" i="12"/>
  <c r="W120" i="11"/>
  <c r="F120" i="12" s="1"/>
  <c r="E112" i="12"/>
  <c r="W112" i="11"/>
  <c r="F112" i="12" s="1"/>
  <c r="E159" i="12"/>
  <c r="W159" i="11"/>
  <c r="F159" i="12" s="1"/>
  <c r="E94" i="12"/>
  <c r="W94" i="11"/>
  <c r="F94" i="12" s="1"/>
  <c r="E37" i="12"/>
  <c r="W37" i="11"/>
  <c r="F37" i="12" s="1"/>
  <c r="E68" i="12"/>
  <c r="W68" i="11"/>
  <c r="F68" i="12" s="1"/>
  <c r="E52" i="12"/>
  <c r="W52" i="11"/>
  <c r="F52" i="12" s="1"/>
  <c r="E135" i="12"/>
  <c r="W135" i="11"/>
  <c r="F135" i="12" s="1"/>
  <c r="D39" i="12"/>
  <c r="V39" i="11"/>
  <c r="S39" i="11"/>
  <c r="G7" i="12" l="1"/>
  <c r="G9" i="12"/>
  <c r="G6" i="12"/>
  <c r="G27" i="12"/>
  <c r="G11" i="12"/>
  <c r="G3" i="12"/>
  <c r="G21" i="12"/>
  <c r="G5" i="12"/>
  <c r="G12" i="12"/>
  <c r="G10" i="12"/>
  <c r="G4" i="12"/>
  <c r="G8" i="12"/>
  <c r="G2" i="12"/>
  <c r="E167" i="12"/>
  <c r="W167" i="11"/>
  <c r="F167" i="12" s="1"/>
  <c r="E160" i="12"/>
  <c r="W160" i="11"/>
  <c r="F160" i="12" s="1"/>
  <c r="H164" i="12" s="1"/>
  <c r="E116" i="12"/>
  <c r="W116" i="11"/>
  <c r="F116" i="12" s="1"/>
  <c r="E23" i="12"/>
  <c r="W23" i="11"/>
  <c r="F23" i="12" s="1"/>
  <c r="H32" i="12"/>
  <c r="H28" i="12"/>
  <c r="H29" i="12"/>
  <c r="E61" i="12"/>
  <c r="W61" i="11"/>
  <c r="F61" i="12" s="1"/>
  <c r="E103" i="12"/>
  <c r="W103" i="11"/>
  <c r="F103" i="12" s="1"/>
  <c r="E84" i="12"/>
  <c r="W84" i="11"/>
  <c r="F84" i="12" s="1"/>
  <c r="E47" i="12"/>
  <c r="W47" i="11"/>
  <c r="F47" i="12" s="1"/>
  <c r="G30" i="12"/>
  <c r="G28" i="12"/>
  <c r="G40" i="12"/>
  <c r="E46" i="12"/>
  <c r="W46" i="11"/>
  <c r="F46" i="12" s="1"/>
  <c r="H110" i="12"/>
  <c r="H123" i="12"/>
  <c r="H107" i="12"/>
  <c r="H120" i="12"/>
  <c r="H112" i="12"/>
  <c r="H108" i="12"/>
  <c r="H113" i="12"/>
  <c r="H106" i="12"/>
  <c r="H111" i="12"/>
  <c r="H116" i="12"/>
  <c r="H109" i="12"/>
  <c r="H130" i="12"/>
  <c r="E55" i="12"/>
  <c r="G65" i="12" s="1"/>
  <c r="W55" i="11"/>
  <c r="F55" i="12" s="1"/>
  <c r="E169" i="12"/>
  <c r="G111" i="12"/>
  <c r="G113" i="12"/>
  <c r="G110" i="12"/>
  <c r="G123" i="12"/>
  <c r="G107" i="12"/>
  <c r="G109" i="12"/>
  <c r="G108" i="12"/>
  <c r="G112" i="12"/>
  <c r="G106" i="12"/>
  <c r="E145" i="12"/>
  <c r="G145" i="12" s="1"/>
  <c r="W145" i="11"/>
  <c r="F145" i="12" s="1"/>
  <c r="F8" i="13"/>
  <c r="H6" i="12"/>
  <c r="H11" i="12"/>
  <c r="H8" i="12"/>
  <c r="H12" i="12"/>
  <c r="H21" i="12"/>
  <c r="H5" i="12"/>
  <c r="H26" i="12"/>
  <c r="H10" i="12"/>
  <c r="H15" i="12"/>
  <c r="H4" i="12"/>
  <c r="H9" i="12"/>
  <c r="H3" i="12"/>
  <c r="H7" i="12"/>
  <c r="H2" i="12"/>
  <c r="E39" i="12"/>
  <c r="W39" i="11"/>
  <c r="F39" i="12" s="1"/>
  <c r="H48" i="12" s="1"/>
  <c r="F172" i="12"/>
  <c r="E29" i="12"/>
  <c r="G43" i="12" s="1"/>
  <c r="W29" i="11"/>
  <c r="F29" i="12" s="1"/>
  <c r="H33" i="12" s="1"/>
  <c r="H158" i="12"/>
  <c r="H159" i="12"/>
  <c r="F180" i="12"/>
  <c r="E179" i="12"/>
  <c r="G54" i="12"/>
  <c r="E77" i="12"/>
  <c r="W77" i="11"/>
  <c r="F77" i="12" s="1"/>
  <c r="G167" i="12"/>
  <c r="G159" i="12"/>
  <c r="G164" i="12"/>
  <c r="G169" i="12"/>
  <c r="G161" i="12"/>
  <c r="G158" i="12"/>
  <c r="G168" i="12"/>
  <c r="G160" i="12"/>
  <c r="G173" i="12"/>
  <c r="G165" i="12"/>
  <c r="G162" i="12"/>
  <c r="E175" i="12"/>
  <c r="W175" i="11"/>
  <c r="F175" i="12" s="1"/>
  <c r="E180" i="12"/>
  <c r="E163" i="12"/>
  <c r="G170" i="12" s="1"/>
  <c r="W163" i="11"/>
  <c r="F163" i="12" s="1"/>
  <c r="E119" i="12"/>
  <c r="W119" i="11"/>
  <c r="F119" i="12" s="1"/>
  <c r="E130" i="12"/>
  <c r="G130" i="12" s="1"/>
  <c r="W130" i="11"/>
  <c r="F130" i="12" s="1"/>
  <c r="E171" i="12"/>
  <c r="G178" i="12" s="1"/>
  <c r="W171" i="11"/>
  <c r="F171" i="12" s="1"/>
  <c r="F182" i="12"/>
  <c r="H104" i="12"/>
  <c r="H80" i="12"/>
  <c r="H92" i="12"/>
  <c r="H97" i="12"/>
  <c r="H81" i="12"/>
  <c r="H101" i="12"/>
  <c r="H85" i="12"/>
  <c r="H93" i="12"/>
  <c r="E182" i="12"/>
  <c r="G143" i="12"/>
  <c r="G135" i="12"/>
  <c r="G156" i="12"/>
  <c r="G137" i="12"/>
  <c r="G142" i="12"/>
  <c r="G134" i="12"/>
  <c r="G139" i="12"/>
  <c r="G144" i="12"/>
  <c r="G136" i="12"/>
  <c r="G141" i="12"/>
  <c r="G133" i="12"/>
  <c r="G140" i="12"/>
  <c r="G138" i="12"/>
  <c r="G132" i="12"/>
  <c r="E13" i="12"/>
  <c r="G23" i="12" s="1"/>
  <c r="W13" i="11"/>
  <c r="F13" i="12" s="1"/>
  <c r="H14" i="12" s="1"/>
  <c r="G95" i="12"/>
  <c r="G105" i="12"/>
  <c r="G89" i="12"/>
  <c r="G81" i="12"/>
  <c r="G96" i="12"/>
  <c r="G80" i="12"/>
  <c r="G90" i="12"/>
  <c r="G100" i="12"/>
  <c r="G84" i="12"/>
  <c r="E125" i="12"/>
  <c r="W125" i="11"/>
  <c r="F125" i="12" s="1"/>
  <c r="E114" i="12"/>
  <c r="G125" i="12" s="1"/>
  <c r="W114" i="11"/>
  <c r="F114" i="12" s="1"/>
  <c r="H125" i="12" s="1"/>
  <c r="E82" i="12"/>
  <c r="G102" i="12" s="1"/>
  <c r="W82" i="11"/>
  <c r="F82" i="12" s="1"/>
  <c r="H94" i="12" s="1"/>
  <c r="H156" i="12"/>
  <c r="H148" i="12"/>
  <c r="H140" i="12"/>
  <c r="H132" i="12"/>
  <c r="H153" i="12"/>
  <c r="H145" i="12"/>
  <c r="H137" i="12"/>
  <c r="H150" i="12"/>
  <c r="H142" i="12"/>
  <c r="H134" i="12"/>
  <c r="H155" i="12"/>
  <c r="H147" i="12"/>
  <c r="H139" i="12"/>
  <c r="H152" i="12"/>
  <c r="H144" i="12"/>
  <c r="H136" i="12"/>
  <c r="H157" i="12"/>
  <c r="H149" i="12"/>
  <c r="H141" i="12"/>
  <c r="H133" i="12"/>
  <c r="H151" i="12"/>
  <c r="H143" i="12"/>
  <c r="H135" i="12"/>
  <c r="H154" i="12"/>
  <c r="H138" i="12"/>
  <c r="F4" i="13"/>
  <c r="H146" i="12"/>
  <c r="F3" i="13"/>
  <c r="H78" i="12"/>
  <c r="H70" i="12"/>
  <c r="H62" i="12"/>
  <c r="H54" i="12"/>
  <c r="H75" i="12"/>
  <c r="H67" i="12"/>
  <c r="H59" i="12"/>
  <c r="H72" i="12"/>
  <c r="H64" i="12"/>
  <c r="H56" i="12"/>
  <c r="H76" i="12"/>
  <c r="H60" i="12"/>
  <c r="H65" i="12"/>
  <c r="H69" i="12"/>
  <c r="H74" i="12"/>
  <c r="H58" i="12"/>
  <c r="H79" i="12"/>
  <c r="H63" i="12"/>
  <c r="H68" i="12"/>
  <c r="H73" i="12"/>
  <c r="H57" i="12"/>
  <c r="H77" i="12"/>
  <c r="H61" i="12"/>
  <c r="H71" i="12"/>
  <c r="H66" i="12"/>
  <c r="H55" i="12"/>
  <c r="E45" i="12"/>
  <c r="W45" i="11"/>
  <c r="F45" i="12" s="1"/>
  <c r="G104" i="12" l="1"/>
  <c r="G153" i="12"/>
  <c r="H90" i="12"/>
  <c r="H102" i="12"/>
  <c r="G177" i="12"/>
  <c r="G64" i="12"/>
  <c r="G73" i="12"/>
  <c r="H181" i="12"/>
  <c r="H172" i="12"/>
  <c r="H20" i="12"/>
  <c r="H22" i="12"/>
  <c r="G128" i="12"/>
  <c r="G34" i="12"/>
  <c r="G51" i="12"/>
  <c r="H49" i="12"/>
  <c r="G13" i="12"/>
  <c r="G97" i="12"/>
  <c r="G181" i="12"/>
  <c r="G172" i="12"/>
  <c r="G76" i="12"/>
  <c r="G63" i="12"/>
  <c r="H160" i="12"/>
  <c r="G115" i="12"/>
  <c r="H114" i="12"/>
  <c r="H128" i="12"/>
  <c r="G36" i="12"/>
  <c r="G38" i="12"/>
  <c r="H50" i="12"/>
  <c r="H44" i="12"/>
  <c r="G60" i="12"/>
  <c r="G52" i="12"/>
  <c r="G87" i="12"/>
  <c r="G157" i="12"/>
  <c r="G151" i="12"/>
  <c r="G69" i="12"/>
  <c r="G79" i="12"/>
  <c r="H176" i="12"/>
  <c r="G114" i="12"/>
  <c r="G131" i="12"/>
  <c r="H115" i="12"/>
  <c r="G42" i="12"/>
  <c r="G33" i="12"/>
  <c r="H34" i="12"/>
  <c r="H40" i="12"/>
  <c r="G19" i="12"/>
  <c r="G32" i="12"/>
  <c r="C12" i="15"/>
  <c r="D12" i="15" s="1"/>
  <c r="G92" i="12"/>
  <c r="G103" i="12"/>
  <c r="H98" i="12"/>
  <c r="F6" i="13"/>
  <c r="G176" i="12"/>
  <c r="G175" i="12"/>
  <c r="G59" i="12"/>
  <c r="H171" i="12"/>
  <c r="H17" i="12"/>
  <c r="G120" i="12"/>
  <c r="H122" i="12"/>
  <c r="H131" i="12"/>
  <c r="G48" i="12"/>
  <c r="G49" i="12"/>
  <c r="H45" i="12"/>
  <c r="F7" i="13"/>
  <c r="G18" i="12"/>
  <c r="I8" i="13"/>
  <c r="G8" i="13"/>
  <c r="H8" i="13"/>
  <c r="G180" i="12"/>
  <c r="G41" i="12"/>
  <c r="H39" i="12"/>
  <c r="G85" i="12"/>
  <c r="E6" i="13"/>
  <c r="G152" i="12"/>
  <c r="H103" i="12"/>
  <c r="G163" i="12"/>
  <c r="G183" i="12"/>
  <c r="G67" i="12"/>
  <c r="H162" i="12"/>
  <c r="H179" i="12"/>
  <c r="H18" i="12"/>
  <c r="G116" i="12"/>
  <c r="G118" i="12"/>
  <c r="F5" i="13"/>
  <c r="G31" i="12"/>
  <c r="H41" i="12"/>
  <c r="H35" i="12"/>
  <c r="G14" i="12"/>
  <c r="E2" i="13"/>
  <c r="G71" i="12"/>
  <c r="G93" i="12"/>
  <c r="H82" i="12"/>
  <c r="H88" i="12"/>
  <c r="G171" i="12"/>
  <c r="G75" i="12"/>
  <c r="H170" i="12"/>
  <c r="H23" i="12"/>
  <c r="G122" i="12"/>
  <c r="G126" i="12"/>
  <c r="H124" i="12"/>
  <c r="G44" i="12"/>
  <c r="G39" i="12"/>
  <c r="H36" i="12"/>
  <c r="H43" i="12"/>
  <c r="G24" i="12"/>
  <c r="G22" i="12"/>
  <c r="H180" i="12"/>
  <c r="G77" i="12"/>
  <c r="G101" i="12"/>
  <c r="G147" i="12"/>
  <c r="H87" i="12"/>
  <c r="H96" i="12"/>
  <c r="G179" i="12"/>
  <c r="H178" i="12"/>
  <c r="H166" i="12"/>
  <c r="H16" i="12"/>
  <c r="G124" i="12"/>
  <c r="H118" i="12"/>
  <c r="G29" i="12"/>
  <c r="G47" i="12"/>
  <c r="H52" i="12"/>
  <c r="H51" i="12"/>
  <c r="G66" i="12"/>
  <c r="G62" i="12"/>
  <c r="H174" i="12"/>
  <c r="H24" i="12"/>
  <c r="G121" i="12"/>
  <c r="H117" i="12"/>
  <c r="H126" i="12"/>
  <c r="G37" i="12"/>
  <c r="H31" i="12"/>
  <c r="H30" i="12"/>
  <c r="G20" i="12"/>
  <c r="G17" i="12"/>
  <c r="G55" i="12"/>
  <c r="G61" i="12"/>
  <c r="E5" i="13"/>
  <c r="G83" i="12"/>
  <c r="G91" i="12"/>
  <c r="E4" i="13"/>
  <c r="H89" i="12"/>
  <c r="H83" i="12"/>
  <c r="G166" i="12"/>
  <c r="G56" i="12"/>
  <c r="G70" i="12"/>
  <c r="H167" i="12"/>
  <c r="H182" i="12"/>
  <c r="H13" i="12"/>
  <c r="G129" i="12"/>
  <c r="H121" i="12"/>
  <c r="G45" i="12"/>
  <c r="H47" i="12"/>
  <c r="H38" i="12"/>
  <c r="G25" i="12"/>
  <c r="H163" i="12"/>
  <c r="G155" i="12"/>
  <c r="G99" i="12"/>
  <c r="H105" i="12"/>
  <c r="H91" i="12"/>
  <c r="G174" i="12"/>
  <c r="G72" i="12"/>
  <c r="G78" i="12"/>
  <c r="H175" i="12"/>
  <c r="H161" i="12"/>
  <c r="H19" i="12"/>
  <c r="H129" i="12"/>
  <c r="G53" i="12"/>
  <c r="H42" i="12"/>
  <c r="H46" i="12"/>
  <c r="G26" i="12"/>
  <c r="E8" i="13"/>
  <c r="F2" i="13"/>
  <c r="I3" i="13"/>
  <c r="H3" i="13"/>
  <c r="G3" i="13"/>
  <c r="I4" i="13"/>
  <c r="G4" i="13"/>
  <c r="H4" i="13"/>
  <c r="G82" i="12"/>
  <c r="G86" i="12"/>
  <c r="G148" i="12"/>
  <c r="G150" i="12"/>
  <c r="H84" i="12"/>
  <c r="H99" i="12"/>
  <c r="G182" i="12"/>
  <c r="G68" i="12"/>
  <c r="E3" i="13"/>
  <c r="H183" i="12"/>
  <c r="H169" i="12"/>
  <c r="H27" i="12"/>
  <c r="G119" i="12"/>
  <c r="H119" i="12"/>
  <c r="E7" i="13"/>
  <c r="H37" i="12"/>
  <c r="G16" i="12"/>
  <c r="G149" i="12"/>
  <c r="H168" i="12"/>
  <c r="G46" i="12"/>
  <c r="G146" i="12"/>
  <c r="G98" i="12"/>
  <c r="G94" i="12"/>
  <c r="H100" i="12"/>
  <c r="H86" i="12"/>
  <c r="G58" i="12"/>
  <c r="G57" i="12"/>
  <c r="H165" i="12"/>
  <c r="H177" i="12"/>
  <c r="H25" i="12"/>
  <c r="G117" i="12"/>
  <c r="G127" i="12"/>
  <c r="H127" i="12"/>
  <c r="G35" i="12"/>
  <c r="H53" i="12"/>
  <c r="G15" i="12"/>
  <c r="G88" i="12"/>
  <c r="G154" i="12"/>
  <c r="H95" i="12"/>
  <c r="G74" i="12"/>
  <c r="H173" i="12"/>
  <c r="G50" i="12"/>
  <c r="I7" i="13" l="1"/>
  <c r="G7" i="13"/>
  <c r="H7" i="13"/>
  <c r="C15" i="15"/>
  <c r="D15" i="15" s="1"/>
  <c r="I2" i="13"/>
  <c r="H2" i="13"/>
  <c r="G2" i="13"/>
  <c r="C16" i="15" s="1"/>
  <c r="D16" i="15" s="1"/>
  <c r="I5" i="13"/>
  <c r="G5" i="13"/>
  <c r="H5" i="13"/>
  <c r="I6" i="13"/>
  <c r="H6" i="13"/>
  <c r="G6" i="13"/>
  <c r="C13" i="15" l="1"/>
  <c r="D13" i="15" s="1"/>
</calcChain>
</file>

<file path=xl/sharedStrings.xml><?xml version="1.0" encoding="utf-8"?>
<sst xmlns="http://schemas.openxmlformats.org/spreadsheetml/2006/main" count="7839" uniqueCount="529">
  <si>
    <t>parameter_id</t>
  </si>
  <si>
    <t>value</t>
  </si>
  <si>
    <t>unit</t>
  </si>
  <si>
    <t>role</t>
  </si>
  <si>
    <t>description</t>
  </si>
  <si>
    <t>source</t>
  </si>
  <si>
    <t>analysis_start_year</t>
  </si>
  <si>
    <t>analysis_end_year</t>
  </si>
  <si>
    <t>baseline_scenario_id</t>
  </si>
  <si>
    <t>policy_start_year</t>
  </si>
  <si>
    <t>exposure_target_year</t>
  </si>
  <si>
    <t>policy_cost_ramp_years</t>
  </si>
  <si>
    <t>cost_discount_rate</t>
  </si>
  <si>
    <t>reporting_price_year</t>
  </si>
  <si>
    <t>source_cost_price_year</t>
  </si>
  <si>
    <t>currency</t>
  </si>
  <si>
    <t>economic_perspective</t>
  </si>
  <si>
    <t>scale_up_shape</t>
  </si>
  <si>
    <t>baseline_implementation_fraction</t>
  </si>
  <si>
    <t>formula_tolerance</t>
  </si>
  <si>
    <t>stock_flow_residual_limit</t>
  </si>
  <si>
    <t>r_negative_state_count</t>
  </si>
  <si>
    <t>r_stock_flow_max_residual</t>
  </si>
  <si>
    <t>r_background_distinct_count</t>
  </si>
  <si>
    <t>r_deaths_averted_anchor</t>
  </si>
  <si>
    <t>r_disc_incremental_cost_anchor</t>
  </si>
  <si>
    <t>r_cost_per_death_anchor</t>
  </si>
  <si>
    <t>qa_anchor_scenario</t>
  </si>
  <si>
    <t>year</t>
  </si>
  <si>
    <t>formula control</t>
  </si>
  <si>
    <t>First model and discount year</t>
  </si>
  <si>
    <t>indonesia_model_inputs_public_health.xlsx</t>
  </si>
  <si>
    <t>Last model year</t>
  </si>
  <si>
    <t>scenario id</t>
  </si>
  <si>
    <t>No-new-policy comparator</t>
  </si>
  <si>
    <t>First policy implementation year</t>
  </si>
  <si>
    <t>Year full exposure reduction is reached</t>
  </si>
  <si>
    <t>years</t>
  </si>
  <si>
    <t>Years to full policy cost</t>
  </si>
  <si>
    <t>proportion/year</t>
  </si>
  <si>
    <t>Annual discount rate applied to costs</t>
  </si>
  <si>
    <t>USD year</t>
  </si>
  <si>
    <t>Reporting price year</t>
  </si>
  <si>
    <t>Price year of source unit costs</t>
  </si>
  <si>
    <t>metadata</t>
  </si>
  <si>
    <t>Reporting currency</t>
  </si>
  <si>
    <t>text</t>
  </si>
  <si>
    <t>Economic evaluation perspective</t>
  </si>
  <si>
    <t>Cost/effect scale-up shape</t>
  </si>
  <si>
    <t>proportion</t>
  </si>
  <si>
    <t>Baseline (counterfactual) policy implementation fraction</t>
  </si>
  <si>
    <t>Model 09</t>
  </si>
  <si>
    <t>USD/count</t>
  </si>
  <si>
    <t>QA control</t>
  </si>
  <si>
    <t>Absolute reconciliation tolerance</t>
  </si>
  <si>
    <t>Workbook QA rule</t>
  </si>
  <si>
    <t>persons</t>
  </si>
  <si>
    <t>Persons tolerance for the stock/flow identity check</t>
  </si>
  <si>
    <t>count</t>
  </si>
  <si>
    <t>R QA source</t>
  </si>
  <si>
    <t>Impossible negative state count (R)</t>
  </si>
  <si>
    <t>Model 09 current run</t>
  </si>
  <si>
    <t>Max stock/flow residual (R)</t>
  </si>
  <si>
    <t>Max distinct all-cause mx across cause (R)</t>
  </si>
  <si>
    <t>deaths</t>
  </si>
  <si>
    <t>R reconciliation source</t>
  </si>
  <si>
    <t>R deaths averted for the anchor scenario</t>
  </si>
  <si>
    <t>Model 09 current run (R CEA)</t>
  </si>
  <si>
    <t>USD</t>
  </si>
  <si>
    <t>R discounted incremental cost for the anchor scenario</t>
  </si>
  <si>
    <t>USD/death</t>
  </si>
  <si>
    <t>R USD per death averted for the anchor scenario</t>
  </si>
  <si>
    <t>Scenario used for Excel-vs-R reconciliation</t>
  </si>
  <si>
    <t>baseline</t>
  </si>
  <si>
    <t>health_system</t>
  </si>
  <si>
    <t>linear</t>
  </si>
  <si>
    <t>all_public_health</t>
  </si>
  <si>
    <t>Indonesia NCD - public-health cost &amp; value workbook (formula edition)</t>
  </si>
  <si>
    <t>section</t>
  </si>
  <si>
    <t>detail</t>
  </si>
  <si>
    <t>Purpose</t>
  </si>
  <si>
    <t>Costing, budget impact and mortality-based cost-effectiveness for the public-health (fiscal/regulatory) policies selected in the public-health input workbook.</t>
  </si>
  <si>
    <t>How to read</t>
  </si>
  <si>
    <t>Grey cells are R-generated source values; light-blue cells are LIVE Excel formulas; pale-yellow cells on Calculation_Assumptions are editable controls. Change a yellow control and the blue results recompute. Calculation_Map lists the dependency chain.</t>
  </si>
  <si>
    <t>Scenarios</t>
  </si>
  <si>
    <t>Baseline + one scenario per runnable public-health intervention + a combined 'all_public_health' scenario. Membership derives only from the workbook selections (Model 04).</t>
  </si>
  <si>
    <t>Baseline pairing</t>
  </si>
  <si>
    <t>Deaths averted = baseline deaths - scenario deaths, matched at year x cause (both-sex totals).</t>
  </si>
  <si>
    <t>Effect model</t>
  </si>
  <si>
    <t>Incidence effect = exposure-based: prevalence-shift RR (tobacco), log-linear RR per unit reduction (alcohol/sodium/SSB) or PAF x policy score (TFA). NO clinical coverage-adjustment formula is used.</t>
  </si>
  <si>
    <t>Exposure path</t>
  </si>
  <si>
    <t>Achieved exposure pt(t) ramps linearly baseline-&gt;target over start_year..target_year, floored; exposure reductions are shown as formulas on Exposure_Targets.</t>
  </si>
  <si>
    <t>Lag</t>
  </si>
  <si>
    <t>immediate_after_full_implementation: effect tracks the exposure path. delayed_exponential_remaining_effect (tobacco): full target effect accrues as 1-(1-rate)^(years since start).</t>
  </si>
  <si>
    <t>Costing</t>
  </si>
  <si>
    <t>annual_cost = population(t) x PIN fraction x implementation_fraction(t) x frequency x unit_cost. Public-wide policies use the deduplicated total population (once per age/sex/year, never per cause).</t>
  </si>
  <si>
    <t>Shared costs</t>
  </si>
  <si>
    <t>Shared policy costs (cost_scope 'shared-count-once', ...__C_SHARED) are counted once per intervention/scenario/year, never once per affected cause.</t>
  </si>
  <si>
    <t>Budget impact</t>
  </si>
  <si>
    <t>Budget impact reports UNDISCOUNTED baseline, scenario, incremental and cumulative incremental cost; discounted incremental cost is a separate column.</t>
  </si>
  <si>
    <t>Cost-effectiveness</t>
  </si>
  <si>
    <t>USD per death averted = cumulative discounted incremental cost / cumulative (undiscounted) deaths averted. Not a DALY-based ICER; DALYs are deferred.</t>
  </si>
  <si>
    <t>Economic value</t>
  </si>
  <si>
    <t>Value of statistical life (Model 08) covers the clinical CVD scenarios only and does not reconcile with public-health scenarios; see the Economic_Value note.</t>
  </si>
  <si>
    <t>QA &amp; reconciliation</t>
  </si>
  <si>
    <t>QA_Checks recomputes each invariant in Excel and reconciles the Excel cost-effectiveness headline against the R engine values on Calculation_Assumptions. PASS/REVIEW/FAIL are conditionally formatted.</t>
  </si>
  <si>
    <t>Colour legend</t>
  </si>
  <si>
    <t>Header dark-blue; formula-derived light-blue; R source/helper grey; editable controls pale-yellow; PASS green; REVIEW amber; FAIL red.</t>
  </si>
  <si>
    <t>Deferred</t>
  </si>
  <si>
    <t>DALYs/YLL/YLD/disability weights are deferred; the principal cost-effectiveness result is USD per death averted.</t>
  </si>
  <si>
    <t>item</t>
  </si>
  <si>
    <t>Workbook title</t>
  </si>
  <si>
    <t>Indonesia NCD public-health - cost &amp; value</t>
  </si>
  <si>
    <t>Run date</t>
  </si>
  <si>
    <t>2026-08-18</t>
  </si>
  <si>
    <t>Model / pipeline</t>
  </si>
  <si>
    <t>CVD FAIR Choices pipeline (Models 00-06 -&gt; 09), public-health family</t>
  </si>
  <si>
    <t>Public-health input workbook</t>
  </si>
  <si>
    <t>C:/Users/wrgar/OneDrive - UW/02Work/WorldBank-Indonesia/uw-wb-indonesia-ncd/data/indonesia_model_inputs_ public_health.xlsx</t>
  </si>
  <si>
    <t>Model output source</t>
  </si>
  <si>
    <t>output/out_model/model_output_*.rds (Model 06)</t>
  </si>
  <si>
    <t>Location</t>
  </si>
  <si>
    <t>Indonesia</t>
  </si>
  <si>
    <t>Analysis years</t>
  </si>
  <si>
    <t>Baseline scenario</t>
  </si>
  <si>
    <t>Scenarios costed</t>
  </si>
  <si>
    <t>I_PH_ALCOHOL_POLICY, I_PH_ALCOHOL_TAX, I_PH_SALT_POLICY, I_PH_SSB_TAX, I_PH_TOBACCO_POLICY, I_PH_TOBACCO_TAX, all_public_health</t>
  </si>
  <si>
    <t>Cost discount rate</t>
  </si>
  <si>
    <t>2023</t>
  </si>
  <si>
    <t>Currency</t>
  </si>
  <si>
    <t>Economic perspective</t>
  </si>
  <si>
    <t>Policy start / target year</t>
  </si>
  <si>
    <t>2026 / 2030</t>
  </si>
  <si>
    <t>Cost ramp years</t>
  </si>
  <si>
    <t>3</t>
  </si>
  <si>
    <t>Health outcomes (DALYs/YLL/YLD)</t>
  </si>
  <si>
    <t>Out of scope in this stage (deferred)</t>
  </si>
  <si>
    <t>R version</t>
  </si>
  <si>
    <t>R version 4.5.1 (2025-06-13 ucrt)</t>
  </si>
  <si>
    <t>openxlsx / data.table</t>
  </si>
  <si>
    <t>4.2.8 / 1.17.8</t>
  </si>
  <si>
    <t>intervention_id</t>
  </si>
  <si>
    <t>intervention_cause_key</t>
  </si>
  <si>
    <t>intervention_name</t>
  </si>
  <si>
    <t>risk_id</t>
  </si>
  <si>
    <t>cause_id</t>
  </si>
  <si>
    <t>cause_code</t>
  </si>
  <si>
    <t>effect_model</t>
  </si>
  <si>
    <t>baseline_exposure</t>
  </si>
  <si>
    <t>target_exposure</t>
  </si>
  <si>
    <t>response_value</t>
  </si>
  <si>
    <t>paf_value</t>
  </si>
  <si>
    <t>lag_model</t>
  </si>
  <si>
    <t>lag_parameter</t>
  </si>
  <si>
    <t>exposure_start_year</t>
  </si>
  <si>
    <t>full_effect_at_target</t>
  </si>
  <si>
    <t>exposure_reduction_abs</t>
  </si>
  <si>
    <t>exposure_reduction_rel</t>
  </si>
  <si>
    <t>cost_join_key</t>
  </si>
  <si>
    <t>review_status</t>
  </si>
  <si>
    <t>key_count</t>
  </si>
  <si>
    <t>formula_status</t>
  </si>
  <si>
    <t>I_PH_ALCOHOL_POLICY</t>
  </si>
  <si>
    <t>I_PH_ALCOHOL_POLICY__C_CMYO</t>
  </si>
  <si>
    <t>Alcohol policy</t>
  </si>
  <si>
    <t>R_ALCOHOL</t>
  </si>
  <si>
    <t>C_CMYO</t>
  </si>
  <si>
    <t>cmd</t>
  </si>
  <si>
    <t>direct_loglinear_rr_per_unit_reduction</t>
  </si>
  <si>
    <t>immediate_after_full_implementation</t>
  </si>
  <si>
    <t>I_PH_ALCOHOL_POLICY__C_SHARED</t>
  </si>
  <si>
    <t>Provisional proxy</t>
  </si>
  <si>
    <t>I_PH_ALCOHOL_POLICY__C_HHD</t>
  </si>
  <si>
    <t>C_HHD</t>
  </si>
  <si>
    <t>hhd</t>
  </si>
  <si>
    <t>Ready</t>
  </si>
  <si>
    <t>I_PH_ALCOHOL_POLICY__C_ICH</t>
  </si>
  <si>
    <t>C_ICH</t>
  </si>
  <si>
    <t>hstroke</t>
  </si>
  <si>
    <t>I_PH_ALCOHOL_POLICY__C_IHD</t>
  </si>
  <si>
    <t>C_IHD</t>
  </si>
  <si>
    <t>ihd</t>
  </si>
  <si>
    <t>I_PH_ALCOHOL_POLICY__C_IS</t>
  </si>
  <si>
    <t>C_IS</t>
  </si>
  <si>
    <t>istroke</t>
  </si>
  <si>
    <t>I_PH_ALCOHOL_TAX</t>
  </si>
  <si>
    <t>I_PH_ALCOHOL_TAX__C_CMYO</t>
  </si>
  <si>
    <t>Alcohol tax</t>
  </si>
  <si>
    <t>I_PH_ALCOHOL_TAX__C_SHARED</t>
  </si>
  <si>
    <t>I_PH_ALCOHOL_TAX__C_HHD</t>
  </si>
  <si>
    <t>I_PH_ALCOHOL_TAX__C_ICH</t>
  </si>
  <si>
    <t>I_PH_ALCOHOL_TAX__C_IHD</t>
  </si>
  <si>
    <t>I_PH_ALCOHOL_TAX__C_IS</t>
  </si>
  <si>
    <t>I_PH_SALT_POLICY</t>
  </si>
  <si>
    <t>I_PH_SALT_POLICY__C_HHD</t>
  </si>
  <si>
    <t>Salt policy</t>
  </si>
  <si>
    <t>R_SODIUM</t>
  </si>
  <si>
    <t>I_PH_SALT_POLICY__C_SHARED</t>
  </si>
  <si>
    <t>I_PH_SALT_POLICY__C_ICH</t>
  </si>
  <si>
    <t>I_PH_SALT_POLICY__C_IHD</t>
  </si>
  <si>
    <t>I_PH_SALT_POLICY__C_IS</t>
  </si>
  <si>
    <t>I_PH_SSB_TAX</t>
  </si>
  <si>
    <t>I_PH_SSB_TAX__C_T2DM</t>
  </si>
  <si>
    <t>Sugar-sweetened beverage tax</t>
  </si>
  <si>
    <t>R_SSB</t>
  </si>
  <si>
    <t>C_T2DM</t>
  </si>
  <si>
    <t>dm2</t>
  </si>
  <si>
    <t>I_PH_SSB_TAX__C_SHARED</t>
  </si>
  <si>
    <t>I_PH_SSB_TAX__C_HHD</t>
  </si>
  <si>
    <t>I_PH_SSB_TAX__C_ICH</t>
  </si>
  <si>
    <t>I_PH_SSB_TAX__C_IHD</t>
  </si>
  <si>
    <t>I_PH_SSB_TAX__C_IS</t>
  </si>
  <si>
    <t>I_PH_TOBACCO_POLICY</t>
  </si>
  <si>
    <t>I_PH_TOBACCO_POLICY__C_T2DM</t>
  </si>
  <si>
    <t>Tobacco policy</t>
  </si>
  <si>
    <t>R_SMOKING</t>
  </si>
  <si>
    <t>direct_smoking_prevalence_shift_rr</t>
  </si>
  <si>
    <t>delayed_exponential_remaining_effect</t>
  </si>
  <si>
    <t>I_PH_TOBACCO_POLICY__C_SHARED</t>
  </si>
  <si>
    <t>Provisional lag proxy</t>
  </si>
  <si>
    <t>I_PH_TOBACCO_POLICY__C_ICH</t>
  </si>
  <si>
    <t>I_PH_TOBACCO_POLICY__C_IHD</t>
  </si>
  <si>
    <t>I_PH_TOBACCO_POLICY__C_IS</t>
  </si>
  <si>
    <t>I_PH_TOBACCO_TAX</t>
  </si>
  <si>
    <t>I_PH_TOBACCO_TAX__C_T2DM</t>
  </si>
  <si>
    <t>Tobacco tax</t>
  </si>
  <si>
    <t>I_PH_TOBACCO_TAX__C_SHARED</t>
  </si>
  <si>
    <t>I_PH_TOBACCO_TAX__C_ICH</t>
  </si>
  <si>
    <t>I_PH_TOBACCO_TAX__C_IHD</t>
  </si>
  <si>
    <t>I_PH_TOBACCO_TAX__C_IS</t>
  </si>
  <si>
    <t>transition_from</t>
  </si>
  <si>
    <t>transition_to</t>
  </si>
  <si>
    <t>problem</t>
  </si>
  <si>
    <t>I_PH_TFA_POLICY</t>
  </si>
  <si>
    <t>I_PH_TFA_POLICY__C_IHD</t>
  </si>
  <si>
    <t>well</t>
  </si>
  <si>
    <t>sick</t>
  </si>
  <si>
    <t>tfa_attributable_ihd_PAF_x_policy_score</t>
  </si>
  <si>
    <t>missing response parameter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</si>
  <si>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</si>
  <si>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</si>
  <si>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</si>
  <si>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</si>
  <si>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</si>
  <si>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</si>
  <si>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</si>
  <si>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estimated_risk_reduction</t>
  </si>
  <si>
    <t>qa_status</t>
  </si>
  <si>
    <t>PL_TOB_TAX_SHARE</t>
  </si>
  <si>
    <t>Tax share of final retail price</t>
  </si>
  <si>
    <t>tax_share_to_price_elasticity</t>
  </si>
  <si>
    <t>NCD Countdown supplement p 32</t>
  </si>
  <si>
    <t>Missing</t>
  </si>
  <si>
    <t>OK</t>
  </si>
  <si>
    <t>PL_ALC_PRICE</t>
  </si>
  <si>
    <t>Total price increase</t>
  </si>
  <si>
    <t>price_elasticity</t>
  </si>
  <si>
    <t>relative price change</t>
  </si>
  <si>
    <t>NCD Countdown supplement p 31</t>
  </si>
  <si>
    <t>Provisional</t>
  </si>
  <si>
    <t>PL_TOB_CLEAN_AIR</t>
  </si>
  <si>
    <t>Smoking ban / clean-air law</t>
  </si>
  <si>
    <t>coverage_gap_multiplicative</t>
  </si>
  <si>
    <t>implementation proportion</t>
  </si>
  <si>
    <t>Review</t>
  </si>
  <si>
    <t>PL_TOB_MEDIA</t>
  </si>
  <si>
    <t>Highly publicised mass media</t>
  </si>
  <si>
    <t>PL_TOB_AD_BAN</t>
  </si>
  <si>
    <t>Advertising bans</t>
  </si>
  <si>
    <t>PL_ALC_AD_BAN</t>
  </si>
  <si>
    <t>Alcohol advertising ban</t>
  </si>
  <si>
    <t>PL_SALT_REFORM</t>
  </si>
  <si>
    <t>Mandatory product reformulation</t>
  </si>
  <si>
    <t>NCD Countdown supplement p 33</t>
  </si>
  <si>
    <t>PL_SALT_FOPL</t>
  </si>
  <si>
    <t>Front-of-pack labelling</t>
  </si>
  <si>
    <t>PL_SALT_MEDIA</t>
  </si>
  <si>
    <t>Mass-media campaign</t>
  </si>
  <si>
    <t>PL_SALT_ENV</t>
  </si>
  <si>
    <t>Supportive public-institution environment</t>
  </si>
  <si>
    <t>PL_TFA_SCORE</t>
  </si>
  <si>
    <t>Trans fat policy</t>
  </si>
  <si>
    <t>WHO TFA policy score</t>
  </si>
  <si>
    <t>score_lookup</t>
  </si>
  <si>
    <t>score 0-4</t>
  </si>
  <si>
    <t>NCD Countdown supplement pp 33-34</t>
  </si>
  <si>
    <t>PL_SSB_PRICE</t>
  </si>
  <si>
    <t>Retail price increase</t>
  </si>
  <si>
    <t>https://doi.org/10.1371/journal.pone.0293913; https://doi.org/10.1001/jamanetworkopen.2022.15276</t>
  </si>
  <si>
    <t>risk_exposure_measure</t>
  </si>
  <si>
    <t>exposure_unit</t>
  </si>
  <si>
    <t>reduction_method</t>
  </si>
  <si>
    <t>red_or_target</t>
  </si>
  <si>
    <t>exposure_floor</t>
  </si>
  <si>
    <t>absolute_reduction</t>
  </si>
  <si>
    <t>relative_reduction</t>
  </si>
  <si>
    <t>start_year</t>
  </si>
  <si>
    <t>target_year</t>
  </si>
  <si>
    <t>Smoking prevalence</t>
  </si>
  <si>
    <t>relative</t>
  </si>
  <si>
    <t>Missing input</t>
  </si>
  <si>
    <t>Alcohol consumption per adult</t>
  </si>
  <si>
    <t>litres pure alcohol/adult/year</t>
  </si>
  <si>
    <t>Mean sodium intake</t>
  </si>
  <si>
    <t>g sodium/day</t>
  </si>
  <si>
    <t>R_TFA</t>
  </si>
  <si>
    <t>Mean trans-fat intake</t>
  </si>
  <si>
    <t>% energy</t>
  </si>
  <si>
    <t>target</t>
  </si>
  <si>
    <t>Mean SSB intake</t>
  </si>
  <si>
    <t>8 oz (248 g) servings/adult/day</t>
  </si>
  <si>
    <t>Base exposure is GDD 2020 adult mean (0.8 servings/week); tax response is Indonesia-specific. Replace baseline if a newer comparable intake series is selected.</t>
  </si>
  <si>
    <t>response_parameter</t>
  </si>
  <si>
    <t>model_transition</t>
  </si>
  <si>
    <t>valid</t>
  </si>
  <si>
    <t>RR per 1 L pure alcohol/adult/year</t>
  </si>
  <si>
    <t>incidence</t>
  </si>
  <si>
    <t>RR per 1 g sodium</t>
  </si>
  <si>
    <t>RR per 1 daily 8 oz (248 g) SSB serving</t>
  </si>
  <si>
    <t>policy-score effect on TFA-attributable IHD deaths</t>
  </si>
  <si>
    <t>RR current smoker vs non-smoker</t>
  </si>
  <si>
    <t>cost_record_id</t>
  </si>
  <si>
    <t>cost_component_key</t>
  </si>
  <si>
    <t>cost_scope</t>
  </si>
  <si>
    <t>cost_component</t>
  </si>
  <si>
    <t>population_in_need_measure</t>
  </si>
  <si>
    <t>population_in_need_fraction</t>
  </si>
  <si>
    <t>frequency_per_year</t>
  </si>
  <si>
    <t>unit_cost_usd</t>
  </si>
  <si>
    <t>price_year</t>
  </si>
  <si>
    <t>indonesia_adjusted_flag</t>
  </si>
  <si>
    <t>source_country</t>
  </si>
  <si>
    <t>cost_ready</t>
  </si>
  <si>
    <t>notes</t>
  </si>
  <si>
    <t>COST_PH_ALC_POLICY</t>
  </si>
  <si>
    <t>CC_PH_ALC_POLICY</t>
  </si>
  <si>
    <t>shared-count-once</t>
  </si>
  <si>
    <t>Annual intersectoral policy implementation</t>
  </si>
  <si>
    <t>all</t>
  </si>
  <si>
    <t>China</t>
  </si>
  <si>
    <t>WHO NCD Costing Tool value; requires Indonesia/price-year adjustment</t>
  </si>
  <si>
    <t>COST_PH_ALC_TAX</t>
  </si>
  <si>
    <t>CC_PH_ALC_TAX</t>
  </si>
  <si>
    <t>COST_PH_SALT</t>
  </si>
  <si>
    <t>CC_PH_SALT</t>
  </si>
  <si>
    <t>COST_PH_SSB_TAX</t>
  </si>
  <si>
    <t>CC_PH_SSB_TAX</t>
  </si>
  <si>
    <t>Tax-policy proxy</t>
  </si>
  <si>
    <t>Watkins used tobacco/alcohol tax administrative costs as the SSB proxy and reports US$27.3m total Indonesia cost (2016 USD, discounted 2015-2070). Workbook uses the compatible 0.004 per-capita-year tax proxy pending Indonesia/price-year calibration.</t>
  </si>
  <si>
    <t>COST_PH_TFA</t>
  </si>
  <si>
    <t>CC_PH_TFA</t>
  </si>
  <si>
    <t>I_PH_TFA_POLICY__C_SHARED</t>
  </si>
  <si>
    <t>COST_PH_TOB_POLICY</t>
  </si>
  <si>
    <t>CC_PH_TOB_POLICY</t>
  </si>
  <si>
    <t>COST_PH_TOB_TAX</t>
  </si>
  <si>
    <t>CC_PH_TOB_TAX</t>
  </si>
  <si>
    <t>scenario</t>
  </si>
  <si>
    <t>scenario_label</t>
  </si>
  <si>
    <t>cause</t>
  </si>
  <si>
    <t>cases</t>
  </si>
  <si>
    <t>cause_deaths</t>
  </si>
  <si>
    <t>base_cases</t>
  </si>
  <si>
    <t>base_deaths</t>
  </si>
  <si>
    <t>deaths_averted</t>
  </si>
  <si>
    <t>cases_averted</t>
  </si>
  <si>
    <t>rhd</t>
  </si>
  <si>
    <t>All selected public-health interventions (combined)</t>
  </si>
  <si>
    <t>pop_scenario</t>
  </si>
  <si>
    <t>pop_baseline</t>
  </si>
  <si>
    <t>cost_impl_frac</t>
  </si>
  <si>
    <t>pin_scenario</t>
  </si>
  <si>
    <t>pin_baseline</t>
  </si>
  <si>
    <t>annual_cost_baseline</t>
  </si>
  <si>
    <t>annual_cost_scenario</t>
  </si>
  <si>
    <t>annual_cost_incremental</t>
  </si>
  <si>
    <t>discount_factor</t>
  </si>
  <si>
    <t>disc_cost_baseline</t>
  </si>
  <si>
    <t>disc_cost_scenario</t>
  </si>
  <si>
    <t>disc_cost_incremental</t>
  </si>
  <si>
    <t>shared_duplicate_count</t>
  </si>
  <si>
    <t>baseline_cost</t>
  </si>
  <si>
    <t>scenario_cost</t>
  </si>
  <si>
    <t>incremental_cost</t>
  </si>
  <si>
    <t>disc_incremental_cost</t>
  </si>
  <si>
    <t>cumulative_incremental_cost</t>
  </si>
  <si>
    <t>cumulative_disc_incremental_cost</t>
  </si>
  <si>
    <t>cost_per_death_averted</t>
  </si>
  <si>
    <t>dominance</t>
  </si>
  <si>
    <t>reconciliation_status</t>
  </si>
  <si>
    <t>note</t>
  </si>
  <si>
    <t>Economic value (value of statistical life, VSL/VSLY) is produced by Model 08 for the clinical CVD scenarios only.</t>
  </si>
  <si>
    <t>Model 08 does not currently run the public-health scenario ids (I_PH_* / all_public_health), so its monetary-value</t>
  </si>
  <si>
    <t>results cannot be reconciled against this run's public-health scenarios and are intentionally NOT reproduced here.</t>
  </si>
  <si>
    <t>The principal public-health result in this workbook is USD per death averted (Cost_Effectiveness).</t>
  </si>
  <si>
    <t>To populate a public-health economic-value view, re-run Model 08 on the public-health scenarios and extend this sheet.</t>
  </si>
  <si>
    <t>check</t>
  </si>
  <si>
    <t>expected</t>
  </si>
  <si>
    <t>actual</t>
  </si>
  <si>
    <t>status</t>
  </si>
  <si>
    <t>Selected intervention-cause key uniqueness</t>
  </si>
  <si>
    <t>0</t>
  </si>
  <si>
    <t>Each selected link key appears once</t>
  </si>
  <si>
    <t>Workbook FAIL-level issues</t>
  </si>
  <si>
    <t>Blocked links excluded (see Blocked_Links / Input_Diagnostic)</t>
  </si>
  <si>
    <t>Workbook REVIEW-level issues</t>
  </si>
  <si>
    <t>Flagged but usable (e.g. cost not Indonesia-adjusted; provisional PAF)</t>
  </si>
  <si>
    <t>Every scenario paired to baseline</t>
  </si>
  <si>
    <t>Deaths averted = baseline - scenario at matched year/cause</t>
  </si>
  <si>
    <t>Public-health transitions are well -&gt; sick incidence</t>
  </si>
  <si>
    <t>All modeled public-health effects map to incidence (no case fatality)</t>
  </si>
  <si>
    <t>No impossible negative states</t>
  </si>
  <si>
    <t>well/sick/new_cases/deaths/population &gt;= 0</t>
  </si>
  <si>
    <t>Stock/flow identity pop = well + sick + all-cause deaths</t>
  </si>
  <si>
    <t>&lt;= limit</t>
  </si>
  <si>
    <t>Per cause row; small residual from 95+ pooling / rounding</t>
  </si>
  <si>
    <t>Background mortality constant across cause</t>
  </si>
  <si>
    <t>1</t>
  </si>
  <si>
    <t>all.mx taken once per stratum (population not duplicated across causes)</t>
  </si>
  <si>
    <t>Cost reconciliation (components -&gt; budget impact)</t>
  </si>
  <si>
    <t>&lt;= tol</t>
  </si>
  <si>
    <t>Excel component rows sum to Excel annual totals within tolerance</t>
  </si>
  <si>
    <t>Shared cost counted once per stratum/year</t>
  </si>
  <si>
    <t>shared-count-once components appear once per scenario-year</t>
  </si>
  <si>
    <t>Annual reconciles to cumulative (budget impact)</t>
  </si>
  <si>
    <t>Last-year cumulative equals the sum of annual incremental cost</t>
  </si>
  <si>
    <t>CEA reconciliation (detail -&gt; summary)</t>
  </si>
  <si>
    <t>consistent</t>
  </si>
  <si>
    <t>Every Cost_Effectiveness row's internal reconciliation is consistent</t>
  </si>
  <si>
    <t>Excel vs R: deaths averted (anchor)</t>
  </si>
  <si>
    <t>match R</t>
  </si>
  <si>
    <t>Excel CEA deaths averted reconciles to the R engine value</t>
  </si>
  <si>
    <t>Excel vs R: discounted incremental cost (anchor)</t>
  </si>
  <si>
    <t>Excel CEA discounted incremental cost reconciles to the R engine value</t>
  </si>
  <si>
    <t>Excel vs R: cost per death averted (anchor)</t>
  </si>
  <si>
    <t>Excel CEA USD per death averted reconciles to the R engine value</t>
  </si>
  <si>
    <t>scope</t>
  </si>
  <si>
    <t>item_key</t>
  </si>
  <si>
    <t>field</t>
  </si>
  <si>
    <t>severity</t>
  </si>
  <si>
    <t>ph_effect</t>
  </si>
  <si>
    <t>PAF-dependent effect missing/zero PAF (kept; effect provisional)</t>
  </si>
  <si>
    <t>REVIEW</t>
  </si>
  <si>
    <t>ph_link</t>
  </si>
  <si>
    <t>effect/exposure</t>
  </si>
  <si>
    <t>FAIL</t>
  </si>
  <si>
    <t>ph_cost</t>
  </si>
  <si>
    <t>cost not Indonesia-adjusted (proxy/review estimate; kept but flagged)</t>
  </si>
  <si>
    <t>cost price year != reporting price year (2023)</t>
  </si>
  <si>
    <t>method_id</t>
  </si>
  <si>
    <t>concept</t>
  </si>
  <si>
    <t>formula_or_rule</t>
  </si>
  <si>
    <t>M01</t>
  </si>
  <si>
    <t>Exposure target</t>
  </si>
  <si>
    <t>relative: max(floor, baseline*(1-reduction)); absolute: max(floor, baseline-reduction); level: max(floor, target)</t>
  </si>
  <si>
    <t>NCD Countdown supplement (Countdown_Methods sheet) + public-health input workbook</t>
  </si>
  <si>
    <t>M02</t>
  </si>
  <si>
    <t>pt(t) linear baseline-&gt;target over start_year..target_year, then held; floored at exposure_floor</t>
  </si>
  <si>
    <t>M03</t>
  </si>
  <si>
    <t>Prevalence-shift RR effect</t>
  </si>
  <si>
    <t>effect = 1 - (1 + pt*(RR-1)) / (1 + p0*(RR-1))</t>
  </si>
  <si>
    <t>M04</t>
  </si>
  <si>
    <t>Log-linear RR effect</t>
  </si>
  <si>
    <t>effect = 1 - 1/(RR^(p0-pt))</t>
  </si>
  <si>
    <t>M05</t>
  </si>
  <si>
    <t>TFA policy-score effect</t>
  </si>
  <si>
    <t>effect = PAF * achieved_policy_score</t>
  </si>
  <si>
    <t>M06</t>
  </si>
  <si>
    <t>Effect lag</t>
  </si>
  <si>
    <t>immediate: effect tracks exposure path; delayed_exponential: full_effect * (1-(1-rate)^(years since start))</t>
  </si>
  <si>
    <t>M07</t>
  </si>
  <si>
    <t>Incidence application</t>
  </si>
  <si>
    <t>cause-specific incidence x (1 - effect_t); multiple policies combine multiplicatively on the surviving fraction</t>
  </si>
  <si>
    <t>M08</t>
  </si>
  <si>
    <t>Policy implementation fraction</t>
  </si>
  <si>
    <t>implementation_fraction(t) = min(max((t - policy_start_year + 1)/policy_cost_ramp_years, 0), 1)</t>
  </si>
  <si>
    <t>M09</t>
  </si>
  <si>
    <t>Annual policy cost</t>
  </si>
  <si>
    <t>annual_cost = population(t) * PIN_fraction * implementation_fraction(t) * frequency * unit_cost</t>
  </si>
  <si>
    <t>M10</t>
  </si>
  <si>
    <t>Shared cost</t>
  </si>
  <si>
    <t>shared-count-once costs counted once per intervention &amp; scenario-year, never once per affected cause</t>
  </si>
  <si>
    <t>M11</t>
  </si>
  <si>
    <t>Discounting</t>
  </si>
  <si>
    <t>discount_factor(t) = 1/(1+cost_discount_rate)^(t - analysis_start_year); costs discounted, deaths undiscounted</t>
  </si>
  <si>
    <t>M12</t>
  </si>
  <si>
    <t>USD per death averted = cumulative discounted incremental cost / cumulative deaths averted</t>
  </si>
  <si>
    <t>output_sheet</t>
  </si>
  <si>
    <t>formula_columns</t>
  </si>
  <si>
    <t>depends_on</t>
  </si>
  <si>
    <t>calculation</t>
  </si>
  <si>
    <t>Selected_Interventions</t>
  </si>
  <si>
    <t>P,Q,R,U,V</t>
  </si>
  <si>
    <t>effect_model + exposures (H:J)</t>
  </si>
  <si>
    <t>Full effect at target; exposure reductions; key uniqueness</t>
  </si>
  <si>
    <t>Exposure_Targets</t>
  </si>
  <si>
    <t>I,J,K</t>
  </si>
  <si>
    <t>baseline/method/reduction (E:H)</t>
  </si>
  <si>
    <t>Exposure target and absolute/relative reductions</t>
  </si>
  <si>
    <t>Effect_Parameters</t>
  </si>
  <si>
    <t>M</t>
  </si>
  <si>
    <t>effect_model + exposures (G,H,K,L)</t>
  </si>
  <si>
    <t>Full effect at target</t>
  </si>
  <si>
    <t>Cost_Components</t>
  </si>
  <si>
    <t>O(cost_ready)</t>
  </si>
  <si>
    <t>cost inputs (G:K)</t>
  </si>
  <si>
    <t>Cost-readiness rule</t>
  </si>
  <si>
    <t>Annual_Mortality</t>
  </si>
  <si>
    <t>I,J</t>
  </si>
  <si>
    <t>R deaths/cases (E:H)</t>
  </si>
  <si>
    <t>Deaths and cases averted</t>
  </si>
  <si>
    <t>Annual_Cost</t>
  </si>
  <si>
    <t>N,O,P,Q,R,S,T,U,V,W,AA</t>
  </si>
  <si>
    <t>Cost_Components inputs; Calculation_Assumptions; R population (L:M)</t>
  </si>
  <si>
    <t>Implementation fraction, PIN, annual/discounted cost, shared-cost QA</t>
  </si>
  <si>
    <t>Budget_Impact</t>
  </si>
  <si>
    <t>C:H</t>
  </si>
  <si>
    <t>Annual and cumulative cost by scenario</t>
  </si>
  <si>
    <t>Cost_Effectiveness</t>
  </si>
  <si>
    <t>C:I</t>
  </si>
  <si>
    <t>Annual_Mortality; Budget_Impact; Calculation_Assumptions</t>
  </si>
  <si>
    <t>Cumulative health, cost, cost/death, dominance, reconciliation</t>
  </si>
  <si>
    <t>QA_Checks</t>
  </si>
  <si>
    <t>C:D</t>
  </si>
  <si>
    <t>calculation + diagnostic sheets</t>
  </si>
  <si>
    <t>Invariant recomputation and Excel-vs-R reconciliation</t>
  </si>
  <si>
    <t>Run_Metadata</t>
  </si>
  <si>
    <t>B (subset)</t>
  </si>
  <si>
    <t>Calculation_Assumptions</t>
  </si>
  <si>
    <t>Metadata pulled from controls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</si>
</sst>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0.000"/>
    <numFmt numFmtId="167" formatCode="#,##0.0"/>
    <numFmt numFmtId="168" formatCode="0.0000"/>
    <numFmt numFmtId="169" formatCode="#,##0.0000"/>
  </numFmts>
  <fonts count="3">
    <font>
      <sz val="11"/>
      <color rgb="FF000000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1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3" fontId="0" fillId="3" borderId="0" xfId="0" applyNumberFormat="1" applyFill="1"/>
    <xf numFmtId="3" fontId="0" fillId="4" borderId="0" xfId="0" applyNumberFormat="1" applyFill="1"/>
    <xf numFmtId="167" fontId="0" fillId="4" borderId="0" xfId="0" applyNumberFormat="1" applyFill="1"/>
    <xf numFmtId="1" fontId="0" fillId="4" borderId="0" xfId="0" applyNumberFormat="1" applyFill="1"/>
    <xf numFmtId="4" fontId="0" fillId="4" borderId="0" xfId="0" applyNumberFormat="1" applyFill="1"/>
    <xf numFmtId="0" fontId="0" fillId="0" borderId="0" xfId="0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ill="1"/>
    <xf numFmtId="165" fontId="0" fillId="5" borderId="0" xfId="0" applyNumberFormat="1" applyFill="1"/>
    <xf numFmtId="168" fontId="0" fillId="0" borderId="0" xfId="0" applyNumberFormat="1"/>
    <xf numFmtId="1" fontId="0" fillId="0" borderId="0" xfId="0" applyNumberFormat="1"/>
    <xf numFmtId="168" fontId="0" fillId="5" borderId="0" xfId="0" applyNumberFormat="1" applyFill="1"/>
    <xf numFmtId="3" fontId="0" fillId="0" borderId="0" xfId="0" applyNumberFormat="1"/>
    <xf numFmtId="3" fontId="0" fillId="5" borderId="0" xfId="0" applyNumberFormat="1" applyFill="1"/>
    <xf numFmtId="0" fontId="0" fillId="3" borderId="0" xfId="0" applyFill="1" applyAlignment="1">
      <alignment vertical="top" wrapText="1"/>
    </xf>
    <xf numFmtId="168" fontId="0" fillId="4" borderId="0" xfId="0" applyNumberFormat="1" applyFill="1"/>
    <xf numFmtId="0" fontId="0" fillId="4" borderId="0" xfId="0" applyFill="1" applyAlignment="1">
      <alignment vertical="top" wrapText="1"/>
    </xf>
    <xf numFmtId="165" fontId="0" fillId="0" borderId="0" xfId="0" applyNumberFormat="1"/>
    <xf numFmtId="2" fontId="0" fillId="0" borderId="0" xfId="0" applyNumberFormat="1"/>
    <xf numFmtId="169" fontId="0" fillId="0" borderId="0" xfId="0" applyNumberFormat="1"/>
    <xf numFmtId="3" fontId="0" fillId="0" borderId="0" xfId="0" applyNumberFormat="1" applyAlignment="1">
      <alignment vertical="top" wrapText="1"/>
    </xf>
    <xf numFmtId="165" fontId="0" fillId="4" borderId="0" xfId="0" applyNumberFormat="1" applyFill="1"/>
    <xf numFmtId="2" fontId="0" fillId="4" borderId="0" xfId="0" applyNumberFormat="1" applyFill="1"/>
    <xf numFmtId="169" fontId="0" fillId="4" borderId="0" xfId="0" applyNumberFormat="1" applyFill="1"/>
    <xf numFmtId="166" fontId="0" fillId="5" borderId="0" xfId="0" applyNumberFormat="1" applyFill="1"/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13"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ColWidth="11.19921875" defaultRowHeight="13.8"/>
  <cols>
    <col min="1" max="1" width="22.69921875" customWidth="1"/>
    <col min="2" max="2" width="122.69921875" customWidth="1"/>
  </cols>
  <sheetData>
    <row r="1" spans="1:2" ht="22.05" customHeight="1">
      <c r="A1" s="14" t="s">
        <v>77</v>
      </c>
    </row>
    <row r="3" spans="1:2">
      <c r="A3" s="1" t="s">
        <v>78</v>
      </c>
      <c r="B3" s="1" t="s">
        <v>79</v>
      </c>
    </row>
    <row r="4" spans="1:2" ht="27.6">
      <c r="A4" t="s">
        <v>80</v>
      </c>
      <c r="B4" s="13" t="s">
        <v>81</v>
      </c>
    </row>
    <row r="5" spans="1:2" ht="27.6">
      <c r="A5" t="s">
        <v>82</v>
      </c>
      <c r="B5" s="13" t="s">
        <v>83</v>
      </c>
    </row>
    <row r="6" spans="1:2" ht="27.6">
      <c r="A6" t="s">
        <v>84</v>
      </c>
      <c r="B6" s="13" t="s">
        <v>85</v>
      </c>
    </row>
    <row r="7" spans="1:2">
      <c r="A7" t="s">
        <v>86</v>
      </c>
      <c r="B7" s="13" t="s">
        <v>87</v>
      </c>
    </row>
    <row r="8" spans="1:2" ht="27.6">
      <c r="A8" t="s">
        <v>88</v>
      </c>
      <c r="B8" s="13" t="s">
        <v>89</v>
      </c>
    </row>
    <row r="9" spans="1:2" ht="27.6">
      <c r="A9" t="s">
        <v>90</v>
      </c>
      <c r="B9" s="13" t="s">
        <v>91</v>
      </c>
    </row>
    <row r="10" spans="1:2" ht="27.6">
      <c r="A10" t="s">
        <v>92</v>
      </c>
      <c r="B10" s="13" t="s">
        <v>93</v>
      </c>
    </row>
    <row r="11" spans="1:2" ht="27.6">
      <c r="A11" t="s">
        <v>94</v>
      </c>
      <c r="B11" s="13" t="s">
        <v>95</v>
      </c>
    </row>
    <row r="12" spans="1:2" ht="27.6">
      <c r="A12" t="s">
        <v>96</v>
      </c>
      <c r="B12" s="13" t="s">
        <v>97</v>
      </c>
    </row>
    <row r="13" spans="1:2" ht="27.6">
      <c r="A13" t="s">
        <v>98</v>
      </c>
      <c r="B13" s="13" t="s">
        <v>99</v>
      </c>
    </row>
    <row r="14" spans="1:2" ht="27.6">
      <c r="A14" t="s">
        <v>100</v>
      </c>
      <c r="B14" s="13" t="s">
        <v>101</v>
      </c>
    </row>
    <row r="15" spans="1:2" ht="27.6">
      <c r="A15" t="s">
        <v>102</v>
      </c>
      <c r="B15" s="13" t="s">
        <v>103</v>
      </c>
    </row>
    <row r="16" spans="1:2" ht="27.6">
      <c r="A16" t="s">
        <v>104</v>
      </c>
      <c r="B16" s="13" t="s">
        <v>105</v>
      </c>
    </row>
    <row r="17" spans="1:2">
      <c r="A17" t="s">
        <v>106</v>
      </c>
      <c r="B17" s="13" t="s">
        <v>107</v>
      </c>
    </row>
    <row r="18" spans="1:2">
      <c r="A18" t="s">
        <v>108</v>
      </c>
      <c r="B18" s="13" t="s">
        <v>109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0.69921875" customWidth="1"/>
    <col min="2" max="2" width="74.69921875" customWidth="1"/>
  </cols>
  <sheetData>
    <row r="1" spans="1:2" ht="28.05" customHeight="1">
      <c r="A1" s="1" t="s">
        <v>110</v>
      </c>
      <c r="B1" s="1" t="s">
        <v>1</v>
      </c>
    </row>
    <row r="2" spans="1:2">
      <c r="A2" t="s">
        <v>111</v>
      </c>
      <c r="B2" t="s">
        <v>112</v>
      </c>
    </row>
    <row r="3" spans="1:2">
      <c r="A3" t="s">
        <v>113</v>
      </c>
      <c r="B3" t="s">
        <v>114</v>
      </c>
    </row>
    <row r="4" spans="1:2">
      <c r="A4" t="s">
        <v>115</v>
      </c>
      <c r="B4" t="s">
        <v>116</v>
      </c>
    </row>
    <row r="5" spans="1:2">
      <c r="A5" t="s">
        <v>117</v>
      </c>
      <c r="B5" t="s">
        <v>118</v>
      </c>
    </row>
    <row r="6" spans="1:2">
      <c r="A6" t="s">
        <v>119</v>
      </c>
      <c r="B6" t="s">
        <v>120</v>
      </c>
    </row>
    <row r="7" spans="1:2">
      <c r="A7" t="s">
        <v>121</v>
      </c>
      <c r="B7" t="s">
        <v>122</v>
      </c>
    </row>
    <row r="8" spans="1:2">
      <c r="A8" t="s">
        <v>123</v>
      </c>
      <c r="B8" s="15" t="str">
        <f>Calculation_Assumptions!$B$2&amp;"-"&amp;Calculation_Assumptions!$B$3</f>
        <v>2025-2050</v>
      </c>
    </row>
    <row r="9" spans="1:2">
      <c r="A9" t="s">
        <v>124</v>
      </c>
      <c r="B9" s="15" t="str">
        <f>Calculation_Assumptions!$B$4</f>
        <v>baseline</v>
      </c>
    </row>
    <row r="10" spans="1:2">
      <c r="A10" t="s">
        <v>125</v>
      </c>
      <c r="B10" t="s">
        <v>126</v>
      </c>
    </row>
    <row r="11" spans="1:2">
      <c r="A11" t="s">
        <v>127</v>
      </c>
      <c r="B11" s="16">
        <f>Calculation_Assumptions!$B$8</f>
        <v>0.03</v>
      </c>
    </row>
    <row r="12" spans="1:2">
      <c r="A12" t="s">
        <v>42</v>
      </c>
      <c r="B12" t="s">
        <v>128</v>
      </c>
    </row>
    <row r="13" spans="1:2">
      <c r="A13" t="s">
        <v>129</v>
      </c>
      <c r="B13" t="s">
        <v>68</v>
      </c>
    </row>
    <row r="14" spans="1:2">
      <c r="A14" t="s">
        <v>130</v>
      </c>
      <c r="B14" t="s">
        <v>74</v>
      </c>
    </row>
    <row r="15" spans="1:2">
      <c r="A15" t="s">
        <v>131</v>
      </c>
      <c r="B15" t="s">
        <v>132</v>
      </c>
    </row>
    <row r="16" spans="1:2">
      <c r="A16" t="s">
        <v>133</v>
      </c>
      <c r="B16" t="s">
        <v>134</v>
      </c>
    </row>
    <row r="17" spans="1:2">
      <c r="A17" t="s">
        <v>135</v>
      </c>
      <c r="B17" t="s">
        <v>136</v>
      </c>
    </row>
    <row r="18" spans="1:2">
      <c r="A18" t="s">
        <v>137</v>
      </c>
      <c r="B18" t="s">
        <v>138</v>
      </c>
    </row>
    <row r="19" spans="1:2">
      <c r="A19" t="s">
        <v>139</v>
      </c>
      <c r="B19" t="s">
        <v>140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8"/>
  <sheetViews>
    <sheetView workbookViewId="0">
      <pane ySplit="1" topLeftCell="A5" activePane="bottomLeft" state="frozen"/>
      <selection pane="bottomLeft" activeCell="F25" sqref="F25"/>
    </sheetView>
  </sheetViews>
  <sheetFormatPr defaultColWidth="11.19921875" defaultRowHeight="13.8"/>
  <cols>
    <col min="1" max="1" width="17.69921875" customWidth="1"/>
    <col min="2" max="2" width="24.69921875" customWidth="1"/>
    <col min="3" max="3" width="19.69921875" customWidth="1"/>
    <col min="4" max="5" width="11.69921875" customWidth="1"/>
    <col min="6" max="6" width="12.69921875" customWidth="1"/>
    <col min="7" max="7" width="14.69921875" customWidth="1"/>
    <col min="8" max="8" width="19.69921875" customWidth="1"/>
    <col min="9" max="9" width="17.69921875" customWidth="1"/>
    <col min="10" max="10" width="16.69921875" customWidth="1"/>
    <col min="11" max="12" width="11.69921875" customWidth="1"/>
    <col min="13" max="13" width="15.69921875" customWidth="1"/>
    <col min="14" max="14" width="21.69921875" customWidth="1"/>
    <col min="15" max="15" width="22.69921875" customWidth="1"/>
    <col min="16" max="16" width="23.69921875" customWidth="1"/>
    <col min="17" max="18" width="24.69921875" customWidth="1"/>
    <col min="19" max="20" width="15.69921875" customWidth="1"/>
    <col min="21" max="21" width="11.69921875" customWidth="1"/>
    <col min="22" max="22" width="16.69921875" customWidth="1"/>
  </cols>
  <sheetData>
    <row r="1" spans="1:22" ht="28.05" customHeight="1">
      <c r="A1" s="1" t="s">
        <v>141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  <c r="G1" s="1" t="s">
        <v>147</v>
      </c>
      <c r="H1" s="1" t="s">
        <v>148</v>
      </c>
      <c r="I1" s="1" t="s">
        <v>149</v>
      </c>
      <c r="J1" s="1" t="s">
        <v>150</v>
      </c>
      <c r="K1" s="1" t="s">
        <v>151</v>
      </c>
      <c r="L1" s="1" t="s">
        <v>152</v>
      </c>
      <c r="M1" s="1" t="s">
        <v>153</v>
      </c>
      <c r="N1" s="1" t="s">
        <v>154</v>
      </c>
      <c r="O1" s="1" t="s">
        <v>10</v>
      </c>
      <c r="P1" s="1" t="s">
        <v>155</v>
      </c>
      <c r="Q1" s="1" t="s">
        <v>156</v>
      </c>
      <c r="R1" s="1" t="s">
        <v>157</v>
      </c>
      <c r="S1" s="1" t="s">
        <v>158</v>
      </c>
      <c r="T1" s="1" t="s">
        <v>159</v>
      </c>
      <c r="U1" s="1" t="s">
        <v>160</v>
      </c>
      <c r="V1" s="1" t="s">
        <v>161</v>
      </c>
    </row>
    <row r="2" spans="1:22">
      <c r="A2" t="s">
        <v>162</v>
      </c>
      <c r="B2" t="s">
        <v>163</v>
      </c>
      <c r="C2" t="s">
        <v>164</v>
      </c>
      <c r="D2" t="s">
        <v>165</v>
      </c>
      <c r="E2" t="s">
        <v>166</v>
      </c>
      <c r="F2" t="s">
        <v>167</v>
      </c>
      <c r="G2" t="s">
        <v>168</v>
      </c>
      <c r="H2" s="17">
        <v>0.1</v>
      </c>
      <c r="I2" s="17">
        <v>9.9973099999999995E-2</v>
      </c>
      <c r="J2" s="17">
        <v>1.01316167035158</v>
      </c>
      <c r="K2" s="17"/>
      <c r="L2" t="s">
        <v>169</v>
      </c>
      <c r="M2" s="17">
        <v>1</v>
      </c>
      <c r="N2" s="18">
        <v>2026</v>
      </c>
      <c r="O2" s="18">
        <v>2030</v>
      </c>
      <c r="P2" s="19">
        <f t="shared" ref="P2:P20" si="0">1-1/(J2^(H2-I2))</f>
        <v>3.51739177117949E-7</v>
      </c>
      <c r="Q2" s="19">
        <f t="shared" ref="Q2:Q28" si="1">H2-I2</f>
        <v>2.6900000000010249E-5</v>
      </c>
      <c r="R2" s="19">
        <f t="shared" ref="R2:R28" si="2">IF(H2=0,0,(H2-I2)/H2)</f>
        <v>2.6900000000010249E-4</v>
      </c>
      <c r="S2" s="20" t="s">
        <v>170</v>
      </c>
      <c r="T2" t="s">
        <v>171</v>
      </c>
      <c r="U2" s="21">
        <f t="shared" ref="U2:U28" si="3">COUNTIF($B$2:$B$28,B2)</f>
        <v>1</v>
      </c>
      <c r="V2" s="15" t="str">
        <f t="shared" ref="V2:V28" si="4">IF(U2=1,"OK","DUPLICATE KEY")</f>
        <v>OK</v>
      </c>
    </row>
    <row r="3" spans="1:22">
      <c r="A3" t="s">
        <v>162</v>
      </c>
      <c r="B3" t="s">
        <v>172</v>
      </c>
      <c r="C3" t="s">
        <v>164</v>
      </c>
      <c r="D3" t="s">
        <v>165</v>
      </c>
      <c r="E3" t="s">
        <v>173</v>
      </c>
      <c r="F3" t="s">
        <v>174</v>
      </c>
      <c r="G3" t="s">
        <v>168</v>
      </c>
      <c r="H3" s="17">
        <v>0.1</v>
      </c>
      <c r="I3" s="17">
        <v>9.9973099999999995E-2</v>
      </c>
      <c r="J3" s="17">
        <v>1.0331775104357399</v>
      </c>
      <c r="K3" s="17"/>
      <c r="L3" t="s">
        <v>169</v>
      </c>
      <c r="M3" s="17">
        <v>1</v>
      </c>
      <c r="N3" s="18">
        <v>2026</v>
      </c>
      <c r="O3" s="18">
        <v>2030</v>
      </c>
      <c r="P3" s="19">
        <f t="shared" si="0"/>
        <v>8.7798912085101932E-7</v>
      </c>
      <c r="Q3" s="19">
        <f t="shared" si="1"/>
        <v>2.6900000000010249E-5</v>
      </c>
      <c r="R3" s="19">
        <f t="shared" si="2"/>
        <v>2.6900000000010249E-4</v>
      </c>
      <c r="S3" s="20" t="s">
        <v>170</v>
      </c>
      <c r="T3" t="s">
        <v>175</v>
      </c>
      <c r="U3" s="21">
        <f t="shared" si="3"/>
        <v>1</v>
      </c>
      <c r="V3" s="15" t="str">
        <f t="shared" si="4"/>
        <v>OK</v>
      </c>
    </row>
    <row r="4" spans="1:22">
      <c r="A4" t="s">
        <v>162</v>
      </c>
      <c r="B4" t="s">
        <v>176</v>
      </c>
      <c r="C4" t="s">
        <v>164</v>
      </c>
      <c r="D4" t="s">
        <v>165</v>
      </c>
      <c r="E4" t="s">
        <v>177</v>
      </c>
      <c r="F4" t="s">
        <v>178</v>
      </c>
      <c r="G4" t="s">
        <v>168</v>
      </c>
      <c r="H4" s="17">
        <v>0.1</v>
      </c>
      <c r="I4" s="17">
        <v>9.9973099999999995E-2</v>
      </c>
      <c r="J4" s="17">
        <v>1.0200799627188799</v>
      </c>
      <c r="K4" s="17"/>
      <c r="L4" t="s">
        <v>169</v>
      </c>
      <c r="M4" s="17">
        <v>1</v>
      </c>
      <c r="N4" s="18">
        <v>2026</v>
      </c>
      <c r="O4" s="18">
        <v>2030</v>
      </c>
      <c r="P4" s="19">
        <f t="shared" si="0"/>
        <v>5.3479926931387922E-7</v>
      </c>
      <c r="Q4" s="19">
        <f t="shared" si="1"/>
        <v>2.6900000000010249E-5</v>
      </c>
      <c r="R4" s="19">
        <f t="shared" si="2"/>
        <v>2.6900000000010249E-4</v>
      </c>
      <c r="S4" s="20" t="s">
        <v>170</v>
      </c>
      <c r="T4" t="s">
        <v>171</v>
      </c>
      <c r="U4" s="21">
        <f t="shared" si="3"/>
        <v>1</v>
      </c>
      <c r="V4" s="15" t="str">
        <f t="shared" si="4"/>
        <v>OK</v>
      </c>
    </row>
    <row r="5" spans="1:22">
      <c r="A5" t="s">
        <v>162</v>
      </c>
      <c r="B5" t="s">
        <v>179</v>
      </c>
      <c r="C5" t="s">
        <v>164</v>
      </c>
      <c r="D5" t="s">
        <v>165</v>
      </c>
      <c r="E5" t="s">
        <v>180</v>
      </c>
      <c r="F5" t="s">
        <v>181</v>
      </c>
      <c r="G5" t="s">
        <v>168</v>
      </c>
      <c r="H5" s="17">
        <v>0.1</v>
      </c>
      <c r="I5" s="17">
        <v>9.9973099999999995E-2</v>
      </c>
      <c r="J5" s="17">
        <v>1.0088803849749699</v>
      </c>
      <c r="K5" s="17"/>
      <c r="L5" t="s">
        <v>169</v>
      </c>
      <c r="M5" s="17">
        <v>1</v>
      </c>
      <c r="N5" s="18">
        <v>2026</v>
      </c>
      <c r="O5" s="18">
        <v>2030</v>
      </c>
      <c r="P5" s="19">
        <f t="shared" si="0"/>
        <v>2.3782788194370852E-7</v>
      </c>
      <c r="Q5" s="19">
        <f t="shared" si="1"/>
        <v>2.6900000000010249E-5</v>
      </c>
      <c r="R5" s="19">
        <f t="shared" si="2"/>
        <v>2.6900000000010249E-4</v>
      </c>
      <c r="S5" s="20" t="s">
        <v>170</v>
      </c>
      <c r="T5" t="s">
        <v>171</v>
      </c>
      <c r="U5" s="21">
        <f t="shared" si="3"/>
        <v>1</v>
      </c>
      <c r="V5" s="15" t="str">
        <f t="shared" si="4"/>
        <v>OK</v>
      </c>
    </row>
    <row r="6" spans="1:22">
      <c r="A6" t="s">
        <v>162</v>
      </c>
      <c r="B6" t="s">
        <v>182</v>
      </c>
      <c r="C6" t="s">
        <v>164</v>
      </c>
      <c r="D6" t="s">
        <v>165</v>
      </c>
      <c r="E6" t="s">
        <v>183</v>
      </c>
      <c r="F6" t="s">
        <v>184</v>
      </c>
      <c r="G6" t="s">
        <v>168</v>
      </c>
      <c r="H6" s="17">
        <v>0.1</v>
      </c>
      <c r="I6" s="17">
        <v>9.9973099999999995E-2</v>
      </c>
      <c r="J6" s="17">
        <v>1.0200799627188799</v>
      </c>
      <c r="K6" s="17"/>
      <c r="L6" t="s">
        <v>169</v>
      </c>
      <c r="M6" s="17">
        <v>1</v>
      </c>
      <c r="N6" s="18">
        <v>2026</v>
      </c>
      <c r="O6" s="18">
        <v>2030</v>
      </c>
      <c r="P6" s="19">
        <f t="shared" si="0"/>
        <v>5.3479926931387922E-7</v>
      </c>
      <c r="Q6" s="19">
        <f t="shared" si="1"/>
        <v>2.6900000000010249E-5</v>
      </c>
      <c r="R6" s="19">
        <f t="shared" si="2"/>
        <v>2.6900000000010249E-4</v>
      </c>
      <c r="S6" s="20" t="s">
        <v>170</v>
      </c>
      <c r="T6" t="s">
        <v>171</v>
      </c>
      <c r="U6" s="21">
        <f t="shared" si="3"/>
        <v>1</v>
      </c>
      <c r="V6" s="15" t="str">
        <f t="shared" si="4"/>
        <v>OK</v>
      </c>
    </row>
    <row r="7" spans="1:22">
      <c r="A7" t="s">
        <v>185</v>
      </c>
      <c r="B7" t="s">
        <v>186</v>
      </c>
      <c r="C7" t="s">
        <v>187</v>
      </c>
      <c r="D7" t="s">
        <v>165</v>
      </c>
      <c r="E7" t="s">
        <v>166</v>
      </c>
      <c r="F7" t="s">
        <v>167</v>
      </c>
      <c r="G7" t="s">
        <v>168</v>
      </c>
      <c r="H7" s="17">
        <v>0.1</v>
      </c>
      <c r="I7" s="17">
        <v>9.9950999999999998E-2</v>
      </c>
      <c r="J7" s="17">
        <v>1.01316167035158</v>
      </c>
      <c r="K7" s="17"/>
      <c r="L7" t="s">
        <v>169</v>
      </c>
      <c r="M7" s="17">
        <v>1</v>
      </c>
      <c r="N7" s="18">
        <v>2026</v>
      </c>
      <c r="O7" s="18">
        <v>2030</v>
      </c>
      <c r="P7" s="19">
        <f t="shared" si="0"/>
        <v>6.4071439354052018E-7</v>
      </c>
      <c r="Q7" s="19">
        <f t="shared" si="1"/>
        <v>4.9000000000007371E-5</v>
      </c>
      <c r="R7" s="19">
        <f t="shared" si="2"/>
        <v>4.9000000000007371E-4</v>
      </c>
      <c r="S7" s="20" t="s">
        <v>188</v>
      </c>
      <c r="T7" t="s">
        <v>171</v>
      </c>
      <c r="U7" s="21">
        <f t="shared" si="3"/>
        <v>1</v>
      </c>
      <c r="V7" s="15" t="str">
        <f t="shared" si="4"/>
        <v>OK</v>
      </c>
    </row>
    <row r="8" spans="1:22">
      <c r="A8" t="s">
        <v>185</v>
      </c>
      <c r="B8" t="s">
        <v>189</v>
      </c>
      <c r="C8" t="s">
        <v>187</v>
      </c>
      <c r="D8" t="s">
        <v>165</v>
      </c>
      <c r="E8" t="s">
        <v>173</v>
      </c>
      <c r="F8" t="s">
        <v>174</v>
      </c>
      <c r="G8" t="s">
        <v>168</v>
      </c>
      <c r="H8" s="17">
        <v>0.1</v>
      </c>
      <c r="I8" s="17">
        <v>9.9950999999999998E-2</v>
      </c>
      <c r="J8" s="17">
        <v>1.0331775104357399</v>
      </c>
      <c r="K8" s="17"/>
      <c r="L8" t="s">
        <v>169</v>
      </c>
      <c r="M8" s="17">
        <v>1</v>
      </c>
      <c r="N8" s="18">
        <v>2026</v>
      </c>
      <c r="O8" s="18">
        <v>2030</v>
      </c>
      <c r="P8" s="19">
        <f t="shared" si="0"/>
        <v>1.5993104608424957E-6</v>
      </c>
      <c r="Q8" s="19">
        <f t="shared" si="1"/>
        <v>4.9000000000007371E-5</v>
      </c>
      <c r="R8" s="19">
        <f t="shared" si="2"/>
        <v>4.9000000000007371E-4</v>
      </c>
      <c r="S8" s="20" t="s">
        <v>188</v>
      </c>
      <c r="T8" t="s">
        <v>175</v>
      </c>
      <c r="U8" s="21">
        <f t="shared" si="3"/>
        <v>1</v>
      </c>
      <c r="V8" s="15" t="str">
        <f t="shared" si="4"/>
        <v>OK</v>
      </c>
    </row>
    <row r="9" spans="1:22">
      <c r="A9" t="s">
        <v>185</v>
      </c>
      <c r="B9" t="s">
        <v>190</v>
      </c>
      <c r="C9" t="s">
        <v>187</v>
      </c>
      <c r="D9" t="s">
        <v>165</v>
      </c>
      <c r="E9" t="s">
        <v>177</v>
      </c>
      <c r="F9" t="s">
        <v>178</v>
      </c>
      <c r="G9" t="s">
        <v>168</v>
      </c>
      <c r="H9" s="17">
        <v>0.1</v>
      </c>
      <c r="I9" s="17">
        <v>9.9950999999999998E-2</v>
      </c>
      <c r="J9" s="17">
        <v>1.0200799627188799</v>
      </c>
      <c r="K9" s="17"/>
      <c r="L9" t="s">
        <v>169</v>
      </c>
      <c r="M9" s="17">
        <v>1</v>
      </c>
      <c r="N9" s="18">
        <v>2026</v>
      </c>
      <c r="O9" s="18">
        <v>2030</v>
      </c>
      <c r="P9" s="19">
        <f t="shared" si="0"/>
        <v>9.7416945865624882E-7</v>
      </c>
      <c r="Q9" s="19">
        <f t="shared" si="1"/>
        <v>4.9000000000007371E-5</v>
      </c>
      <c r="R9" s="19">
        <f t="shared" si="2"/>
        <v>4.9000000000007371E-4</v>
      </c>
      <c r="S9" s="20" t="s">
        <v>188</v>
      </c>
      <c r="T9" t="s">
        <v>171</v>
      </c>
      <c r="U9" s="21">
        <f t="shared" si="3"/>
        <v>1</v>
      </c>
      <c r="V9" s="15" t="str">
        <f t="shared" si="4"/>
        <v>OK</v>
      </c>
    </row>
    <row r="10" spans="1:22">
      <c r="A10" t="s">
        <v>185</v>
      </c>
      <c r="B10" t="s">
        <v>191</v>
      </c>
      <c r="C10" t="s">
        <v>187</v>
      </c>
      <c r="D10" t="s">
        <v>165</v>
      </c>
      <c r="E10" t="s">
        <v>180</v>
      </c>
      <c r="F10" t="s">
        <v>181</v>
      </c>
      <c r="G10" t="s">
        <v>168</v>
      </c>
      <c r="H10" s="17">
        <v>0.1</v>
      </c>
      <c r="I10" s="17">
        <v>9.9950999999999998E-2</v>
      </c>
      <c r="J10" s="17">
        <v>1.0088803849749699</v>
      </c>
      <c r="K10" s="17"/>
      <c r="L10" t="s">
        <v>169</v>
      </c>
      <c r="M10" s="17">
        <v>1</v>
      </c>
      <c r="N10" s="18">
        <v>2026</v>
      </c>
      <c r="O10" s="18">
        <v>2030</v>
      </c>
      <c r="P10" s="19">
        <f t="shared" si="0"/>
        <v>4.3321803255835789E-7</v>
      </c>
      <c r="Q10" s="19">
        <f t="shared" si="1"/>
        <v>4.9000000000007371E-5</v>
      </c>
      <c r="R10" s="19">
        <f t="shared" si="2"/>
        <v>4.9000000000007371E-4</v>
      </c>
      <c r="S10" s="20" t="s">
        <v>188</v>
      </c>
      <c r="T10" t="s">
        <v>171</v>
      </c>
      <c r="U10" s="21">
        <f t="shared" si="3"/>
        <v>1</v>
      </c>
      <c r="V10" s="15" t="str">
        <f t="shared" si="4"/>
        <v>OK</v>
      </c>
    </row>
    <row r="11" spans="1:22">
      <c r="A11" t="s">
        <v>185</v>
      </c>
      <c r="B11" t="s">
        <v>192</v>
      </c>
      <c r="C11" t="s">
        <v>187</v>
      </c>
      <c r="D11" t="s">
        <v>165</v>
      </c>
      <c r="E11" t="s">
        <v>183</v>
      </c>
      <c r="F11" t="s">
        <v>184</v>
      </c>
      <c r="G11" t="s">
        <v>168</v>
      </c>
      <c r="H11" s="17">
        <v>0.1</v>
      </c>
      <c r="I11" s="17">
        <v>9.9950999999999998E-2</v>
      </c>
      <c r="J11" s="17">
        <v>1.0200799627188799</v>
      </c>
      <c r="K11" s="17"/>
      <c r="L11" t="s">
        <v>169</v>
      </c>
      <c r="M11" s="17">
        <v>1</v>
      </c>
      <c r="N11" s="18">
        <v>2026</v>
      </c>
      <c r="O11" s="18">
        <v>2030</v>
      </c>
      <c r="P11" s="19">
        <f t="shared" si="0"/>
        <v>9.7416945865624882E-7</v>
      </c>
      <c r="Q11" s="19">
        <f t="shared" si="1"/>
        <v>4.9000000000007371E-5</v>
      </c>
      <c r="R11" s="19">
        <f t="shared" si="2"/>
        <v>4.9000000000007371E-4</v>
      </c>
      <c r="S11" s="20" t="s">
        <v>188</v>
      </c>
      <c r="T11" t="s">
        <v>171</v>
      </c>
      <c r="U11" s="21">
        <f t="shared" si="3"/>
        <v>1</v>
      </c>
      <c r="V11" s="15" t="str">
        <f t="shared" si="4"/>
        <v>OK</v>
      </c>
    </row>
    <row r="12" spans="1:22">
      <c r="A12" t="s">
        <v>193</v>
      </c>
      <c r="B12" t="s">
        <v>194</v>
      </c>
      <c r="C12" t="s">
        <v>195</v>
      </c>
      <c r="D12" t="s">
        <v>196</v>
      </c>
      <c r="E12" t="s">
        <v>173</v>
      </c>
      <c r="F12" t="s">
        <v>174</v>
      </c>
      <c r="G12" t="s">
        <v>168</v>
      </c>
      <c r="H12" s="17">
        <v>4.4000000000000004</v>
      </c>
      <c r="I12" s="17">
        <v>3</v>
      </c>
      <c r="J12" s="17">
        <v>1.06</v>
      </c>
      <c r="K12" s="17"/>
      <c r="L12" t="s">
        <v>169</v>
      </c>
      <c r="M12" s="17">
        <v>1</v>
      </c>
      <c r="N12" s="18">
        <v>2026</v>
      </c>
      <c r="O12" s="18">
        <v>2030</v>
      </c>
      <c r="P12" s="19">
        <f t="shared" si="0"/>
        <v>7.8337773617477846E-2</v>
      </c>
      <c r="Q12" s="19">
        <f t="shared" si="1"/>
        <v>1.4000000000000004</v>
      </c>
      <c r="R12" s="19">
        <f t="shared" si="2"/>
        <v>0.31818181818181823</v>
      </c>
      <c r="S12" s="20" t="s">
        <v>197</v>
      </c>
      <c r="T12" t="s">
        <v>175</v>
      </c>
      <c r="U12" s="21">
        <f t="shared" si="3"/>
        <v>1</v>
      </c>
      <c r="V12" s="15" t="str">
        <f t="shared" si="4"/>
        <v>OK</v>
      </c>
    </row>
    <row r="13" spans="1:22">
      <c r="A13" t="s">
        <v>193</v>
      </c>
      <c r="B13" t="s">
        <v>198</v>
      </c>
      <c r="C13" t="s">
        <v>195</v>
      </c>
      <c r="D13" t="s">
        <v>196</v>
      </c>
      <c r="E13" t="s">
        <v>177</v>
      </c>
      <c r="F13" t="s">
        <v>178</v>
      </c>
      <c r="G13" t="s">
        <v>168</v>
      </c>
      <c r="H13" s="17">
        <v>4.4000000000000004</v>
      </c>
      <c r="I13" s="17">
        <v>3</v>
      </c>
      <c r="J13" s="17">
        <v>1.06</v>
      </c>
      <c r="K13" s="17"/>
      <c r="L13" t="s">
        <v>169</v>
      </c>
      <c r="M13" s="17">
        <v>1</v>
      </c>
      <c r="N13" s="18">
        <v>2026</v>
      </c>
      <c r="O13" s="18">
        <v>2030</v>
      </c>
      <c r="P13" s="19">
        <f t="shared" si="0"/>
        <v>7.8337773617477846E-2</v>
      </c>
      <c r="Q13" s="19">
        <f t="shared" si="1"/>
        <v>1.4000000000000004</v>
      </c>
      <c r="R13" s="19">
        <f t="shared" si="2"/>
        <v>0.31818181818181823</v>
      </c>
      <c r="S13" s="20" t="s">
        <v>197</v>
      </c>
      <c r="T13" t="s">
        <v>175</v>
      </c>
      <c r="U13" s="21">
        <f t="shared" si="3"/>
        <v>1</v>
      </c>
      <c r="V13" s="15" t="str">
        <f t="shared" si="4"/>
        <v>OK</v>
      </c>
    </row>
    <row r="14" spans="1:22">
      <c r="A14" t="s">
        <v>193</v>
      </c>
      <c r="B14" t="s">
        <v>199</v>
      </c>
      <c r="C14" t="s">
        <v>195</v>
      </c>
      <c r="D14" t="s">
        <v>196</v>
      </c>
      <c r="E14" t="s">
        <v>180</v>
      </c>
      <c r="F14" t="s">
        <v>181</v>
      </c>
      <c r="G14" t="s">
        <v>168</v>
      </c>
      <c r="H14" s="17">
        <v>4.4000000000000004</v>
      </c>
      <c r="I14" s="17">
        <v>3</v>
      </c>
      <c r="J14" s="17">
        <v>1.06</v>
      </c>
      <c r="K14" s="17"/>
      <c r="L14" t="s">
        <v>169</v>
      </c>
      <c r="M14" s="17">
        <v>1</v>
      </c>
      <c r="N14" s="18">
        <v>2026</v>
      </c>
      <c r="O14" s="18">
        <v>2030</v>
      </c>
      <c r="P14" s="19">
        <f t="shared" si="0"/>
        <v>7.8337773617477846E-2</v>
      </c>
      <c r="Q14" s="19">
        <f t="shared" si="1"/>
        <v>1.4000000000000004</v>
      </c>
      <c r="R14" s="19">
        <f t="shared" si="2"/>
        <v>0.31818181818181823</v>
      </c>
      <c r="S14" s="20" t="s">
        <v>197</v>
      </c>
      <c r="T14" t="s">
        <v>175</v>
      </c>
      <c r="U14" s="21">
        <f t="shared" si="3"/>
        <v>1</v>
      </c>
      <c r="V14" s="15" t="str">
        <f t="shared" si="4"/>
        <v>OK</v>
      </c>
    </row>
    <row r="15" spans="1:22">
      <c r="A15" t="s">
        <v>193</v>
      </c>
      <c r="B15" t="s">
        <v>200</v>
      </c>
      <c r="C15" t="s">
        <v>195</v>
      </c>
      <c r="D15" t="s">
        <v>196</v>
      </c>
      <c r="E15" t="s">
        <v>183</v>
      </c>
      <c r="F15" t="s">
        <v>184</v>
      </c>
      <c r="G15" t="s">
        <v>168</v>
      </c>
      <c r="H15" s="17">
        <v>4.4000000000000004</v>
      </c>
      <c r="I15" s="17">
        <v>3</v>
      </c>
      <c r="J15" s="17">
        <v>1.06</v>
      </c>
      <c r="K15" s="17"/>
      <c r="L15" t="s">
        <v>169</v>
      </c>
      <c r="M15" s="17">
        <v>1</v>
      </c>
      <c r="N15" s="18">
        <v>2026</v>
      </c>
      <c r="O15" s="18">
        <v>2030</v>
      </c>
      <c r="P15" s="19">
        <f t="shared" si="0"/>
        <v>7.8337773617477846E-2</v>
      </c>
      <c r="Q15" s="19">
        <f t="shared" si="1"/>
        <v>1.4000000000000004</v>
      </c>
      <c r="R15" s="19">
        <f t="shared" si="2"/>
        <v>0.31818181818181823</v>
      </c>
      <c r="S15" s="20" t="s">
        <v>197</v>
      </c>
      <c r="T15" t="s">
        <v>175</v>
      </c>
      <c r="U15" s="21">
        <f t="shared" si="3"/>
        <v>1</v>
      </c>
      <c r="V15" s="15" t="str">
        <f t="shared" si="4"/>
        <v>OK</v>
      </c>
    </row>
    <row r="16" spans="1:22">
      <c r="A16" t="s">
        <v>201</v>
      </c>
      <c r="B16" t="s">
        <v>202</v>
      </c>
      <c r="C16" t="s">
        <v>203</v>
      </c>
      <c r="D16" t="s">
        <v>204</v>
      </c>
      <c r="E16" t="s">
        <v>205</v>
      </c>
      <c r="F16" t="s">
        <v>206</v>
      </c>
      <c r="G16" t="s">
        <v>168</v>
      </c>
      <c r="H16" s="17">
        <v>0.114285714285714</v>
      </c>
      <c r="I16" s="17">
        <v>9.4285714285714001E-2</v>
      </c>
      <c r="J16" s="17">
        <v>1.18</v>
      </c>
      <c r="K16" s="17"/>
      <c r="L16" t="s">
        <v>169</v>
      </c>
      <c r="M16" s="17">
        <v>1</v>
      </c>
      <c r="N16" s="18">
        <v>2026</v>
      </c>
      <c r="O16" s="18">
        <v>2030</v>
      </c>
      <c r="P16" s="19">
        <f t="shared" si="0"/>
        <v>3.3048158043799125E-3</v>
      </c>
      <c r="Q16" s="19">
        <f t="shared" si="1"/>
        <v>2.0000000000000004E-2</v>
      </c>
      <c r="R16" s="19">
        <f t="shared" si="2"/>
        <v>0.17500000000000046</v>
      </c>
      <c r="S16" s="20" t="s">
        <v>207</v>
      </c>
      <c r="T16" t="s">
        <v>175</v>
      </c>
      <c r="U16" s="21">
        <f t="shared" si="3"/>
        <v>1</v>
      </c>
      <c r="V16" s="15" t="str">
        <f t="shared" si="4"/>
        <v>OK</v>
      </c>
    </row>
    <row r="17" spans="1:22">
      <c r="A17" t="s">
        <v>201</v>
      </c>
      <c r="B17" t="s">
        <v>208</v>
      </c>
      <c r="C17" t="s">
        <v>203</v>
      </c>
      <c r="D17" t="s">
        <v>204</v>
      </c>
      <c r="E17" t="s">
        <v>173</v>
      </c>
      <c r="F17" t="s">
        <v>174</v>
      </c>
      <c r="G17" t="s">
        <v>168</v>
      </c>
      <c r="H17" s="17">
        <v>0.114285714285714</v>
      </c>
      <c r="I17" s="17">
        <v>9.4285714285714001E-2</v>
      </c>
      <c r="J17" s="17">
        <v>1.1000000000000001</v>
      </c>
      <c r="K17" s="17"/>
      <c r="L17" t="s">
        <v>169</v>
      </c>
      <c r="M17" s="17">
        <v>1</v>
      </c>
      <c r="N17" s="18">
        <v>2026</v>
      </c>
      <c r="O17" s="18">
        <v>2030</v>
      </c>
      <c r="P17" s="19">
        <f t="shared" si="0"/>
        <v>1.9043879438626066E-3</v>
      </c>
      <c r="Q17" s="19">
        <f t="shared" si="1"/>
        <v>2.0000000000000004E-2</v>
      </c>
      <c r="R17" s="19">
        <f t="shared" si="2"/>
        <v>0.17500000000000046</v>
      </c>
      <c r="S17" s="20" t="s">
        <v>207</v>
      </c>
      <c r="T17" t="s">
        <v>171</v>
      </c>
      <c r="U17" s="21">
        <f t="shared" si="3"/>
        <v>1</v>
      </c>
      <c r="V17" s="15" t="str">
        <f t="shared" si="4"/>
        <v>OK</v>
      </c>
    </row>
    <row r="18" spans="1:22">
      <c r="A18" t="s">
        <v>201</v>
      </c>
      <c r="B18" t="s">
        <v>209</v>
      </c>
      <c r="C18" t="s">
        <v>203</v>
      </c>
      <c r="D18" t="s">
        <v>204</v>
      </c>
      <c r="E18" t="s">
        <v>177</v>
      </c>
      <c r="F18" t="s">
        <v>178</v>
      </c>
      <c r="G18" t="s">
        <v>168</v>
      </c>
      <c r="H18" s="17">
        <v>0.114285714285714</v>
      </c>
      <c r="I18" s="17">
        <v>9.4285714285714001E-2</v>
      </c>
      <c r="J18" s="17">
        <v>1.08</v>
      </c>
      <c r="K18" s="17"/>
      <c r="L18" t="s">
        <v>169</v>
      </c>
      <c r="M18" s="17">
        <v>1</v>
      </c>
      <c r="N18" s="18">
        <v>2026</v>
      </c>
      <c r="O18" s="18">
        <v>2030</v>
      </c>
      <c r="P18" s="19">
        <f t="shared" si="0"/>
        <v>1.538036829905276E-3</v>
      </c>
      <c r="Q18" s="19">
        <f t="shared" si="1"/>
        <v>2.0000000000000004E-2</v>
      </c>
      <c r="R18" s="19">
        <f t="shared" si="2"/>
        <v>0.17500000000000046</v>
      </c>
      <c r="S18" s="20" t="s">
        <v>207</v>
      </c>
      <c r="T18" t="s">
        <v>171</v>
      </c>
      <c r="U18" s="21">
        <f t="shared" si="3"/>
        <v>1</v>
      </c>
      <c r="V18" s="15" t="str">
        <f t="shared" si="4"/>
        <v>OK</v>
      </c>
    </row>
    <row r="19" spans="1:22">
      <c r="A19" t="s">
        <v>201</v>
      </c>
      <c r="B19" t="s">
        <v>210</v>
      </c>
      <c r="C19" t="s">
        <v>203</v>
      </c>
      <c r="D19" t="s">
        <v>204</v>
      </c>
      <c r="E19" t="s">
        <v>180</v>
      </c>
      <c r="F19" t="s">
        <v>181</v>
      </c>
      <c r="G19" t="s">
        <v>168</v>
      </c>
      <c r="H19" s="17">
        <v>0.114285714285714</v>
      </c>
      <c r="I19" s="17">
        <v>9.4285714285714001E-2</v>
      </c>
      <c r="J19" s="17">
        <v>1.1399999999999999</v>
      </c>
      <c r="K19" s="17"/>
      <c r="L19" t="s">
        <v>169</v>
      </c>
      <c r="M19" s="17">
        <v>1</v>
      </c>
      <c r="N19" s="18">
        <v>2026</v>
      </c>
      <c r="O19" s="18">
        <v>2030</v>
      </c>
      <c r="P19" s="19">
        <f t="shared" si="0"/>
        <v>2.6171345644494526E-3</v>
      </c>
      <c r="Q19" s="19">
        <f t="shared" si="1"/>
        <v>2.0000000000000004E-2</v>
      </c>
      <c r="R19" s="19">
        <f t="shared" si="2"/>
        <v>0.17500000000000046</v>
      </c>
      <c r="S19" s="20" t="s">
        <v>207</v>
      </c>
      <c r="T19" t="s">
        <v>175</v>
      </c>
      <c r="U19" s="21">
        <f t="shared" si="3"/>
        <v>1</v>
      </c>
      <c r="V19" s="15" t="str">
        <f t="shared" si="4"/>
        <v>OK</v>
      </c>
    </row>
    <row r="20" spans="1:22">
      <c r="A20" t="s">
        <v>201</v>
      </c>
      <c r="B20" t="s">
        <v>211</v>
      </c>
      <c r="C20" t="s">
        <v>203</v>
      </c>
      <c r="D20" t="s">
        <v>204</v>
      </c>
      <c r="E20" t="s">
        <v>183</v>
      </c>
      <c r="F20" t="s">
        <v>184</v>
      </c>
      <c r="G20" t="s">
        <v>168</v>
      </c>
      <c r="H20" s="17">
        <v>0.114285714285714</v>
      </c>
      <c r="I20" s="17">
        <v>9.4285714285714001E-2</v>
      </c>
      <c r="J20" s="17">
        <v>1.07</v>
      </c>
      <c r="K20" s="17"/>
      <c r="L20" t="s">
        <v>169</v>
      </c>
      <c r="M20" s="17">
        <v>1</v>
      </c>
      <c r="N20" s="18">
        <v>2026</v>
      </c>
      <c r="O20" s="18">
        <v>2030</v>
      </c>
      <c r="P20" s="19">
        <f t="shared" si="0"/>
        <v>1.3522578437547006E-3</v>
      </c>
      <c r="Q20" s="19">
        <f t="shared" si="1"/>
        <v>2.0000000000000004E-2</v>
      </c>
      <c r="R20" s="19">
        <f t="shared" si="2"/>
        <v>0.17500000000000046</v>
      </c>
      <c r="S20" s="20" t="s">
        <v>207</v>
      </c>
      <c r="T20" t="s">
        <v>175</v>
      </c>
      <c r="U20" s="21">
        <f t="shared" si="3"/>
        <v>1</v>
      </c>
      <c r="V20" s="15" t="str">
        <f t="shared" si="4"/>
        <v>OK</v>
      </c>
    </row>
    <row r="21" spans="1:22">
      <c r="A21" t="s">
        <v>212</v>
      </c>
      <c r="B21" t="s">
        <v>213</v>
      </c>
      <c r="C21" t="s">
        <v>214</v>
      </c>
      <c r="D21" t="s">
        <v>215</v>
      </c>
      <c r="E21" t="s">
        <v>205</v>
      </c>
      <c r="F21" t="s">
        <v>206</v>
      </c>
      <c r="G21" t="s">
        <v>216</v>
      </c>
      <c r="H21" s="17">
        <v>0.30299999999999999</v>
      </c>
      <c r="I21" s="17">
        <v>0.24205579199999999</v>
      </c>
      <c r="J21" s="17">
        <v>1.37</v>
      </c>
      <c r="K21" s="17"/>
      <c r="L21" t="s">
        <v>217</v>
      </c>
      <c r="M21" s="17">
        <v>6.15144568129612E-2</v>
      </c>
      <c r="N21" s="18">
        <v>2026</v>
      </c>
      <c r="O21" s="18">
        <v>2030</v>
      </c>
      <c r="P21" s="19">
        <f t="shared" ref="P21:P28" si="5">1-(1+I21*(J21-1))/(1+H21*(J21-1))</f>
        <v>2.0276192966523054E-2</v>
      </c>
      <c r="Q21" s="19">
        <f t="shared" si="1"/>
        <v>6.0944208E-2</v>
      </c>
      <c r="R21" s="19">
        <f t="shared" si="2"/>
        <v>0.20113600000000001</v>
      </c>
      <c r="S21" s="20" t="s">
        <v>218</v>
      </c>
      <c r="T21" t="s">
        <v>219</v>
      </c>
      <c r="U21" s="21">
        <f t="shared" si="3"/>
        <v>1</v>
      </c>
      <c r="V21" s="15" t="str">
        <f t="shared" si="4"/>
        <v>OK</v>
      </c>
    </row>
    <row r="22" spans="1:22">
      <c r="A22" t="s">
        <v>212</v>
      </c>
      <c r="B22" t="s">
        <v>220</v>
      </c>
      <c r="C22" t="s">
        <v>214</v>
      </c>
      <c r="D22" t="s">
        <v>215</v>
      </c>
      <c r="E22" t="s">
        <v>177</v>
      </c>
      <c r="F22" t="s">
        <v>178</v>
      </c>
      <c r="G22" t="s">
        <v>216</v>
      </c>
      <c r="H22" s="17">
        <v>0.30299999999999999</v>
      </c>
      <c r="I22" s="17">
        <v>0.24205579199999999</v>
      </c>
      <c r="J22" s="17">
        <v>1.19</v>
      </c>
      <c r="K22" s="17"/>
      <c r="L22" t="s">
        <v>217</v>
      </c>
      <c r="M22" s="17">
        <v>6.15144568129612E-2</v>
      </c>
      <c r="N22" s="18">
        <v>2026</v>
      </c>
      <c r="O22" s="18">
        <v>2030</v>
      </c>
      <c r="P22" s="19">
        <f t="shared" si="5"/>
        <v>1.0949062019535383E-2</v>
      </c>
      <c r="Q22" s="19">
        <f t="shared" si="1"/>
        <v>6.0944208E-2</v>
      </c>
      <c r="R22" s="19">
        <f t="shared" si="2"/>
        <v>0.20113600000000001</v>
      </c>
      <c r="S22" s="20" t="s">
        <v>218</v>
      </c>
      <c r="T22" t="s">
        <v>175</v>
      </c>
      <c r="U22" s="21">
        <f t="shared" si="3"/>
        <v>1</v>
      </c>
      <c r="V22" s="15" t="str">
        <f t="shared" si="4"/>
        <v>OK</v>
      </c>
    </row>
    <row r="23" spans="1:22">
      <c r="A23" t="s">
        <v>212</v>
      </c>
      <c r="B23" t="s">
        <v>221</v>
      </c>
      <c r="C23" t="s">
        <v>214</v>
      </c>
      <c r="D23" t="s">
        <v>215</v>
      </c>
      <c r="E23" t="s">
        <v>180</v>
      </c>
      <c r="F23" t="s">
        <v>181</v>
      </c>
      <c r="G23" t="s">
        <v>216</v>
      </c>
      <c r="H23" s="17">
        <v>0.30299999999999999</v>
      </c>
      <c r="I23" s="17">
        <v>0.24205579199999999</v>
      </c>
      <c r="J23" s="17">
        <v>1.6</v>
      </c>
      <c r="K23" s="17"/>
      <c r="L23" t="s">
        <v>217</v>
      </c>
      <c r="M23" s="17">
        <v>6.15144568129612E-2</v>
      </c>
      <c r="N23" s="18">
        <v>2026</v>
      </c>
      <c r="O23" s="18">
        <v>2030</v>
      </c>
      <c r="P23" s="19">
        <f t="shared" si="5"/>
        <v>3.0941381621255704E-2</v>
      </c>
      <c r="Q23" s="19">
        <f t="shared" si="1"/>
        <v>6.0944208E-2</v>
      </c>
      <c r="R23" s="19">
        <f t="shared" si="2"/>
        <v>0.20113600000000001</v>
      </c>
      <c r="S23" s="20" t="s">
        <v>218</v>
      </c>
      <c r="T23" t="s">
        <v>175</v>
      </c>
      <c r="U23" s="21">
        <f t="shared" si="3"/>
        <v>1</v>
      </c>
      <c r="V23" s="15" t="str">
        <f t="shared" si="4"/>
        <v>OK</v>
      </c>
    </row>
    <row r="24" spans="1:22">
      <c r="A24" t="s">
        <v>212</v>
      </c>
      <c r="B24" t="s">
        <v>222</v>
      </c>
      <c r="C24" t="s">
        <v>214</v>
      </c>
      <c r="D24" t="s">
        <v>215</v>
      </c>
      <c r="E24" t="s">
        <v>183</v>
      </c>
      <c r="F24" t="s">
        <v>184</v>
      </c>
      <c r="G24" t="s">
        <v>216</v>
      </c>
      <c r="H24" s="17">
        <v>0.30299999999999999</v>
      </c>
      <c r="I24" s="17">
        <v>0.24205579199999999</v>
      </c>
      <c r="J24" s="17">
        <v>1.38</v>
      </c>
      <c r="K24" s="17"/>
      <c r="L24" t="s">
        <v>217</v>
      </c>
      <c r="M24" s="17">
        <v>6.15144568129612E-2</v>
      </c>
      <c r="N24" s="18">
        <v>2026</v>
      </c>
      <c r="O24" s="18">
        <v>2030</v>
      </c>
      <c r="P24" s="19">
        <f t="shared" si="5"/>
        <v>2.0767615761249636E-2</v>
      </c>
      <c r="Q24" s="19">
        <f t="shared" si="1"/>
        <v>6.0944208E-2</v>
      </c>
      <c r="R24" s="19">
        <f t="shared" si="2"/>
        <v>0.20113600000000001</v>
      </c>
      <c r="S24" s="20" t="s">
        <v>218</v>
      </c>
      <c r="T24" t="s">
        <v>175</v>
      </c>
      <c r="U24" s="21">
        <f t="shared" si="3"/>
        <v>1</v>
      </c>
      <c r="V24" s="15" t="str">
        <f t="shared" si="4"/>
        <v>OK</v>
      </c>
    </row>
    <row r="25" spans="1:22">
      <c r="A25" t="s">
        <v>223</v>
      </c>
      <c r="B25" t="s">
        <v>224</v>
      </c>
      <c r="C25" t="s">
        <v>225</v>
      </c>
      <c r="D25" t="s">
        <v>215</v>
      </c>
      <c r="E25" t="s">
        <v>205</v>
      </c>
      <c r="F25" t="s">
        <v>206</v>
      </c>
      <c r="G25" t="s">
        <v>216</v>
      </c>
      <c r="H25" s="17">
        <v>0.30299999999999999</v>
      </c>
      <c r="I25" s="17">
        <v>0</v>
      </c>
      <c r="J25" s="17">
        <v>1.37</v>
      </c>
      <c r="K25" s="17"/>
      <c r="L25" t="s">
        <v>217</v>
      </c>
      <c r="M25" s="17">
        <v>6.15144568129612E-2</v>
      </c>
      <c r="N25" s="18">
        <v>2026</v>
      </c>
      <c r="O25" s="18">
        <v>2030</v>
      </c>
      <c r="P25" s="19">
        <f t="shared" si="5"/>
        <v>0.10080837327242809</v>
      </c>
      <c r="Q25" s="19">
        <f t="shared" si="1"/>
        <v>0.30299999999999999</v>
      </c>
      <c r="R25" s="19">
        <f t="shared" si="2"/>
        <v>1</v>
      </c>
      <c r="S25" s="20" t="s">
        <v>226</v>
      </c>
      <c r="T25" t="s">
        <v>219</v>
      </c>
      <c r="U25" s="21">
        <f t="shared" si="3"/>
        <v>1</v>
      </c>
      <c r="V25" s="15" t="str">
        <f t="shared" si="4"/>
        <v>OK</v>
      </c>
    </row>
    <row r="26" spans="1:22">
      <c r="A26" t="s">
        <v>223</v>
      </c>
      <c r="B26" t="s">
        <v>227</v>
      </c>
      <c r="C26" t="s">
        <v>225</v>
      </c>
      <c r="D26" t="s">
        <v>215</v>
      </c>
      <c r="E26" t="s">
        <v>177</v>
      </c>
      <c r="F26" t="s">
        <v>178</v>
      </c>
      <c r="G26" t="s">
        <v>216</v>
      </c>
      <c r="H26" s="17">
        <v>0.30299999999999999</v>
      </c>
      <c r="I26" s="17">
        <v>0</v>
      </c>
      <c r="J26" s="17">
        <v>1.19</v>
      </c>
      <c r="K26" s="17"/>
      <c r="L26" t="s">
        <v>217</v>
      </c>
      <c r="M26" s="17">
        <v>6.15144568129612E-2</v>
      </c>
      <c r="N26" s="18">
        <v>2026</v>
      </c>
      <c r="O26" s="18">
        <v>2030</v>
      </c>
      <c r="P26" s="19">
        <f t="shared" si="5"/>
        <v>5.4436112975973172E-2</v>
      </c>
      <c r="Q26" s="19">
        <f t="shared" si="1"/>
        <v>0.30299999999999999</v>
      </c>
      <c r="R26" s="19">
        <f t="shared" si="2"/>
        <v>1</v>
      </c>
      <c r="S26" s="20" t="s">
        <v>226</v>
      </c>
      <c r="T26" t="s">
        <v>175</v>
      </c>
      <c r="U26" s="21">
        <f t="shared" si="3"/>
        <v>1</v>
      </c>
      <c r="V26" s="15" t="str">
        <f t="shared" si="4"/>
        <v>OK</v>
      </c>
    </row>
    <row r="27" spans="1:22">
      <c r="A27" t="s">
        <v>223</v>
      </c>
      <c r="B27" t="s">
        <v>228</v>
      </c>
      <c r="C27" t="s">
        <v>225</v>
      </c>
      <c r="D27" t="s">
        <v>215</v>
      </c>
      <c r="E27" t="s">
        <v>180</v>
      </c>
      <c r="F27" t="s">
        <v>181</v>
      </c>
      <c r="G27" t="s">
        <v>216</v>
      </c>
      <c r="H27" s="17">
        <v>0.30299999999999999</v>
      </c>
      <c r="I27" s="17">
        <v>0</v>
      </c>
      <c r="J27" s="17">
        <v>1.6</v>
      </c>
      <c r="K27" s="17"/>
      <c r="L27" t="s">
        <v>217</v>
      </c>
      <c r="M27" s="17">
        <v>6.15144568129612E-2</v>
      </c>
      <c r="N27" s="18">
        <v>2026</v>
      </c>
      <c r="O27" s="18">
        <v>2030</v>
      </c>
      <c r="P27" s="19">
        <f t="shared" si="5"/>
        <v>0.1538331358943984</v>
      </c>
      <c r="Q27" s="19">
        <f t="shared" si="1"/>
        <v>0.30299999999999999</v>
      </c>
      <c r="R27" s="19">
        <f t="shared" si="2"/>
        <v>1</v>
      </c>
      <c r="S27" s="20" t="s">
        <v>226</v>
      </c>
      <c r="T27" t="s">
        <v>175</v>
      </c>
      <c r="U27" s="21">
        <f t="shared" si="3"/>
        <v>1</v>
      </c>
      <c r="V27" s="15" t="str">
        <f t="shared" si="4"/>
        <v>OK</v>
      </c>
    </row>
    <row r="28" spans="1:22">
      <c r="A28" t="s">
        <v>223</v>
      </c>
      <c r="B28" t="s">
        <v>229</v>
      </c>
      <c r="C28" t="s">
        <v>225</v>
      </c>
      <c r="D28" t="s">
        <v>215</v>
      </c>
      <c r="E28" t="s">
        <v>183</v>
      </c>
      <c r="F28" t="s">
        <v>184</v>
      </c>
      <c r="G28" t="s">
        <v>216</v>
      </c>
      <c r="H28" s="17">
        <v>0.30299999999999999</v>
      </c>
      <c r="I28" s="17">
        <v>0</v>
      </c>
      <c r="J28" s="17">
        <v>1.38</v>
      </c>
      <c r="K28" s="17"/>
      <c r="L28" t="s">
        <v>217</v>
      </c>
      <c r="M28" s="17">
        <v>6.15144568129612E-2</v>
      </c>
      <c r="N28" s="18">
        <v>2026</v>
      </c>
      <c r="O28" s="18">
        <v>2030</v>
      </c>
      <c r="P28" s="19">
        <f t="shared" si="5"/>
        <v>0.10325160966336067</v>
      </c>
      <c r="Q28" s="19">
        <f t="shared" si="1"/>
        <v>0.30299999999999999</v>
      </c>
      <c r="R28" s="19">
        <f t="shared" si="2"/>
        <v>1</v>
      </c>
      <c r="S28" s="20" t="s">
        <v>226</v>
      </c>
      <c r="T28" t="s">
        <v>175</v>
      </c>
      <c r="U28" s="21">
        <f t="shared" si="3"/>
        <v>1</v>
      </c>
      <c r="V28" s="15" t="str">
        <f t="shared" si="4"/>
        <v>OK</v>
      </c>
    </row>
  </sheetData>
  <autoFilter ref="A1:V1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7.69921875" customWidth="1"/>
    <col min="2" max="2" width="24.69921875" customWidth="1"/>
    <col min="3" max="3" width="11.69921875" customWidth="1"/>
    <col min="4" max="4" width="17.69921875" customWidth="1"/>
    <col min="5" max="5" width="15.69921875" customWidth="1"/>
    <col min="6" max="6" width="14.69921875" customWidth="1"/>
    <col min="7" max="7" width="11.69921875" customWidth="1"/>
  </cols>
  <sheetData>
    <row r="1" spans="1:7" ht="28.05" customHeight="1">
      <c r="A1" s="1" t="s">
        <v>141</v>
      </c>
      <c r="B1" s="1" t="s">
        <v>142</v>
      </c>
      <c r="C1" s="1" t="s">
        <v>145</v>
      </c>
      <c r="D1" s="1" t="s">
        <v>230</v>
      </c>
      <c r="E1" s="1" t="s">
        <v>231</v>
      </c>
      <c r="F1" s="1" t="s">
        <v>147</v>
      </c>
      <c r="G1" s="1" t="s">
        <v>232</v>
      </c>
    </row>
    <row r="2" spans="1:7" ht="41.4">
      <c r="A2" t="s">
        <v>233</v>
      </c>
      <c r="B2" t="s">
        <v>234</v>
      </c>
      <c r="C2" t="s">
        <v>180</v>
      </c>
      <c r="D2" t="s">
        <v>235</v>
      </c>
      <c r="E2" t="s">
        <v>236</v>
      </c>
      <c r="F2" t="s">
        <v>237</v>
      </c>
      <c r="G2" s="22" t="s">
        <v>238</v>
      </c>
    </row>
  </sheetData>
  <autoFilter ref="A1:G1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3"/>
  <sheetViews>
    <sheetView workbookViewId="0">
      <pane ySplit="1" topLeftCell="A6" activePane="bottomLeft" state="frozen"/>
      <selection pane="bottomLeft" activeCell="J10" sqref="J10"/>
    </sheetView>
  </sheetViews>
  <sheetFormatPr defaultColWidth="11.19921875" defaultRowHeight="13.8"/>
  <cols>
    <col min="1" max="1" width="11.69921875" customWidth="1"/>
    <col min="2" max="2" width="17.69921875" customWidth="1"/>
    <col min="3" max="3" width="19.69921875" customWidth="1"/>
    <col min="4" max="4" width="11.69921875" customWidth="1"/>
    <col min="5" max="5" width="14.69921875" customWidth="1"/>
    <col min="6" max="6" width="16.69921875" customWidth="1"/>
    <col min="7" max="7" width="14.69921875" customWidth="1"/>
    <col min="8" max="8" width="12.69921875" customWidth="1"/>
    <col min="9" max="9" width="18.69921875" customWidth="1"/>
    <col min="10" max="10" width="26.69921875" customWidth="1"/>
    <col min="11" max="11" width="11.69921875" customWidth="1"/>
    <col min="12" max="12" width="15.69921875" customWidth="1"/>
    <col min="13" max="13" width="11.69921875" customWidth="1"/>
  </cols>
  <sheetData>
    <row r="1" spans="1:13" ht="28.05" customHeight="1">
      <c r="A1" s="1" t="s">
        <v>239</v>
      </c>
      <c r="B1" s="1" t="s">
        <v>141</v>
      </c>
      <c r="C1" s="1" t="s">
        <v>143</v>
      </c>
      <c r="D1" s="1" t="s">
        <v>240</v>
      </c>
      <c r="E1" s="1" t="s">
        <v>241</v>
      </c>
      <c r="F1" s="1" t="s">
        <v>242</v>
      </c>
      <c r="G1" s="1" t="s">
        <v>243</v>
      </c>
      <c r="H1" s="1" t="s">
        <v>244</v>
      </c>
      <c r="I1" s="1" t="s">
        <v>245</v>
      </c>
      <c r="J1" s="1" t="s">
        <v>246</v>
      </c>
      <c r="K1" s="1" t="s">
        <v>5</v>
      </c>
      <c r="L1" s="1" t="s">
        <v>159</v>
      </c>
      <c r="M1" s="1" t="s">
        <v>247</v>
      </c>
    </row>
    <row r="2" spans="1:13" ht="55.2">
      <c r="A2" s="3" t="s">
        <v>248</v>
      </c>
      <c r="B2" s="3" t="s">
        <v>223</v>
      </c>
      <c r="C2" s="3" t="s">
        <v>225</v>
      </c>
      <c r="D2" s="3" t="s">
        <v>249</v>
      </c>
      <c r="E2" s="3" t="s">
        <v>250</v>
      </c>
      <c r="F2" s="23">
        <v>0.11</v>
      </c>
      <c r="G2" s="23">
        <v>0.75</v>
      </c>
      <c r="H2" s="3" t="s">
        <v>49</v>
      </c>
      <c r="I2" s="3">
        <v>-0.48</v>
      </c>
      <c r="J2" s="23">
        <v>1</v>
      </c>
      <c r="K2" s="24" t="s">
        <v>251</v>
      </c>
      <c r="L2" s="3" t="s">
        <v>252</v>
      </c>
      <c r="M2" s="3" t="s">
        <v>253</v>
      </c>
    </row>
    <row r="3" spans="1:13" ht="55.2">
      <c r="A3" s="3" t="s">
        <v>254</v>
      </c>
      <c r="B3" s="3" t="s">
        <v>185</v>
      </c>
      <c r="C3" s="3" t="s">
        <v>187</v>
      </c>
      <c r="D3" s="3" t="s">
        <v>255</v>
      </c>
      <c r="E3" s="3" t="s">
        <v>256</v>
      </c>
      <c r="F3" s="23">
        <v>0.249</v>
      </c>
      <c r="G3" s="23">
        <v>0.25</v>
      </c>
      <c r="H3" s="3" t="s">
        <v>257</v>
      </c>
      <c r="I3" s="3">
        <v>-0.49</v>
      </c>
      <c r="J3" s="23">
        <v>4.8999999999999998E-4</v>
      </c>
      <c r="K3" s="24" t="s">
        <v>258</v>
      </c>
      <c r="L3" s="3" t="s">
        <v>259</v>
      </c>
      <c r="M3" s="3" t="s">
        <v>253</v>
      </c>
    </row>
    <row r="4" spans="1:13" ht="55.2">
      <c r="A4" s="3" t="s">
        <v>260</v>
      </c>
      <c r="B4" s="3" t="s">
        <v>212</v>
      </c>
      <c r="C4" s="3" t="s">
        <v>214</v>
      </c>
      <c r="D4" s="3" t="s">
        <v>261</v>
      </c>
      <c r="E4" s="3" t="s">
        <v>262</v>
      </c>
      <c r="F4" s="23">
        <v>0</v>
      </c>
      <c r="G4" s="23">
        <v>1</v>
      </c>
      <c r="H4" s="3" t="s">
        <v>263</v>
      </c>
      <c r="I4" s="3">
        <v>0.11</v>
      </c>
      <c r="J4" s="23">
        <v>0.11</v>
      </c>
      <c r="K4" s="24" t="s">
        <v>251</v>
      </c>
      <c r="L4" s="3" t="s">
        <v>264</v>
      </c>
      <c r="M4" s="3" t="s">
        <v>253</v>
      </c>
    </row>
    <row r="5" spans="1:13" ht="55.2">
      <c r="A5" s="3" t="s">
        <v>265</v>
      </c>
      <c r="B5" s="3" t="s">
        <v>212</v>
      </c>
      <c r="C5" s="3" t="s">
        <v>214</v>
      </c>
      <c r="D5" s="3" t="s">
        <v>266</v>
      </c>
      <c r="E5" s="3" t="s">
        <v>262</v>
      </c>
      <c r="F5" s="23">
        <v>0</v>
      </c>
      <c r="G5" s="23">
        <v>1</v>
      </c>
      <c r="H5" s="3" t="s">
        <v>263</v>
      </c>
      <c r="I5" s="3">
        <v>6.5000000000000002E-2</v>
      </c>
      <c r="J5" s="23">
        <v>6.5000000000000002E-2</v>
      </c>
      <c r="K5" s="24" t="s">
        <v>251</v>
      </c>
      <c r="L5" s="3" t="s">
        <v>264</v>
      </c>
      <c r="M5" s="3" t="s">
        <v>253</v>
      </c>
    </row>
    <row r="6" spans="1:13" ht="55.2">
      <c r="A6" s="3" t="s">
        <v>267</v>
      </c>
      <c r="B6" s="3" t="s">
        <v>212</v>
      </c>
      <c r="C6" s="3" t="s">
        <v>214</v>
      </c>
      <c r="D6" s="3" t="s">
        <v>268</v>
      </c>
      <c r="E6" s="3" t="s">
        <v>262</v>
      </c>
      <c r="F6" s="23">
        <v>0</v>
      </c>
      <c r="G6" s="23">
        <v>1</v>
      </c>
      <c r="H6" s="3" t="s">
        <v>263</v>
      </c>
      <c r="I6" s="3">
        <v>0.04</v>
      </c>
      <c r="J6" s="23">
        <v>0.04</v>
      </c>
      <c r="K6" s="24" t="s">
        <v>251</v>
      </c>
      <c r="L6" s="3" t="s">
        <v>264</v>
      </c>
      <c r="M6" s="3" t="s">
        <v>253</v>
      </c>
    </row>
    <row r="7" spans="1:13" ht="55.2">
      <c r="A7" s="3" t="s">
        <v>269</v>
      </c>
      <c r="B7" s="3" t="s">
        <v>162</v>
      </c>
      <c r="C7" s="3" t="s">
        <v>164</v>
      </c>
      <c r="D7" s="3" t="s">
        <v>270</v>
      </c>
      <c r="E7" s="3" t="s">
        <v>262</v>
      </c>
      <c r="F7" s="23">
        <v>0.999</v>
      </c>
      <c r="G7" s="23">
        <v>1</v>
      </c>
      <c r="H7" s="3" t="s">
        <v>263</v>
      </c>
      <c r="I7" s="3">
        <v>0.26900000000000002</v>
      </c>
      <c r="J7" s="23">
        <v>2.6899999999999998E-4</v>
      </c>
      <c r="K7" s="24" t="s">
        <v>258</v>
      </c>
      <c r="L7" s="3" t="s">
        <v>264</v>
      </c>
      <c r="M7" s="3" t="s">
        <v>253</v>
      </c>
    </row>
    <row r="8" spans="1:13" ht="55.2">
      <c r="A8" s="3" t="s">
        <v>271</v>
      </c>
      <c r="B8" s="3" t="s">
        <v>193</v>
      </c>
      <c r="C8" s="3" t="s">
        <v>195</v>
      </c>
      <c r="D8" s="3" t="s">
        <v>272</v>
      </c>
      <c r="E8" s="3" t="s">
        <v>262</v>
      </c>
      <c r="F8" s="23">
        <v>0</v>
      </c>
      <c r="G8" s="23">
        <v>1</v>
      </c>
      <c r="H8" s="3" t="s">
        <v>263</v>
      </c>
      <c r="I8" s="3">
        <v>0.2</v>
      </c>
      <c r="J8" s="23">
        <v>0.2</v>
      </c>
      <c r="K8" s="24" t="s">
        <v>273</v>
      </c>
      <c r="L8" s="3" t="s">
        <v>264</v>
      </c>
      <c r="M8" s="3" t="s">
        <v>253</v>
      </c>
    </row>
    <row r="9" spans="1:13" ht="55.2">
      <c r="A9" s="3" t="s">
        <v>274</v>
      </c>
      <c r="B9" s="3" t="s">
        <v>193</v>
      </c>
      <c r="C9" s="3" t="s">
        <v>195</v>
      </c>
      <c r="D9" s="3" t="s">
        <v>275</v>
      </c>
      <c r="E9" s="3" t="s">
        <v>262</v>
      </c>
      <c r="F9" s="23">
        <v>0</v>
      </c>
      <c r="G9" s="23">
        <v>1</v>
      </c>
      <c r="H9" s="3" t="s">
        <v>263</v>
      </c>
      <c r="I9" s="3">
        <v>0.1</v>
      </c>
      <c r="J9" s="23">
        <v>0.1</v>
      </c>
      <c r="K9" s="24" t="s">
        <v>273</v>
      </c>
      <c r="L9" s="3" t="s">
        <v>264</v>
      </c>
      <c r="M9" s="3" t="s">
        <v>253</v>
      </c>
    </row>
    <row r="10" spans="1:13" ht="55.2">
      <c r="A10" s="3" t="s">
        <v>276</v>
      </c>
      <c r="B10" s="3" t="s">
        <v>193</v>
      </c>
      <c r="C10" s="3" t="s">
        <v>195</v>
      </c>
      <c r="D10" s="3" t="s">
        <v>277</v>
      </c>
      <c r="E10" s="3" t="s">
        <v>262</v>
      </c>
      <c r="F10" s="23">
        <v>0</v>
      </c>
      <c r="G10" s="23">
        <v>1</v>
      </c>
      <c r="H10" s="3" t="s">
        <v>263</v>
      </c>
      <c r="I10" s="3">
        <v>0.05</v>
      </c>
      <c r="J10" s="23">
        <v>0.05</v>
      </c>
      <c r="K10" s="24" t="s">
        <v>273</v>
      </c>
      <c r="L10" s="3" t="s">
        <v>264</v>
      </c>
      <c r="M10" s="3" t="s">
        <v>253</v>
      </c>
    </row>
    <row r="11" spans="1:13" ht="55.2">
      <c r="A11" s="3" t="s">
        <v>278</v>
      </c>
      <c r="B11" s="3" t="s">
        <v>193</v>
      </c>
      <c r="C11" s="3" t="s">
        <v>195</v>
      </c>
      <c r="D11" s="3" t="s">
        <v>279</v>
      </c>
      <c r="E11" s="3" t="s">
        <v>262</v>
      </c>
      <c r="F11" s="23">
        <v>0</v>
      </c>
      <c r="G11" s="23">
        <v>1</v>
      </c>
      <c r="H11" s="3" t="s">
        <v>263</v>
      </c>
      <c r="I11" s="3">
        <v>7.0000000000000007E-2</v>
      </c>
      <c r="J11" s="23">
        <v>7.0000000000000007E-2</v>
      </c>
      <c r="K11" s="24" t="s">
        <v>273</v>
      </c>
      <c r="L11" s="3" t="s">
        <v>264</v>
      </c>
      <c r="M11" s="3" t="s">
        <v>253</v>
      </c>
    </row>
    <row r="12" spans="1:13" ht="55.2">
      <c r="A12" s="3" t="s">
        <v>280</v>
      </c>
      <c r="B12" s="3" t="s">
        <v>233</v>
      </c>
      <c r="C12" s="3" t="s">
        <v>281</v>
      </c>
      <c r="D12" s="3" t="s">
        <v>282</v>
      </c>
      <c r="E12" s="3" t="s">
        <v>283</v>
      </c>
      <c r="F12" s="23">
        <v>0</v>
      </c>
      <c r="G12" s="23">
        <v>4</v>
      </c>
      <c r="H12" s="3" t="s">
        <v>284</v>
      </c>
      <c r="I12" s="3"/>
      <c r="J12" s="23">
        <v>1</v>
      </c>
      <c r="K12" s="24" t="s">
        <v>285</v>
      </c>
      <c r="L12" s="3" t="s">
        <v>252</v>
      </c>
      <c r="M12" s="3" t="s">
        <v>253</v>
      </c>
    </row>
    <row r="13" spans="1:13" ht="124.2">
      <c r="A13" s="3" t="s">
        <v>286</v>
      </c>
      <c r="B13" s="3" t="s">
        <v>201</v>
      </c>
      <c r="C13" s="3" t="s">
        <v>203</v>
      </c>
      <c r="D13" s="3" t="s">
        <v>287</v>
      </c>
      <c r="E13" s="3" t="s">
        <v>256</v>
      </c>
      <c r="F13" s="23">
        <v>0</v>
      </c>
      <c r="G13" s="23">
        <v>0.2</v>
      </c>
      <c r="H13" s="3" t="s">
        <v>257</v>
      </c>
      <c r="I13" s="3">
        <v>-0.875</v>
      </c>
      <c r="J13" s="23">
        <v>0.17499999999999999</v>
      </c>
      <c r="K13" s="24" t="s">
        <v>288</v>
      </c>
      <c r="L13" s="3" t="s">
        <v>175</v>
      </c>
      <c r="M13" s="3" t="s">
        <v>253</v>
      </c>
    </row>
  </sheetData>
  <autoFilter ref="A1:M1" xr:uid="{00000000-0009-0000-0000-000004000000}"/>
  <conditionalFormatting sqref="L2:L13">
    <cfRule type="containsText" dxfId="12" priority="3" operator="containsText" text="Ready">
      <formula>NOT(ISERROR(SEARCH("Ready", L2)))</formula>
    </cfRule>
    <cfRule type="containsText" dxfId="11" priority="2" operator="containsText" text="Review">
      <formula>NOT(ISERROR(SEARCH("Review", L2)))</formula>
    </cfRule>
    <cfRule type="containsText" dxfId="10" priority="1" operator="containsText" text="Missing">
      <formula>NOT(ISERROR(SEARCH("Missing", L2)))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8"/>
  <sheetViews>
    <sheetView topLeftCell="E1" workbookViewId="0">
      <pane ySplit="1" topLeftCell="A2" activePane="bottomLeft" state="frozen"/>
      <selection pane="bottomLeft" activeCell="M7" sqref="M7"/>
    </sheetView>
  </sheetViews>
  <sheetFormatPr defaultColWidth="11.19921875" defaultRowHeight="13.8"/>
  <cols>
    <col min="1" max="1" width="17.69921875" customWidth="1"/>
    <col min="2" max="2" width="11.69921875" customWidth="1"/>
    <col min="3" max="3" width="23.69921875" customWidth="1"/>
    <col min="4" max="4" width="15.69921875" customWidth="1"/>
    <col min="5" max="5" width="19.69921875" customWidth="1"/>
    <col min="6" max="6" width="18.69921875" customWidth="1"/>
    <col min="7" max="7" width="15.69921875" customWidth="1"/>
    <col min="8" max="8" width="16.69921875" customWidth="1"/>
    <col min="9" max="9" width="17.69921875" customWidth="1"/>
    <col min="10" max="11" width="20.69921875" customWidth="1"/>
    <col min="12" max="12" width="12.69921875" customWidth="1"/>
    <col min="13" max="13" width="13.69921875" customWidth="1"/>
    <col min="14" max="14" width="16.69921875" customWidth="1"/>
    <col min="15" max="15" width="15.69921875" customWidth="1"/>
  </cols>
  <sheetData>
    <row r="1" spans="1:15" ht="28.05" customHeight="1">
      <c r="A1" s="1" t="s">
        <v>141</v>
      </c>
      <c r="B1" s="1" t="s">
        <v>144</v>
      </c>
      <c r="C1" s="1" t="s">
        <v>289</v>
      </c>
      <c r="D1" s="1" t="s">
        <v>290</v>
      </c>
      <c r="E1" s="1" t="s">
        <v>148</v>
      </c>
      <c r="F1" s="1" t="s">
        <v>291</v>
      </c>
      <c r="G1" s="1" t="s">
        <v>292</v>
      </c>
      <c r="H1" s="1" t="s">
        <v>293</v>
      </c>
      <c r="I1" s="1" t="s">
        <v>149</v>
      </c>
      <c r="J1" s="1" t="s">
        <v>294</v>
      </c>
      <c r="K1" s="1" t="s">
        <v>295</v>
      </c>
      <c r="L1" s="1" t="s">
        <v>296</v>
      </c>
      <c r="M1" s="1" t="s">
        <v>297</v>
      </c>
      <c r="N1" s="1" t="s">
        <v>17</v>
      </c>
      <c r="O1" s="1" t="s">
        <v>159</v>
      </c>
    </row>
    <row r="2" spans="1:15">
      <c r="A2" t="s">
        <v>223</v>
      </c>
      <c r="B2" t="s">
        <v>215</v>
      </c>
      <c r="C2" t="s">
        <v>298</v>
      </c>
      <c r="D2" t="s">
        <v>49</v>
      </c>
      <c r="E2" s="17">
        <v>0.30299999999999999</v>
      </c>
      <c r="F2" t="s">
        <v>299</v>
      </c>
      <c r="G2" s="17">
        <v>1</v>
      </c>
      <c r="H2" s="17">
        <v>0</v>
      </c>
      <c r="I2" s="19">
        <f>MAX(H2,E2*(1-G2))</f>
        <v>0</v>
      </c>
      <c r="J2" s="19">
        <f t="shared" ref="J2:J8" si="0">E2-I2</f>
        <v>0.30299999999999999</v>
      </c>
      <c r="K2" s="19">
        <f t="shared" ref="K2:K8" si="1">IF(E2=0,0,(E2-I2)/E2)</f>
        <v>1</v>
      </c>
      <c r="L2" s="18">
        <v>2026</v>
      </c>
      <c r="M2" s="18">
        <v>2030</v>
      </c>
      <c r="N2" t="s">
        <v>75</v>
      </c>
      <c r="O2" t="s">
        <v>300</v>
      </c>
    </row>
    <row r="3" spans="1:15">
      <c r="A3" t="s">
        <v>185</v>
      </c>
      <c r="B3" t="s">
        <v>165</v>
      </c>
      <c r="C3" t="s">
        <v>301</v>
      </c>
      <c r="D3" t="s">
        <v>302</v>
      </c>
      <c r="E3" s="17">
        <v>0.1</v>
      </c>
      <c r="F3" t="s">
        <v>299</v>
      </c>
      <c r="G3" s="17">
        <v>4.8999999999999998E-4</v>
      </c>
      <c r="H3" s="17">
        <v>0</v>
      </c>
      <c r="I3" s="19">
        <f>MAX(H3,E3*(1-G3))</f>
        <v>9.9951000000000012E-2</v>
      </c>
      <c r="J3" s="19">
        <f t="shared" si="0"/>
        <v>4.8999999999993493E-5</v>
      </c>
      <c r="K3" s="19">
        <f t="shared" si="1"/>
        <v>4.8999999999993493E-4</v>
      </c>
      <c r="L3" s="18">
        <v>2026</v>
      </c>
      <c r="M3" s="18">
        <v>2030</v>
      </c>
      <c r="N3" t="s">
        <v>75</v>
      </c>
      <c r="O3" t="s">
        <v>300</v>
      </c>
    </row>
    <row r="4" spans="1:15">
      <c r="A4" t="s">
        <v>212</v>
      </c>
      <c r="B4" t="s">
        <v>215</v>
      </c>
      <c r="C4" t="s">
        <v>298</v>
      </c>
      <c r="D4" t="s">
        <v>49</v>
      </c>
      <c r="E4" s="17">
        <v>0.30299999999999999</v>
      </c>
      <c r="F4" t="s">
        <v>299</v>
      </c>
      <c r="G4" s="17">
        <v>0.20113600000000001</v>
      </c>
      <c r="H4" s="17">
        <v>0</v>
      </c>
      <c r="I4" s="19">
        <f>MAX(H4,E4*(1-G4))</f>
        <v>0.24205579199999999</v>
      </c>
      <c r="J4" s="19">
        <f t="shared" si="0"/>
        <v>6.0944208E-2</v>
      </c>
      <c r="K4" s="19">
        <f t="shared" si="1"/>
        <v>0.20113600000000001</v>
      </c>
      <c r="L4" s="18">
        <v>2026</v>
      </c>
      <c r="M4" s="18">
        <v>2030</v>
      </c>
      <c r="N4" t="s">
        <v>75</v>
      </c>
      <c r="O4" t="s">
        <v>300</v>
      </c>
    </row>
    <row r="5" spans="1:15">
      <c r="A5" t="s">
        <v>162</v>
      </c>
      <c r="B5" t="s">
        <v>165</v>
      </c>
      <c r="C5" t="s">
        <v>301</v>
      </c>
      <c r="D5" t="s">
        <v>302</v>
      </c>
      <c r="E5" s="17">
        <v>0.1</v>
      </c>
      <c r="F5" t="s">
        <v>299</v>
      </c>
      <c r="G5" s="17">
        <v>2.6899999999999998E-4</v>
      </c>
      <c r="H5" s="17">
        <v>0</v>
      </c>
      <c r="I5" s="19">
        <f>MAX(H5,E5*(1-G5))</f>
        <v>9.9973100000000009E-2</v>
      </c>
      <c r="J5" s="19">
        <f t="shared" si="0"/>
        <v>2.6899999999996371E-5</v>
      </c>
      <c r="K5" s="19">
        <f t="shared" si="1"/>
        <v>2.6899999999996371E-4</v>
      </c>
      <c r="L5" s="18">
        <v>2026</v>
      </c>
      <c r="M5" s="18">
        <v>2030</v>
      </c>
      <c r="N5" t="s">
        <v>75</v>
      </c>
      <c r="O5" t="s">
        <v>300</v>
      </c>
    </row>
    <row r="6" spans="1:15">
      <c r="A6" t="s">
        <v>193</v>
      </c>
      <c r="B6" t="s">
        <v>196</v>
      </c>
      <c r="C6" t="s">
        <v>303</v>
      </c>
      <c r="D6" t="s">
        <v>304</v>
      </c>
      <c r="E6" s="17">
        <v>4.4000000000000004</v>
      </c>
      <c r="F6" t="s">
        <v>299</v>
      </c>
      <c r="G6" s="17">
        <v>0.36387999999999998</v>
      </c>
      <c r="H6" s="17">
        <v>3</v>
      </c>
      <c r="I6" s="19">
        <f>MAX(H6,E6*(1-G6))</f>
        <v>3</v>
      </c>
      <c r="J6" s="19">
        <f t="shared" si="0"/>
        <v>1.4000000000000004</v>
      </c>
      <c r="K6" s="19">
        <f t="shared" si="1"/>
        <v>0.31818181818181823</v>
      </c>
      <c r="L6" s="18">
        <v>2026</v>
      </c>
      <c r="M6" s="18">
        <v>2030</v>
      </c>
      <c r="N6" t="s">
        <v>75</v>
      </c>
      <c r="O6" t="s">
        <v>300</v>
      </c>
    </row>
    <row r="7" spans="1:15">
      <c r="A7" t="s">
        <v>233</v>
      </c>
      <c r="B7" t="s">
        <v>305</v>
      </c>
      <c r="C7" t="s">
        <v>306</v>
      </c>
      <c r="D7" t="s">
        <v>307</v>
      </c>
      <c r="E7" s="17">
        <v>0.48</v>
      </c>
      <c r="F7" t="s">
        <v>308</v>
      </c>
      <c r="G7" s="17">
        <v>0</v>
      </c>
      <c r="H7" s="17">
        <v>0</v>
      </c>
      <c r="I7" s="19">
        <f>MAX(H7,G7)</f>
        <v>0</v>
      </c>
      <c r="J7" s="19">
        <f t="shared" si="0"/>
        <v>0.48</v>
      </c>
      <c r="K7" s="19">
        <f t="shared" si="1"/>
        <v>1</v>
      </c>
      <c r="L7" s="18">
        <v>2026</v>
      </c>
      <c r="M7" s="18">
        <v>2030</v>
      </c>
      <c r="N7" t="s">
        <v>75</v>
      </c>
      <c r="O7" t="s">
        <v>300</v>
      </c>
    </row>
    <row r="8" spans="1:15">
      <c r="A8" t="s">
        <v>201</v>
      </c>
      <c r="B8" t="s">
        <v>204</v>
      </c>
      <c r="C8" t="s">
        <v>309</v>
      </c>
      <c r="D8" t="s">
        <v>310</v>
      </c>
      <c r="E8" s="17">
        <v>0.114285714285714</v>
      </c>
      <c r="F8" t="s">
        <v>299</v>
      </c>
      <c r="G8" s="17">
        <v>0.17499999999999999</v>
      </c>
      <c r="H8" s="17">
        <v>0</v>
      </c>
      <c r="I8" s="19">
        <f>MAX(H8,E8*(1-G8))</f>
        <v>9.4285714285714042E-2</v>
      </c>
      <c r="J8" s="19">
        <f t="shared" si="0"/>
        <v>1.9999999999999962E-2</v>
      </c>
      <c r="K8" s="19">
        <f t="shared" si="1"/>
        <v>0.1750000000000001</v>
      </c>
      <c r="L8" s="18">
        <v>2026</v>
      </c>
      <c r="M8" s="18">
        <v>2030</v>
      </c>
      <c r="N8" t="s">
        <v>75</v>
      </c>
      <c r="O8" t="s">
        <v>311</v>
      </c>
    </row>
  </sheetData>
  <autoFilter ref="A1:O1" xr:uid="{00000000-0009-0000-0000-000005000000}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4.69921875" customWidth="1"/>
    <col min="2" max="2" width="17.69921875" customWidth="1"/>
    <col min="3" max="3" width="11.69921875" customWidth="1"/>
    <col min="4" max="4" width="12.69921875" customWidth="1"/>
    <col min="5" max="5" width="14.69921875" customWidth="1"/>
    <col min="6" max="6" width="20.69921875" customWidth="1"/>
    <col min="7" max="7" width="16.69921875" customWidth="1"/>
    <col min="8" max="9" width="11.69921875" customWidth="1"/>
    <col min="10" max="10" width="15.69921875" customWidth="1"/>
    <col min="11" max="11" width="19.69921875" customWidth="1"/>
    <col min="12" max="12" width="17.69921875" customWidth="1"/>
    <col min="13" max="13" width="23.69921875" customWidth="1"/>
    <col min="14" max="14" width="18.69921875" customWidth="1"/>
    <col min="15" max="15" width="11.69921875" customWidth="1"/>
    <col min="16" max="16" width="15.69921875" customWidth="1"/>
  </cols>
  <sheetData>
    <row r="1" spans="1:16" ht="28.05" customHeight="1">
      <c r="A1" s="1" t="s">
        <v>142</v>
      </c>
      <c r="B1" s="1" t="s">
        <v>141</v>
      </c>
      <c r="C1" s="1" t="s">
        <v>145</v>
      </c>
      <c r="D1" s="1" t="s">
        <v>146</v>
      </c>
      <c r="E1" s="1" t="s">
        <v>147</v>
      </c>
      <c r="F1" s="1" t="s">
        <v>312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148</v>
      </c>
      <c r="L1" s="1" t="s">
        <v>149</v>
      </c>
      <c r="M1" s="1" t="s">
        <v>155</v>
      </c>
      <c r="N1" s="1" t="s">
        <v>313</v>
      </c>
      <c r="O1" s="1" t="s">
        <v>314</v>
      </c>
      <c r="P1" s="1" t="s">
        <v>159</v>
      </c>
    </row>
    <row r="2" spans="1:16">
      <c r="A2" t="s">
        <v>163</v>
      </c>
      <c r="B2" t="s">
        <v>162</v>
      </c>
      <c r="C2" t="s">
        <v>166</v>
      </c>
      <c r="D2" t="s">
        <v>167</v>
      </c>
      <c r="E2" t="s">
        <v>168</v>
      </c>
      <c r="F2" t="s">
        <v>315</v>
      </c>
      <c r="G2" s="17">
        <v>1.01316167035158</v>
      </c>
      <c r="H2" s="17"/>
      <c r="I2" t="s">
        <v>169</v>
      </c>
      <c r="J2" s="17">
        <v>1</v>
      </c>
      <c r="K2" s="17">
        <v>0.1</v>
      </c>
      <c r="L2" s="17">
        <v>9.9973099999999995E-2</v>
      </c>
      <c r="M2" s="19">
        <f t="shared" ref="M2:M20" si="0">1-1/(G2^(K2-L2))</f>
        <v>3.51739177117949E-7</v>
      </c>
      <c r="N2" t="s">
        <v>316</v>
      </c>
      <c r="O2">
        <v>1</v>
      </c>
      <c r="P2" t="s">
        <v>171</v>
      </c>
    </row>
    <row r="3" spans="1:16">
      <c r="A3" t="s">
        <v>172</v>
      </c>
      <c r="B3" t="s">
        <v>162</v>
      </c>
      <c r="C3" t="s">
        <v>173</v>
      </c>
      <c r="D3" t="s">
        <v>174</v>
      </c>
      <c r="E3" t="s">
        <v>168</v>
      </c>
      <c r="F3" t="s">
        <v>315</v>
      </c>
      <c r="G3" s="17">
        <v>1.0331775104357399</v>
      </c>
      <c r="H3" s="17"/>
      <c r="I3" t="s">
        <v>169</v>
      </c>
      <c r="J3" s="17">
        <v>1</v>
      </c>
      <c r="K3" s="17">
        <v>0.1</v>
      </c>
      <c r="L3" s="17">
        <v>9.9973099999999995E-2</v>
      </c>
      <c r="M3" s="19">
        <f t="shared" si="0"/>
        <v>8.7798912085101932E-7</v>
      </c>
      <c r="N3" t="s">
        <v>316</v>
      </c>
      <c r="O3">
        <v>1</v>
      </c>
      <c r="P3" t="s">
        <v>175</v>
      </c>
    </row>
    <row r="4" spans="1:16">
      <c r="A4" t="s">
        <v>176</v>
      </c>
      <c r="B4" t="s">
        <v>162</v>
      </c>
      <c r="C4" t="s">
        <v>177</v>
      </c>
      <c r="D4" t="s">
        <v>178</v>
      </c>
      <c r="E4" t="s">
        <v>168</v>
      </c>
      <c r="F4" t="s">
        <v>315</v>
      </c>
      <c r="G4" s="17">
        <v>1.0200799627188799</v>
      </c>
      <c r="H4" s="17"/>
      <c r="I4" t="s">
        <v>169</v>
      </c>
      <c r="J4" s="17">
        <v>1</v>
      </c>
      <c r="K4" s="17">
        <v>0.1</v>
      </c>
      <c r="L4" s="17">
        <v>9.9973099999999995E-2</v>
      </c>
      <c r="M4" s="19">
        <f t="shared" si="0"/>
        <v>5.3479926931387922E-7</v>
      </c>
      <c r="N4" t="s">
        <v>316</v>
      </c>
      <c r="O4">
        <v>1</v>
      </c>
      <c r="P4" t="s">
        <v>171</v>
      </c>
    </row>
    <row r="5" spans="1:16">
      <c r="A5" t="s">
        <v>179</v>
      </c>
      <c r="B5" t="s">
        <v>162</v>
      </c>
      <c r="C5" t="s">
        <v>180</v>
      </c>
      <c r="D5" t="s">
        <v>181</v>
      </c>
      <c r="E5" t="s">
        <v>168</v>
      </c>
      <c r="F5" t="s">
        <v>315</v>
      </c>
      <c r="G5" s="17">
        <v>1.0088803849749699</v>
      </c>
      <c r="H5" s="17"/>
      <c r="I5" t="s">
        <v>169</v>
      </c>
      <c r="J5" s="17">
        <v>1</v>
      </c>
      <c r="K5" s="17">
        <v>0.1</v>
      </c>
      <c r="L5" s="17">
        <v>9.9973099999999995E-2</v>
      </c>
      <c r="M5" s="19">
        <f t="shared" si="0"/>
        <v>2.3782788194370852E-7</v>
      </c>
      <c r="N5" t="s">
        <v>316</v>
      </c>
      <c r="O5">
        <v>1</v>
      </c>
      <c r="P5" t="s">
        <v>171</v>
      </c>
    </row>
    <row r="6" spans="1:16">
      <c r="A6" t="s">
        <v>182</v>
      </c>
      <c r="B6" t="s">
        <v>162</v>
      </c>
      <c r="C6" t="s">
        <v>183</v>
      </c>
      <c r="D6" t="s">
        <v>184</v>
      </c>
      <c r="E6" t="s">
        <v>168</v>
      </c>
      <c r="F6" t="s">
        <v>315</v>
      </c>
      <c r="G6" s="17">
        <v>1.0200799627188799</v>
      </c>
      <c r="H6" s="17"/>
      <c r="I6" t="s">
        <v>169</v>
      </c>
      <c r="J6" s="17">
        <v>1</v>
      </c>
      <c r="K6" s="17">
        <v>0.1</v>
      </c>
      <c r="L6" s="17">
        <v>9.9973099999999995E-2</v>
      </c>
      <c r="M6" s="19">
        <f t="shared" si="0"/>
        <v>5.3479926931387922E-7</v>
      </c>
      <c r="N6" t="s">
        <v>316</v>
      </c>
      <c r="O6">
        <v>1</v>
      </c>
      <c r="P6" t="s">
        <v>171</v>
      </c>
    </row>
    <row r="7" spans="1:16">
      <c r="A7" t="s">
        <v>186</v>
      </c>
      <c r="B7" t="s">
        <v>185</v>
      </c>
      <c r="C7" t="s">
        <v>166</v>
      </c>
      <c r="D7" t="s">
        <v>167</v>
      </c>
      <c r="E7" t="s">
        <v>168</v>
      </c>
      <c r="F7" t="s">
        <v>315</v>
      </c>
      <c r="G7" s="17">
        <v>1.01316167035158</v>
      </c>
      <c r="H7" s="17"/>
      <c r="I7" t="s">
        <v>169</v>
      </c>
      <c r="J7" s="17">
        <v>1</v>
      </c>
      <c r="K7" s="17">
        <v>0.1</v>
      </c>
      <c r="L7" s="17">
        <v>9.9950999999999998E-2</v>
      </c>
      <c r="M7" s="19">
        <f t="shared" si="0"/>
        <v>6.4071439354052018E-7</v>
      </c>
      <c r="N7" t="s">
        <v>316</v>
      </c>
      <c r="O7">
        <v>1</v>
      </c>
      <c r="P7" t="s">
        <v>171</v>
      </c>
    </row>
    <row r="8" spans="1:16">
      <c r="A8" t="s">
        <v>189</v>
      </c>
      <c r="B8" t="s">
        <v>185</v>
      </c>
      <c r="C8" t="s">
        <v>173</v>
      </c>
      <c r="D8" t="s">
        <v>174</v>
      </c>
      <c r="E8" t="s">
        <v>168</v>
      </c>
      <c r="F8" t="s">
        <v>315</v>
      </c>
      <c r="G8" s="17">
        <v>1.0331775104357399</v>
      </c>
      <c r="H8" s="17"/>
      <c r="I8" t="s">
        <v>169</v>
      </c>
      <c r="J8" s="17">
        <v>1</v>
      </c>
      <c r="K8" s="17">
        <v>0.1</v>
      </c>
      <c r="L8" s="17">
        <v>9.9950999999999998E-2</v>
      </c>
      <c r="M8" s="19">
        <f t="shared" si="0"/>
        <v>1.5993104608424957E-6</v>
      </c>
      <c r="N8" t="s">
        <v>316</v>
      </c>
      <c r="O8">
        <v>1</v>
      </c>
      <c r="P8" t="s">
        <v>175</v>
      </c>
    </row>
    <row r="9" spans="1:16">
      <c r="A9" t="s">
        <v>190</v>
      </c>
      <c r="B9" t="s">
        <v>185</v>
      </c>
      <c r="C9" t="s">
        <v>177</v>
      </c>
      <c r="D9" t="s">
        <v>178</v>
      </c>
      <c r="E9" t="s">
        <v>168</v>
      </c>
      <c r="F9" t="s">
        <v>315</v>
      </c>
      <c r="G9" s="17">
        <v>1.0200799627188799</v>
      </c>
      <c r="H9" s="17"/>
      <c r="I9" t="s">
        <v>169</v>
      </c>
      <c r="J9" s="17">
        <v>1</v>
      </c>
      <c r="K9" s="17">
        <v>0.1</v>
      </c>
      <c r="L9" s="17">
        <v>9.9950999999999998E-2</v>
      </c>
      <c r="M9" s="19">
        <f t="shared" si="0"/>
        <v>9.7416945865624882E-7</v>
      </c>
      <c r="N9" t="s">
        <v>316</v>
      </c>
      <c r="O9">
        <v>1</v>
      </c>
      <c r="P9" t="s">
        <v>171</v>
      </c>
    </row>
    <row r="10" spans="1:16">
      <c r="A10" t="s">
        <v>191</v>
      </c>
      <c r="B10" t="s">
        <v>185</v>
      </c>
      <c r="C10" t="s">
        <v>180</v>
      </c>
      <c r="D10" t="s">
        <v>181</v>
      </c>
      <c r="E10" t="s">
        <v>168</v>
      </c>
      <c r="F10" t="s">
        <v>315</v>
      </c>
      <c r="G10" s="17">
        <v>1.0088803849749699</v>
      </c>
      <c r="H10" s="17"/>
      <c r="I10" t="s">
        <v>169</v>
      </c>
      <c r="J10" s="17">
        <v>1</v>
      </c>
      <c r="K10" s="17">
        <v>0.1</v>
      </c>
      <c r="L10" s="17">
        <v>9.9950999999999998E-2</v>
      </c>
      <c r="M10" s="19">
        <f t="shared" si="0"/>
        <v>4.3321803255835789E-7</v>
      </c>
      <c r="N10" t="s">
        <v>316</v>
      </c>
      <c r="O10">
        <v>1</v>
      </c>
      <c r="P10" t="s">
        <v>171</v>
      </c>
    </row>
    <row r="11" spans="1:16">
      <c r="A11" t="s">
        <v>192</v>
      </c>
      <c r="B11" t="s">
        <v>185</v>
      </c>
      <c r="C11" t="s">
        <v>183</v>
      </c>
      <c r="D11" t="s">
        <v>184</v>
      </c>
      <c r="E11" t="s">
        <v>168</v>
      </c>
      <c r="F11" t="s">
        <v>315</v>
      </c>
      <c r="G11" s="17">
        <v>1.0200799627188799</v>
      </c>
      <c r="H11" s="17"/>
      <c r="I11" t="s">
        <v>169</v>
      </c>
      <c r="J11" s="17">
        <v>1</v>
      </c>
      <c r="K11" s="17">
        <v>0.1</v>
      </c>
      <c r="L11" s="17">
        <v>9.9950999999999998E-2</v>
      </c>
      <c r="M11" s="19">
        <f t="shared" si="0"/>
        <v>9.7416945865624882E-7</v>
      </c>
      <c r="N11" t="s">
        <v>316</v>
      </c>
      <c r="O11">
        <v>1</v>
      </c>
      <c r="P11" t="s">
        <v>171</v>
      </c>
    </row>
    <row r="12" spans="1:16">
      <c r="A12" t="s">
        <v>194</v>
      </c>
      <c r="B12" t="s">
        <v>193</v>
      </c>
      <c r="C12" t="s">
        <v>173</v>
      </c>
      <c r="D12" t="s">
        <v>174</v>
      </c>
      <c r="E12" t="s">
        <v>168</v>
      </c>
      <c r="F12" t="s">
        <v>317</v>
      </c>
      <c r="G12" s="17">
        <v>1.06</v>
      </c>
      <c r="H12" s="17"/>
      <c r="I12" t="s">
        <v>169</v>
      </c>
      <c r="J12" s="17">
        <v>1</v>
      </c>
      <c r="K12" s="17">
        <v>4.4000000000000004</v>
      </c>
      <c r="L12" s="17">
        <v>3</v>
      </c>
      <c r="M12" s="19">
        <f t="shared" si="0"/>
        <v>7.8337773617477846E-2</v>
      </c>
      <c r="N12" t="s">
        <v>316</v>
      </c>
      <c r="O12">
        <v>1</v>
      </c>
      <c r="P12" t="s">
        <v>175</v>
      </c>
    </row>
    <row r="13" spans="1:16">
      <c r="A13" t="s">
        <v>198</v>
      </c>
      <c r="B13" t="s">
        <v>193</v>
      </c>
      <c r="C13" t="s">
        <v>177</v>
      </c>
      <c r="D13" t="s">
        <v>178</v>
      </c>
      <c r="E13" t="s">
        <v>168</v>
      </c>
      <c r="F13" t="s">
        <v>317</v>
      </c>
      <c r="G13" s="17">
        <v>1.06</v>
      </c>
      <c r="H13" s="17"/>
      <c r="I13" t="s">
        <v>169</v>
      </c>
      <c r="J13" s="17">
        <v>1</v>
      </c>
      <c r="K13" s="17">
        <v>4.4000000000000004</v>
      </c>
      <c r="L13" s="17">
        <v>3</v>
      </c>
      <c r="M13" s="19">
        <f t="shared" si="0"/>
        <v>7.8337773617477846E-2</v>
      </c>
      <c r="N13" t="s">
        <v>316</v>
      </c>
      <c r="O13">
        <v>1</v>
      </c>
      <c r="P13" t="s">
        <v>175</v>
      </c>
    </row>
    <row r="14" spans="1:16">
      <c r="A14" t="s">
        <v>199</v>
      </c>
      <c r="B14" t="s">
        <v>193</v>
      </c>
      <c r="C14" t="s">
        <v>180</v>
      </c>
      <c r="D14" t="s">
        <v>181</v>
      </c>
      <c r="E14" t="s">
        <v>168</v>
      </c>
      <c r="F14" t="s">
        <v>317</v>
      </c>
      <c r="G14" s="17">
        <v>1.06</v>
      </c>
      <c r="H14" s="17"/>
      <c r="I14" t="s">
        <v>169</v>
      </c>
      <c r="J14" s="17">
        <v>1</v>
      </c>
      <c r="K14" s="17">
        <v>4.4000000000000004</v>
      </c>
      <c r="L14" s="17">
        <v>3</v>
      </c>
      <c r="M14" s="19">
        <f t="shared" si="0"/>
        <v>7.8337773617477846E-2</v>
      </c>
      <c r="N14" t="s">
        <v>316</v>
      </c>
      <c r="O14">
        <v>1</v>
      </c>
      <c r="P14" t="s">
        <v>175</v>
      </c>
    </row>
    <row r="15" spans="1:16">
      <c r="A15" t="s">
        <v>200</v>
      </c>
      <c r="B15" t="s">
        <v>193</v>
      </c>
      <c r="C15" t="s">
        <v>183</v>
      </c>
      <c r="D15" t="s">
        <v>184</v>
      </c>
      <c r="E15" t="s">
        <v>168</v>
      </c>
      <c r="F15" t="s">
        <v>317</v>
      </c>
      <c r="G15" s="17">
        <v>1.06</v>
      </c>
      <c r="H15" s="17"/>
      <c r="I15" t="s">
        <v>169</v>
      </c>
      <c r="J15" s="17">
        <v>1</v>
      </c>
      <c r="K15" s="17">
        <v>4.4000000000000004</v>
      </c>
      <c r="L15" s="17">
        <v>3</v>
      </c>
      <c r="M15" s="19">
        <f t="shared" si="0"/>
        <v>7.8337773617477846E-2</v>
      </c>
      <c r="N15" t="s">
        <v>316</v>
      </c>
      <c r="O15">
        <v>1</v>
      </c>
      <c r="P15" t="s">
        <v>175</v>
      </c>
    </row>
    <row r="16" spans="1:16">
      <c r="A16" t="s">
        <v>202</v>
      </c>
      <c r="B16" t="s">
        <v>201</v>
      </c>
      <c r="C16" t="s">
        <v>205</v>
      </c>
      <c r="D16" t="s">
        <v>206</v>
      </c>
      <c r="E16" t="s">
        <v>168</v>
      </c>
      <c r="F16" t="s">
        <v>318</v>
      </c>
      <c r="G16" s="17">
        <v>1.18</v>
      </c>
      <c r="H16" s="17"/>
      <c r="I16" t="s">
        <v>169</v>
      </c>
      <c r="J16" s="17">
        <v>1</v>
      </c>
      <c r="K16" s="17">
        <v>0.114285714285714</v>
      </c>
      <c r="L16" s="17">
        <v>9.4285714285714001E-2</v>
      </c>
      <c r="M16" s="19">
        <f t="shared" si="0"/>
        <v>3.3048158043799125E-3</v>
      </c>
      <c r="N16" t="s">
        <v>316</v>
      </c>
      <c r="O16">
        <v>1</v>
      </c>
      <c r="P16" t="s">
        <v>175</v>
      </c>
    </row>
    <row r="17" spans="1:16">
      <c r="A17" t="s">
        <v>208</v>
      </c>
      <c r="B17" t="s">
        <v>201</v>
      </c>
      <c r="C17" t="s">
        <v>173</v>
      </c>
      <c r="D17" t="s">
        <v>174</v>
      </c>
      <c r="E17" t="s">
        <v>168</v>
      </c>
      <c r="F17" t="s">
        <v>318</v>
      </c>
      <c r="G17" s="17">
        <v>1.1000000000000001</v>
      </c>
      <c r="H17" s="17"/>
      <c r="I17" t="s">
        <v>169</v>
      </c>
      <c r="J17" s="17">
        <v>1</v>
      </c>
      <c r="K17" s="17">
        <v>0.114285714285714</v>
      </c>
      <c r="L17" s="17">
        <v>9.4285714285714001E-2</v>
      </c>
      <c r="M17" s="19">
        <f t="shared" si="0"/>
        <v>1.9043879438626066E-3</v>
      </c>
      <c r="N17" t="s">
        <v>316</v>
      </c>
      <c r="O17">
        <v>1</v>
      </c>
      <c r="P17" t="s">
        <v>171</v>
      </c>
    </row>
    <row r="18" spans="1:16">
      <c r="A18" t="s">
        <v>209</v>
      </c>
      <c r="B18" t="s">
        <v>201</v>
      </c>
      <c r="C18" t="s">
        <v>177</v>
      </c>
      <c r="D18" t="s">
        <v>178</v>
      </c>
      <c r="E18" t="s">
        <v>168</v>
      </c>
      <c r="F18" t="s">
        <v>318</v>
      </c>
      <c r="G18" s="17">
        <v>1.08</v>
      </c>
      <c r="H18" s="17"/>
      <c r="I18" t="s">
        <v>169</v>
      </c>
      <c r="J18" s="17">
        <v>1</v>
      </c>
      <c r="K18" s="17">
        <v>0.114285714285714</v>
      </c>
      <c r="L18" s="17">
        <v>9.4285714285714001E-2</v>
      </c>
      <c r="M18" s="19">
        <f t="shared" si="0"/>
        <v>1.538036829905276E-3</v>
      </c>
      <c r="N18" t="s">
        <v>316</v>
      </c>
      <c r="O18">
        <v>1</v>
      </c>
      <c r="P18" t="s">
        <v>171</v>
      </c>
    </row>
    <row r="19" spans="1:16">
      <c r="A19" t="s">
        <v>210</v>
      </c>
      <c r="B19" t="s">
        <v>201</v>
      </c>
      <c r="C19" t="s">
        <v>180</v>
      </c>
      <c r="D19" t="s">
        <v>181</v>
      </c>
      <c r="E19" t="s">
        <v>168</v>
      </c>
      <c r="F19" t="s">
        <v>318</v>
      </c>
      <c r="G19" s="17">
        <v>1.1399999999999999</v>
      </c>
      <c r="H19" s="17"/>
      <c r="I19" t="s">
        <v>169</v>
      </c>
      <c r="J19" s="17">
        <v>1</v>
      </c>
      <c r="K19" s="17">
        <v>0.114285714285714</v>
      </c>
      <c r="L19" s="17">
        <v>9.4285714285714001E-2</v>
      </c>
      <c r="M19" s="19">
        <f t="shared" si="0"/>
        <v>2.6171345644494526E-3</v>
      </c>
      <c r="N19" t="s">
        <v>316</v>
      </c>
      <c r="O19">
        <v>1</v>
      </c>
      <c r="P19" t="s">
        <v>175</v>
      </c>
    </row>
    <row r="20" spans="1:16">
      <c r="A20" t="s">
        <v>211</v>
      </c>
      <c r="B20" t="s">
        <v>201</v>
      </c>
      <c r="C20" t="s">
        <v>183</v>
      </c>
      <c r="D20" t="s">
        <v>184</v>
      </c>
      <c r="E20" t="s">
        <v>168</v>
      </c>
      <c r="F20" t="s">
        <v>318</v>
      </c>
      <c r="G20" s="17">
        <v>1.07</v>
      </c>
      <c r="H20" s="17"/>
      <c r="I20" t="s">
        <v>169</v>
      </c>
      <c r="J20" s="17">
        <v>1</v>
      </c>
      <c r="K20" s="17">
        <v>0.114285714285714</v>
      </c>
      <c r="L20" s="17">
        <v>9.4285714285714001E-2</v>
      </c>
      <c r="M20" s="19">
        <f t="shared" si="0"/>
        <v>1.3522578437547006E-3</v>
      </c>
      <c r="N20" t="s">
        <v>316</v>
      </c>
      <c r="O20">
        <v>1</v>
      </c>
      <c r="P20" t="s">
        <v>175</v>
      </c>
    </row>
    <row r="21" spans="1:16">
      <c r="A21" t="s">
        <v>234</v>
      </c>
      <c r="B21" t="s">
        <v>233</v>
      </c>
      <c r="C21" t="s">
        <v>180</v>
      </c>
      <c r="D21" t="s">
        <v>181</v>
      </c>
      <c r="E21" t="s">
        <v>237</v>
      </c>
      <c r="F21" t="s">
        <v>319</v>
      </c>
      <c r="G21" s="17"/>
      <c r="H21" s="17"/>
      <c r="I21" t="s">
        <v>169</v>
      </c>
      <c r="J21" s="17">
        <v>1</v>
      </c>
      <c r="K21" s="17">
        <v>0.48</v>
      </c>
      <c r="L21" s="17">
        <v>0</v>
      </c>
      <c r="M21" s="19">
        <f>IFERROR(H21*G21,0)</f>
        <v>0</v>
      </c>
      <c r="N21" t="s">
        <v>316</v>
      </c>
      <c r="O21">
        <v>0</v>
      </c>
      <c r="P21" t="s">
        <v>300</v>
      </c>
    </row>
    <row r="22" spans="1:16">
      <c r="A22" t="s">
        <v>213</v>
      </c>
      <c r="B22" t="s">
        <v>212</v>
      </c>
      <c r="C22" t="s">
        <v>205</v>
      </c>
      <c r="D22" t="s">
        <v>206</v>
      </c>
      <c r="E22" t="s">
        <v>216</v>
      </c>
      <c r="F22" t="s">
        <v>320</v>
      </c>
      <c r="G22" s="17">
        <v>1.37</v>
      </c>
      <c r="H22" s="17"/>
      <c r="I22" t="s">
        <v>217</v>
      </c>
      <c r="J22" s="17">
        <v>6.15144568129612E-2</v>
      </c>
      <c r="K22" s="17">
        <v>0.30299999999999999</v>
      </c>
      <c r="L22" s="17">
        <v>0.24205579199999999</v>
      </c>
      <c r="M22" s="19">
        <f t="shared" ref="M22:M29" si="1">1-(1+L22*(G22-1))/(1+K22*(G22-1))</f>
        <v>2.0276192966523054E-2</v>
      </c>
      <c r="N22" t="s">
        <v>316</v>
      </c>
      <c r="O22">
        <v>1</v>
      </c>
      <c r="P22" t="s">
        <v>219</v>
      </c>
    </row>
    <row r="23" spans="1:16">
      <c r="A23" t="s">
        <v>220</v>
      </c>
      <c r="B23" t="s">
        <v>212</v>
      </c>
      <c r="C23" t="s">
        <v>177</v>
      </c>
      <c r="D23" t="s">
        <v>178</v>
      </c>
      <c r="E23" t="s">
        <v>216</v>
      </c>
      <c r="F23" t="s">
        <v>320</v>
      </c>
      <c r="G23" s="17">
        <v>1.19</v>
      </c>
      <c r="H23" s="17"/>
      <c r="I23" t="s">
        <v>217</v>
      </c>
      <c r="J23" s="17">
        <v>6.15144568129612E-2</v>
      </c>
      <c r="K23" s="17">
        <v>0.30299999999999999</v>
      </c>
      <c r="L23" s="17">
        <v>0.24205579199999999</v>
      </c>
      <c r="M23" s="19">
        <f t="shared" si="1"/>
        <v>1.0949062019535383E-2</v>
      </c>
      <c r="N23" t="s">
        <v>316</v>
      </c>
      <c r="O23">
        <v>1</v>
      </c>
      <c r="P23" t="s">
        <v>175</v>
      </c>
    </row>
    <row r="24" spans="1:16">
      <c r="A24" t="s">
        <v>221</v>
      </c>
      <c r="B24" t="s">
        <v>212</v>
      </c>
      <c r="C24" t="s">
        <v>180</v>
      </c>
      <c r="D24" t="s">
        <v>181</v>
      </c>
      <c r="E24" t="s">
        <v>216</v>
      </c>
      <c r="F24" t="s">
        <v>320</v>
      </c>
      <c r="G24" s="17">
        <v>1.6</v>
      </c>
      <c r="H24" s="17"/>
      <c r="I24" t="s">
        <v>217</v>
      </c>
      <c r="J24" s="17">
        <v>6.15144568129612E-2</v>
      </c>
      <c r="K24" s="17">
        <v>0.30299999999999999</v>
      </c>
      <c r="L24" s="17">
        <v>0.24205579199999999</v>
      </c>
      <c r="M24" s="19">
        <f t="shared" si="1"/>
        <v>3.0941381621255704E-2</v>
      </c>
      <c r="N24" t="s">
        <v>316</v>
      </c>
      <c r="O24">
        <v>1</v>
      </c>
      <c r="P24" t="s">
        <v>175</v>
      </c>
    </row>
    <row r="25" spans="1:16">
      <c r="A25" t="s">
        <v>222</v>
      </c>
      <c r="B25" t="s">
        <v>212</v>
      </c>
      <c r="C25" t="s">
        <v>183</v>
      </c>
      <c r="D25" t="s">
        <v>184</v>
      </c>
      <c r="E25" t="s">
        <v>216</v>
      </c>
      <c r="F25" t="s">
        <v>320</v>
      </c>
      <c r="G25" s="17">
        <v>1.38</v>
      </c>
      <c r="H25" s="17"/>
      <c r="I25" t="s">
        <v>217</v>
      </c>
      <c r="J25" s="17">
        <v>6.15144568129612E-2</v>
      </c>
      <c r="K25" s="17">
        <v>0.30299999999999999</v>
      </c>
      <c r="L25" s="17">
        <v>0.24205579199999999</v>
      </c>
      <c r="M25" s="19">
        <f t="shared" si="1"/>
        <v>2.0767615761249636E-2</v>
      </c>
      <c r="N25" t="s">
        <v>316</v>
      </c>
      <c r="O25">
        <v>1</v>
      </c>
      <c r="P25" t="s">
        <v>175</v>
      </c>
    </row>
    <row r="26" spans="1:16">
      <c r="A26" t="s">
        <v>224</v>
      </c>
      <c r="B26" t="s">
        <v>223</v>
      </c>
      <c r="C26" t="s">
        <v>205</v>
      </c>
      <c r="D26" t="s">
        <v>206</v>
      </c>
      <c r="E26" t="s">
        <v>216</v>
      </c>
      <c r="F26" t="s">
        <v>320</v>
      </c>
      <c r="G26" s="17">
        <v>1.37</v>
      </c>
      <c r="H26" s="17"/>
      <c r="I26" t="s">
        <v>217</v>
      </c>
      <c r="J26" s="17">
        <v>6.15144568129612E-2</v>
      </c>
      <c r="K26" s="17">
        <v>0.30299999999999999</v>
      </c>
      <c r="L26" s="17">
        <v>0</v>
      </c>
      <c r="M26" s="19">
        <f t="shared" si="1"/>
        <v>0.10080837327242809</v>
      </c>
      <c r="N26" t="s">
        <v>316</v>
      </c>
      <c r="O26">
        <v>1</v>
      </c>
      <c r="P26" t="s">
        <v>219</v>
      </c>
    </row>
    <row r="27" spans="1:16">
      <c r="A27" t="s">
        <v>227</v>
      </c>
      <c r="B27" t="s">
        <v>223</v>
      </c>
      <c r="C27" t="s">
        <v>177</v>
      </c>
      <c r="D27" t="s">
        <v>178</v>
      </c>
      <c r="E27" t="s">
        <v>216</v>
      </c>
      <c r="F27" t="s">
        <v>320</v>
      </c>
      <c r="G27" s="17">
        <v>1.19</v>
      </c>
      <c r="H27" s="17"/>
      <c r="I27" t="s">
        <v>217</v>
      </c>
      <c r="J27" s="17">
        <v>6.15144568129612E-2</v>
      </c>
      <c r="K27" s="17">
        <v>0.30299999999999999</v>
      </c>
      <c r="L27" s="17">
        <v>0</v>
      </c>
      <c r="M27" s="19">
        <f t="shared" si="1"/>
        <v>5.4436112975973172E-2</v>
      </c>
      <c r="N27" t="s">
        <v>316</v>
      </c>
      <c r="O27">
        <v>1</v>
      </c>
      <c r="P27" t="s">
        <v>175</v>
      </c>
    </row>
    <row r="28" spans="1:16">
      <c r="A28" t="s">
        <v>228</v>
      </c>
      <c r="B28" t="s">
        <v>223</v>
      </c>
      <c r="C28" t="s">
        <v>180</v>
      </c>
      <c r="D28" t="s">
        <v>181</v>
      </c>
      <c r="E28" t="s">
        <v>216</v>
      </c>
      <c r="F28" t="s">
        <v>320</v>
      </c>
      <c r="G28" s="17">
        <v>1.6</v>
      </c>
      <c r="H28" s="17"/>
      <c r="I28" t="s">
        <v>217</v>
      </c>
      <c r="J28" s="17">
        <v>6.15144568129612E-2</v>
      </c>
      <c r="K28" s="17">
        <v>0.30299999999999999</v>
      </c>
      <c r="L28" s="17">
        <v>0</v>
      </c>
      <c r="M28" s="19">
        <f t="shared" si="1"/>
        <v>0.1538331358943984</v>
      </c>
      <c r="N28" t="s">
        <v>316</v>
      </c>
      <c r="O28">
        <v>1</v>
      </c>
      <c r="P28" t="s">
        <v>175</v>
      </c>
    </row>
    <row r="29" spans="1:16">
      <c r="A29" t="s">
        <v>229</v>
      </c>
      <c r="B29" t="s">
        <v>223</v>
      </c>
      <c r="C29" t="s">
        <v>183</v>
      </c>
      <c r="D29" t="s">
        <v>184</v>
      </c>
      <c r="E29" t="s">
        <v>216</v>
      </c>
      <c r="F29" t="s">
        <v>320</v>
      </c>
      <c r="G29" s="17">
        <v>1.38</v>
      </c>
      <c r="H29" s="17"/>
      <c r="I29" t="s">
        <v>217</v>
      </c>
      <c r="J29" s="17">
        <v>6.15144568129612E-2</v>
      </c>
      <c r="K29" s="17">
        <v>0.30299999999999999</v>
      </c>
      <c r="L29" s="17">
        <v>0</v>
      </c>
      <c r="M29" s="19">
        <f t="shared" si="1"/>
        <v>0.10325160966336067</v>
      </c>
      <c r="N29" t="s">
        <v>316</v>
      </c>
      <c r="O29">
        <v>1</v>
      </c>
      <c r="P29" t="s">
        <v>175</v>
      </c>
    </row>
  </sheetData>
  <autoFilter ref="A1:P1" xr:uid="{00000000-0009-0000-0000-000006000000}"/>
  <conditionalFormatting sqref="O2:O29">
    <cfRule type="expression" dxfId="9" priority="1">
      <formula>O2=0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6.69921875" customWidth="1"/>
    <col min="2" max="2" width="20.69921875" customWidth="1"/>
    <col min="3" max="3" width="15.69921875" customWidth="1"/>
    <col min="4" max="4" width="12.69921875" customWidth="1"/>
    <col min="5" max="5" width="17.69921875" customWidth="1"/>
    <col min="6" max="6" width="16.69921875" customWidth="1"/>
    <col min="7" max="7" width="28.69921875" customWidth="1"/>
    <col min="8" max="8" width="29.69921875" customWidth="1"/>
    <col min="9" max="9" width="20.69921875" customWidth="1"/>
    <col min="10" max="10" width="15.69921875" customWidth="1"/>
    <col min="11" max="11" width="12.69921875" customWidth="1"/>
    <col min="12" max="12" width="25.69921875" customWidth="1"/>
    <col min="13" max="13" width="16.69921875" customWidth="1"/>
    <col min="14" max="14" width="15.69921875" customWidth="1"/>
    <col min="15" max="15" width="12.69921875" customWidth="1"/>
    <col min="16" max="16" width="11.69921875" customWidth="1"/>
  </cols>
  <sheetData>
    <row r="1" spans="1:16" ht="28.05" customHeight="1">
      <c r="A1" s="1" t="s">
        <v>321</v>
      </c>
      <c r="B1" s="1" t="s">
        <v>322</v>
      </c>
      <c r="C1" s="1" t="s">
        <v>158</v>
      </c>
      <c r="D1" s="1" t="s">
        <v>323</v>
      </c>
      <c r="E1" s="1" t="s">
        <v>141</v>
      </c>
      <c r="F1" s="1" t="s">
        <v>324</v>
      </c>
      <c r="G1" s="1" t="s">
        <v>325</v>
      </c>
      <c r="H1" s="1" t="s">
        <v>326</v>
      </c>
      <c r="I1" s="1" t="s">
        <v>327</v>
      </c>
      <c r="J1" s="1" t="s">
        <v>328</v>
      </c>
      <c r="K1" s="1" t="s">
        <v>329</v>
      </c>
      <c r="L1" s="1" t="s">
        <v>330</v>
      </c>
      <c r="M1" s="1" t="s">
        <v>331</v>
      </c>
      <c r="N1" s="1" t="s">
        <v>159</v>
      </c>
      <c r="O1" s="1" t="s">
        <v>332</v>
      </c>
      <c r="P1" s="1" t="s">
        <v>333</v>
      </c>
    </row>
    <row r="2" spans="1:16" ht="96.6">
      <c r="A2" s="20" t="s">
        <v>334</v>
      </c>
      <c r="B2" s="20" t="s">
        <v>335</v>
      </c>
      <c r="C2" s="20" t="s">
        <v>170</v>
      </c>
      <c r="D2" s="20" t="s">
        <v>336</v>
      </c>
      <c r="E2" t="s">
        <v>162</v>
      </c>
      <c r="F2" s="28" t="s">
        <v>337</v>
      </c>
      <c r="G2" s="20" t="s">
        <v>338</v>
      </c>
      <c r="H2" s="25">
        <v>1</v>
      </c>
      <c r="I2" s="26">
        <v>1</v>
      </c>
      <c r="J2" s="27">
        <v>5.5999999999999999E-3</v>
      </c>
      <c r="K2" s="18">
        <v>2017</v>
      </c>
      <c r="L2">
        <v>0</v>
      </c>
      <c r="M2" t="s">
        <v>339</v>
      </c>
      <c r="N2" t="s">
        <v>264</v>
      </c>
      <c r="O2" s="21">
        <f t="shared" ref="O2:O8" si="0">IF(AND(J2&gt;=0,I2&lt;&gt;"",I2&gt;=0,I2&lt;=1,OR(G2="all",G2="prevalence",G2="incidence")),1,0)</f>
        <v>1</v>
      </c>
      <c r="P2" s="13" t="s">
        <v>340</v>
      </c>
    </row>
    <row r="3" spans="1:16" ht="96.6">
      <c r="A3" s="20" t="s">
        <v>341</v>
      </c>
      <c r="B3" s="20" t="s">
        <v>342</v>
      </c>
      <c r="C3" s="20" t="s">
        <v>188</v>
      </c>
      <c r="D3" s="20" t="s">
        <v>336</v>
      </c>
      <c r="E3" t="s">
        <v>185</v>
      </c>
      <c r="F3" s="28" t="s">
        <v>337</v>
      </c>
      <c r="G3" s="20" t="s">
        <v>338</v>
      </c>
      <c r="H3" s="25">
        <v>1</v>
      </c>
      <c r="I3" s="26">
        <v>1</v>
      </c>
      <c r="J3" s="27">
        <v>4.0000000000000001E-3</v>
      </c>
      <c r="K3" s="18">
        <v>2017</v>
      </c>
      <c r="L3">
        <v>0</v>
      </c>
      <c r="M3" t="s">
        <v>339</v>
      </c>
      <c r="N3" t="s">
        <v>264</v>
      </c>
      <c r="O3" s="21">
        <f t="shared" si="0"/>
        <v>1</v>
      </c>
      <c r="P3" s="13" t="s">
        <v>340</v>
      </c>
    </row>
    <row r="4" spans="1:16" ht="96.6">
      <c r="A4" s="20" t="s">
        <v>343</v>
      </c>
      <c r="B4" s="20" t="s">
        <v>344</v>
      </c>
      <c r="C4" s="20" t="s">
        <v>197</v>
      </c>
      <c r="D4" s="20" t="s">
        <v>336</v>
      </c>
      <c r="E4" t="s">
        <v>193</v>
      </c>
      <c r="F4" s="28" t="s">
        <v>337</v>
      </c>
      <c r="G4" s="20" t="s">
        <v>338</v>
      </c>
      <c r="H4" s="25">
        <v>1</v>
      </c>
      <c r="I4" s="26">
        <v>1</v>
      </c>
      <c r="J4" s="27">
        <v>3.5099999999999999E-2</v>
      </c>
      <c r="K4" s="18">
        <v>2017</v>
      </c>
      <c r="L4">
        <v>0</v>
      </c>
      <c r="M4" t="s">
        <v>339</v>
      </c>
      <c r="N4" t="s">
        <v>264</v>
      </c>
      <c r="O4" s="21">
        <f t="shared" si="0"/>
        <v>1</v>
      </c>
      <c r="P4" s="13" t="s">
        <v>340</v>
      </c>
    </row>
    <row r="5" spans="1:16" ht="345">
      <c r="A5" s="20" t="s">
        <v>345</v>
      </c>
      <c r="B5" s="20" t="s">
        <v>346</v>
      </c>
      <c r="C5" s="20" t="s">
        <v>207</v>
      </c>
      <c r="D5" s="20" t="s">
        <v>336</v>
      </c>
      <c r="E5" t="s">
        <v>201</v>
      </c>
      <c r="F5" s="28" t="s">
        <v>337</v>
      </c>
      <c r="G5" s="20" t="s">
        <v>338</v>
      </c>
      <c r="H5" s="25">
        <v>1</v>
      </c>
      <c r="I5" s="26">
        <v>1</v>
      </c>
      <c r="J5" s="27">
        <v>4.0000000000000001E-3</v>
      </c>
      <c r="K5" s="18">
        <v>2017</v>
      </c>
      <c r="L5">
        <v>0</v>
      </c>
      <c r="M5" t="s">
        <v>347</v>
      </c>
      <c r="N5" t="s">
        <v>264</v>
      </c>
      <c r="O5" s="21">
        <f t="shared" si="0"/>
        <v>1</v>
      </c>
      <c r="P5" s="13" t="s">
        <v>348</v>
      </c>
    </row>
    <row r="6" spans="1:16" ht="96.6">
      <c r="A6" s="20" t="s">
        <v>349</v>
      </c>
      <c r="B6" s="20" t="s">
        <v>350</v>
      </c>
      <c r="C6" s="20" t="s">
        <v>351</v>
      </c>
      <c r="D6" s="20" t="s">
        <v>336</v>
      </c>
      <c r="E6" t="s">
        <v>233</v>
      </c>
      <c r="F6" s="28" t="s">
        <v>337</v>
      </c>
      <c r="G6" s="20" t="s">
        <v>338</v>
      </c>
      <c r="H6" s="25">
        <v>1</v>
      </c>
      <c r="I6" s="26">
        <v>1</v>
      </c>
      <c r="J6" s="27">
        <v>8.6999999999999994E-3</v>
      </c>
      <c r="K6" s="18">
        <v>2017</v>
      </c>
      <c r="L6">
        <v>0</v>
      </c>
      <c r="M6" t="s">
        <v>339</v>
      </c>
      <c r="N6" t="s">
        <v>264</v>
      </c>
      <c r="O6" s="21">
        <f t="shared" si="0"/>
        <v>1</v>
      </c>
      <c r="P6" s="13" t="s">
        <v>340</v>
      </c>
    </row>
    <row r="7" spans="1:16" ht="96.6">
      <c r="A7" s="20" t="s">
        <v>352</v>
      </c>
      <c r="B7" s="20" t="s">
        <v>353</v>
      </c>
      <c r="C7" s="20" t="s">
        <v>218</v>
      </c>
      <c r="D7" s="20" t="s">
        <v>336</v>
      </c>
      <c r="E7" t="s">
        <v>212</v>
      </c>
      <c r="F7" s="28" t="s">
        <v>337</v>
      </c>
      <c r="G7" s="20" t="s">
        <v>338</v>
      </c>
      <c r="H7" s="25">
        <v>1</v>
      </c>
      <c r="I7" s="26">
        <v>1</v>
      </c>
      <c r="J7" s="27">
        <v>2.3099999999999999E-2</v>
      </c>
      <c r="K7" s="18">
        <v>2017</v>
      </c>
      <c r="L7">
        <v>0</v>
      </c>
      <c r="M7" t="s">
        <v>339</v>
      </c>
      <c r="N7" t="s">
        <v>264</v>
      </c>
      <c r="O7" s="21">
        <f t="shared" si="0"/>
        <v>1</v>
      </c>
      <c r="P7" s="13" t="s">
        <v>340</v>
      </c>
    </row>
    <row r="8" spans="1:16" ht="96.6">
      <c r="A8" s="20" t="s">
        <v>354</v>
      </c>
      <c r="B8" s="20" t="s">
        <v>355</v>
      </c>
      <c r="C8" s="20" t="s">
        <v>226</v>
      </c>
      <c r="D8" s="20" t="s">
        <v>336</v>
      </c>
      <c r="E8" t="s">
        <v>223</v>
      </c>
      <c r="F8" s="28" t="s">
        <v>337</v>
      </c>
      <c r="G8" s="20" t="s">
        <v>338</v>
      </c>
      <c r="H8" s="25">
        <v>1</v>
      </c>
      <c r="I8" s="26">
        <v>1</v>
      </c>
      <c r="J8" s="27">
        <v>4.0000000000000001E-3</v>
      </c>
      <c r="K8" s="18">
        <v>2017</v>
      </c>
      <c r="L8">
        <v>0</v>
      </c>
      <c r="M8" t="s">
        <v>339</v>
      </c>
      <c r="N8" t="s">
        <v>264</v>
      </c>
      <c r="O8" s="21">
        <f t="shared" si="0"/>
        <v>1</v>
      </c>
      <c r="P8" s="13" t="s">
        <v>340</v>
      </c>
    </row>
  </sheetData>
  <autoFilter ref="A1:P1" xr:uid="{00000000-0009-0000-0000-000007000000}"/>
  <conditionalFormatting sqref="L2:L8">
    <cfRule type="expression" dxfId="8" priority="1">
      <formula>L2=0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J1275"/>
  <sheetViews>
    <sheetView tabSelected="1" workbookViewId="0">
      <pane ySplit="1" topLeftCell="A390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5" width="11.69921875" customWidth="1"/>
    <col min="6" max="6" width="14.69921875" customWidth="1"/>
    <col min="7" max="7" width="12.69921875" customWidth="1"/>
    <col min="8" max="8" width="13.69921875" customWidth="1"/>
    <col min="9" max="9" width="16.69921875" customWidth="1"/>
    <col min="10" max="10" width="15.69921875" customWidth="1"/>
  </cols>
  <sheetData>
    <row r="1" spans="1:10" ht="28.05" customHeight="1">
      <c r="A1" s="1" t="s">
        <v>356</v>
      </c>
      <c r="B1" s="1" t="s">
        <v>357</v>
      </c>
      <c r="C1" s="1" t="s">
        <v>28</v>
      </c>
      <c r="D1" s="1" t="s">
        <v>358</v>
      </c>
      <c r="E1" s="1" t="s">
        <v>359</v>
      </c>
      <c r="F1" s="1" t="s">
        <v>360</v>
      </c>
      <c r="G1" s="1" t="s">
        <v>361</v>
      </c>
      <c r="H1" s="1" t="s">
        <v>362</v>
      </c>
      <c r="I1" s="1" t="s">
        <v>363</v>
      </c>
      <c r="J1" s="1" t="s">
        <v>364</v>
      </c>
    </row>
    <row r="2" spans="1:10" hidden="1">
      <c r="A2" t="s">
        <v>162</v>
      </c>
      <c r="B2" t="s">
        <v>164</v>
      </c>
      <c r="C2" s="18">
        <v>2025</v>
      </c>
      <c r="D2" t="s">
        <v>167</v>
      </c>
      <c r="E2" s="9">
        <v>12347.3896757033</v>
      </c>
      <c r="F2" s="9">
        <v>8975.3084972287597</v>
      </c>
      <c r="G2" s="9">
        <v>12347.3896757033</v>
      </c>
      <c r="H2" s="9">
        <v>8975.3084972287597</v>
      </c>
      <c r="I2" s="21">
        <f t="shared" ref="I2:I65" si="0">H2-F2</f>
        <v>0</v>
      </c>
      <c r="J2" s="21">
        <f t="shared" ref="J2:J65" si="1">G2-E2</f>
        <v>0</v>
      </c>
    </row>
    <row r="3" spans="1:10" hidden="1">
      <c r="A3" t="s">
        <v>162</v>
      </c>
      <c r="B3" t="s">
        <v>164</v>
      </c>
      <c r="C3" s="18">
        <v>2025</v>
      </c>
      <c r="D3" t="s">
        <v>206</v>
      </c>
      <c r="E3" s="9">
        <v>1026043.97207164</v>
      </c>
      <c r="F3" s="9">
        <v>129403.02283067199</v>
      </c>
      <c r="G3" s="9">
        <v>1026043.97207164</v>
      </c>
      <c r="H3" s="9">
        <v>129403.02283067199</v>
      </c>
      <c r="I3" s="21">
        <f t="shared" si="0"/>
        <v>0</v>
      </c>
      <c r="J3" s="21">
        <f t="shared" si="1"/>
        <v>0</v>
      </c>
    </row>
    <row r="4" spans="1:10" hidden="1">
      <c r="A4" t="s">
        <v>162</v>
      </c>
      <c r="B4" t="s">
        <v>164</v>
      </c>
      <c r="C4" s="18">
        <v>2025</v>
      </c>
      <c r="D4" t="s">
        <v>174</v>
      </c>
      <c r="E4" s="9">
        <v>91684.509014274605</v>
      </c>
      <c r="F4" s="9">
        <v>63318.751825202096</v>
      </c>
      <c r="G4" s="9">
        <v>91684.509014274605</v>
      </c>
      <c r="H4" s="9">
        <v>63318.751825202096</v>
      </c>
      <c r="I4" s="21">
        <f t="shared" si="0"/>
        <v>0</v>
      </c>
      <c r="J4" s="21">
        <f t="shared" si="1"/>
        <v>0</v>
      </c>
    </row>
    <row r="5" spans="1:10" hidden="1">
      <c r="A5" t="s">
        <v>162</v>
      </c>
      <c r="B5" t="s">
        <v>164</v>
      </c>
      <c r="C5" s="18">
        <v>2025</v>
      </c>
      <c r="D5" t="s">
        <v>178</v>
      </c>
      <c r="E5" s="9">
        <v>327817.99211152899</v>
      </c>
      <c r="F5" s="9">
        <v>300216.82861998002</v>
      </c>
      <c r="G5" s="9">
        <v>327817.99211152899</v>
      </c>
      <c r="H5" s="9">
        <v>300216.82861998002</v>
      </c>
      <c r="I5" s="21">
        <f t="shared" si="0"/>
        <v>0</v>
      </c>
      <c r="J5" s="21">
        <f t="shared" si="1"/>
        <v>0</v>
      </c>
    </row>
    <row r="6" spans="1:10" hidden="1">
      <c r="A6" t="s">
        <v>162</v>
      </c>
      <c r="B6" t="s">
        <v>164</v>
      </c>
      <c r="C6" s="18">
        <v>2025</v>
      </c>
      <c r="D6" t="s">
        <v>181</v>
      </c>
      <c r="E6" s="9">
        <v>563964.12892884796</v>
      </c>
      <c r="F6" s="9">
        <v>321188.16298793198</v>
      </c>
      <c r="G6" s="9">
        <v>563964.12892884796</v>
      </c>
      <c r="H6" s="9">
        <v>321188.16298793198</v>
      </c>
      <c r="I6" s="21">
        <f t="shared" si="0"/>
        <v>0</v>
      </c>
      <c r="J6" s="21">
        <f t="shared" si="1"/>
        <v>0</v>
      </c>
    </row>
    <row r="7" spans="1:10" hidden="1">
      <c r="A7" t="s">
        <v>162</v>
      </c>
      <c r="B7" t="s">
        <v>164</v>
      </c>
      <c r="C7" s="18">
        <v>2025</v>
      </c>
      <c r="D7" t="s">
        <v>184</v>
      </c>
      <c r="E7" s="9">
        <v>396205.91279756802</v>
      </c>
      <c r="F7" s="9">
        <v>191954.71357959701</v>
      </c>
      <c r="G7" s="9">
        <v>396205.91279756802</v>
      </c>
      <c r="H7" s="9">
        <v>191954.71357959701</v>
      </c>
      <c r="I7" s="21">
        <f t="shared" si="0"/>
        <v>0</v>
      </c>
      <c r="J7" s="21">
        <f t="shared" si="1"/>
        <v>0</v>
      </c>
    </row>
    <row r="8" spans="1:10" hidden="1">
      <c r="A8" t="s">
        <v>162</v>
      </c>
      <c r="B8" t="s">
        <v>164</v>
      </c>
      <c r="C8" s="18">
        <v>2025</v>
      </c>
      <c r="D8" t="s">
        <v>365</v>
      </c>
      <c r="E8" s="9">
        <v>44024.855784556101</v>
      </c>
      <c r="F8" s="9">
        <v>6961.0286695127397</v>
      </c>
      <c r="G8" s="9">
        <v>44024.855784556101</v>
      </c>
      <c r="H8" s="9">
        <v>6961.0286695127397</v>
      </c>
      <c r="I8" s="21">
        <f t="shared" si="0"/>
        <v>0</v>
      </c>
      <c r="J8" s="21">
        <f t="shared" si="1"/>
        <v>0</v>
      </c>
    </row>
    <row r="9" spans="1:10" hidden="1">
      <c r="A9" t="s">
        <v>162</v>
      </c>
      <c r="B9" t="s">
        <v>164</v>
      </c>
      <c r="C9" s="18">
        <v>2026</v>
      </c>
      <c r="D9" t="s">
        <v>167</v>
      </c>
      <c r="E9" s="9">
        <v>12812.507023005701</v>
      </c>
      <c r="F9" s="9">
        <v>9308.2642091095495</v>
      </c>
      <c r="G9" s="9">
        <v>12812.507871628</v>
      </c>
      <c r="H9" s="9">
        <v>9308.2642091095495</v>
      </c>
      <c r="I9" s="21">
        <f t="shared" si="0"/>
        <v>0</v>
      </c>
      <c r="J9" s="21">
        <f t="shared" si="1"/>
        <v>8.486222995998105E-4</v>
      </c>
    </row>
    <row r="10" spans="1:10" hidden="1">
      <c r="A10" t="s">
        <v>162</v>
      </c>
      <c r="B10" t="s">
        <v>164</v>
      </c>
      <c r="C10" s="18">
        <v>2026</v>
      </c>
      <c r="D10" t="s">
        <v>206</v>
      </c>
      <c r="E10" s="9">
        <v>1040956.74283153</v>
      </c>
      <c r="F10" s="9">
        <v>137191.89613692299</v>
      </c>
      <c r="G10" s="9">
        <v>1040956.74283153</v>
      </c>
      <c r="H10" s="9">
        <v>137191.89613692299</v>
      </c>
      <c r="I10" s="21">
        <f t="shared" si="0"/>
        <v>0</v>
      </c>
      <c r="J10" s="21">
        <f t="shared" si="1"/>
        <v>0</v>
      </c>
    </row>
    <row r="11" spans="1:10" hidden="1">
      <c r="A11" t="s">
        <v>162</v>
      </c>
      <c r="B11" t="s">
        <v>164</v>
      </c>
      <c r="C11" s="18">
        <v>2026</v>
      </c>
      <c r="D11" t="s">
        <v>174</v>
      </c>
      <c r="E11" s="9">
        <v>95077.166648059894</v>
      </c>
      <c r="F11" s="9">
        <v>65164.470413401701</v>
      </c>
      <c r="G11" s="9">
        <v>95077.183303526501</v>
      </c>
      <c r="H11" s="9">
        <v>65164.470413401701</v>
      </c>
      <c r="I11" s="21">
        <f t="shared" si="0"/>
        <v>0</v>
      </c>
      <c r="J11" s="21">
        <f t="shared" si="1"/>
        <v>1.6655466606607661E-2</v>
      </c>
    </row>
    <row r="12" spans="1:10" hidden="1">
      <c r="A12" t="s">
        <v>162</v>
      </c>
      <c r="B12" t="s">
        <v>164</v>
      </c>
      <c r="C12" s="18">
        <v>2026</v>
      </c>
      <c r="D12" t="s">
        <v>178</v>
      </c>
      <c r="E12" s="9">
        <v>336875.38807808998</v>
      </c>
      <c r="F12" s="9">
        <v>308606.943045308</v>
      </c>
      <c r="G12" s="9">
        <v>336875.42349560501</v>
      </c>
      <c r="H12" s="9">
        <v>308606.943045308</v>
      </c>
      <c r="I12" s="21">
        <f t="shared" si="0"/>
        <v>0</v>
      </c>
      <c r="J12" s="21">
        <f t="shared" si="1"/>
        <v>3.5417515027802438E-2</v>
      </c>
    </row>
    <row r="13" spans="1:10" hidden="1">
      <c r="A13" t="s">
        <v>162</v>
      </c>
      <c r="B13" t="s">
        <v>164</v>
      </c>
      <c r="C13" s="18">
        <v>2026</v>
      </c>
      <c r="D13" t="s">
        <v>181</v>
      </c>
      <c r="E13" s="9">
        <v>580111.51475825196</v>
      </c>
      <c r="F13" s="9">
        <v>332896.18576831103</v>
      </c>
      <c r="G13" s="9">
        <v>580111.54195764905</v>
      </c>
      <c r="H13" s="9">
        <v>332896.18576831103</v>
      </c>
      <c r="I13" s="21">
        <f t="shared" si="0"/>
        <v>0</v>
      </c>
      <c r="J13" s="21">
        <f t="shared" si="1"/>
        <v>2.7199397096410394E-2</v>
      </c>
    </row>
    <row r="14" spans="1:10" hidden="1">
      <c r="A14" t="s">
        <v>162</v>
      </c>
      <c r="B14" t="s">
        <v>164</v>
      </c>
      <c r="C14" s="18">
        <v>2026</v>
      </c>
      <c r="D14" t="s">
        <v>184</v>
      </c>
      <c r="E14" s="9">
        <v>409829.82976482803</v>
      </c>
      <c r="F14" s="9">
        <v>202008.19978323701</v>
      </c>
      <c r="G14" s="9">
        <v>409829.87281699001</v>
      </c>
      <c r="H14" s="9">
        <v>202008.19978323701</v>
      </c>
      <c r="I14" s="21">
        <f t="shared" si="0"/>
        <v>0</v>
      </c>
      <c r="J14" s="21">
        <f t="shared" si="1"/>
        <v>4.3052161985542625E-2</v>
      </c>
    </row>
    <row r="15" spans="1:10" hidden="1">
      <c r="A15" t="s">
        <v>162</v>
      </c>
      <c r="B15" t="s">
        <v>164</v>
      </c>
      <c r="C15" s="18">
        <v>2026</v>
      </c>
      <c r="D15" t="s">
        <v>365</v>
      </c>
      <c r="E15" s="9">
        <v>44219.170751765298</v>
      </c>
      <c r="F15" s="9">
        <v>7023.7712687228704</v>
      </c>
      <c r="G15" s="9">
        <v>44219.170751765298</v>
      </c>
      <c r="H15" s="9">
        <v>7023.7712687228704</v>
      </c>
      <c r="I15" s="21">
        <f t="shared" si="0"/>
        <v>0</v>
      </c>
      <c r="J15" s="21">
        <f t="shared" si="1"/>
        <v>0</v>
      </c>
    </row>
    <row r="16" spans="1:10" hidden="1">
      <c r="A16" t="s">
        <v>162</v>
      </c>
      <c r="B16" t="s">
        <v>164</v>
      </c>
      <c r="C16" s="18">
        <v>2027</v>
      </c>
      <c r="D16" t="s">
        <v>167</v>
      </c>
      <c r="E16" s="9">
        <v>13273.480010384799</v>
      </c>
      <c r="F16" s="9">
        <v>9640.7151681320702</v>
      </c>
      <c r="G16" s="9">
        <v>13273.481772584</v>
      </c>
      <c r="H16" s="9">
        <v>9640.7153077701696</v>
      </c>
      <c r="I16" s="21">
        <f t="shared" si="0"/>
        <v>1.3963809942652006E-4</v>
      </c>
      <c r="J16" s="21">
        <f t="shared" si="1"/>
        <v>1.7621992010390386E-3</v>
      </c>
    </row>
    <row r="17" spans="1:10" hidden="1">
      <c r="A17" t="s">
        <v>162</v>
      </c>
      <c r="B17" t="s">
        <v>164</v>
      </c>
      <c r="C17" s="18">
        <v>2027</v>
      </c>
      <c r="D17" t="s">
        <v>206</v>
      </c>
      <c r="E17" s="9">
        <v>1055255.40879996</v>
      </c>
      <c r="F17" s="9">
        <v>145087.13077641799</v>
      </c>
      <c r="G17" s="9">
        <v>1055255.40879996</v>
      </c>
      <c r="H17" s="9">
        <v>145087.13077641799</v>
      </c>
      <c r="I17" s="21">
        <f t="shared" si="0"/>
        <v>0</v>
      </c>
      <c r="J17" s="21">
        <f t="shared" si="1"/>
        <v>0</v>
      </c>
    </row>
    <row r="18" spans="1:10" hidden="1">
      <c r="A18" t="s">
        <v>162</v>
      </c>
      <c r="B18" t="s">
        <v>164</v>
      </c>
      <c r="C18" s="18">
        <v>2027</v>
      </c>
      <c r="D18" t="s">
        <v>174</v>
      </c>
      <c r="E18" s="9">
        <v>98448.793420092406</v>
      </c>
      <c r="F18" s="9">
        <v>67068.014083346599</v>
      </c>
      <c r="G18" s="9">
        <v>98448.827883966893</v>
      </c>
      <c r="H18" s="9">
        <v>67068.016908610196</v>
      </c>
      <c r="I18" s="21">
        <f t="shared" si="0"/>
        <v>2.8252635966055095E-3</v>
      </c>
      <c r="J18" s="21">
        <f t="shared" si="1"/>
        <v>3.4463874486391433E-2</v>
      </c>
    </row>
    <row r="19" spans="1:10" hidden="1">
      <c r="A19" t="s">
        <v>162</v>
      </c>
      <c r="B19" t="s">
        <v>164</v>
      </c>
      <c r="C19" s="18">
        <v>2027</v>
      </c>
      <c r="D19" t="s">
        <v>178</v>
      </c>
      <c r="E19" s="9">
        <v>345936.63407860702</v>
      </c>
      <c r="F19" s="9">
        <v>317119.53794985398</v>
      </c>
      <c r="G19" s="9">
        <v>345936.70671640302</v>
      </c>
      <c r="H19" s="9">
        <v>317119.55355255498</v>
      </c>
      <c r="I19" s="21">
        <f t="shared" si="0"/>
        <v>1.5602700994350016E-2</v>
      </c>
      <c r="J19" s="21">
        <f t="shared" si="1"/>
        <v>7.2637795994523913E-2</v>
      </c>
    </row>
    <row r="20" spans="1:10" hidden="1">
      <c r="A20" t="s">
        <v>162</v>
      </c>
      <c r="B20" t="s">
        <v>164</v>
      </c>
      <c r="C20" s="18">
        <v>2027</v>
      </c>
      <c r="D20" t="s">
        <v>181</v>
      </c>
      <c r="E20" s="9">
        <v>596148.77661824599</v>
      </c>
      <c r="F20" s="9">
        <v>344517.27290383598</v>
      </c>
      <c r="G20" s="9">
        <v>596148.83233467594</v>
      </c>
      <c r="H20" s="9">
        <v>344517.274659827</v>
      </c>
      <c r="I20" s="21">
        <f t="shared" si="0"/>
        <v>1.755991019308567E-3</v>
      </c>
      <c r="J20" s="21">
        <f t="shared" si="1"/>
        <v>5.5716429953463376E-2</v>
      </c>
    </row>
    <row r="21" spans="1:10" hidden="1">
      <c r="A21" t="s">
        <v>162</v>
      </c>
      <c r="B21" t="s">
        <v>164</v>
      </c>
      <c r="C21" s="18">
        <v>2027</v>
      </c>
      <c r="D21" t="s">
        <v>184</v>
      </c>
      <c r="E21" s="9">
        <v>423485.012647108</v>
      </c>
      <c r="F21" s="9">
        <v>211995.48470274999</v>
      </c>
      <c r="G21" s="9">
        <v>423485.10132199898</v>
      </c>
      <c r="H21" s="9">
        <v>211995.48802417101</v>
      </c>
      <c r="I21" s="21">
        <f t="shared" si="0"/>
        <v>3.3214210125152022E-3</v>
      </c>
      <c r="J21" s="21">
        <f t="shared" si="1"/>
        <v>8.8674890983384103E-2</v>
      </c>
    </row>
    <row r="22" spans="1:10" hidden="1">
      <c r="A22" t="s">
        <v>162</v>
      </c>
      <c r="B22" t="s">
        <v>164</v>
      </c>
      <c r="C22" s="18">
        <v>2027</v>
      </c>
      <c r="D22" t="s">
        <v>365</v>
      </c>
      <c r="E22" s="9">
        <v>44384.2018393689</v>
      </c>
      <c r="F22" s="9">
        <v>7080.0570056816796</v>
      </c>
      <c r="G22" s="9">
        <v>44384.2018393689</v>
      </c>
      <c r="H22" s="9">
        <v>7080.0570056816796</v>
      </c>
      <c r="I22" s="21">
        <f t="shared" si="0"/>
        <v>0</v>
      </c>
      <c r="J22" s="21">
        <f t="shared" si="1"/>
        <v>0</v>
      </c>
    </row>
    <row r="23" spans="1:10" hidden="1">
      <c r="A23" t="s">
        <v>162</v>
      </c>
      <c r="B23" t="s">
        <v>164</v>
      </c>
      <c r="C23" s="18">
        <v>2028</v>
      </c>
      <c r="D23" t="s">
        <v>167</v>
      </c>
      <c r="E23" s="9">
        <v>13729.497768117801</v>
      </c>
      <c r="F23" s="9">
        <v>9971.4543248189402</v>
      </c>
      <c r="G23" s="9">
        <v>13729.5005000864</v>
      </c>
      <c r="H23" s="9">
        <v>9971.4547216338906</v>
      </c>
      <c r="I23" s="21">
        <f t="shared" si="0"/>
        <v>3.9681495036347769E-4</v>
      </c>
      <c r="J23" s="21">
        <f t="shared" si="1"/>
        <v>2.7319685996189946E-3</v>
      </c>
    </row>
    <row r="24" spans="1:10" hidden="1">
      <c r="A24" t="s">
        <v>162</v>
      </c>
      <c r="B24" t="s">
        <v>164</v>
      </c>
      <c r="C24" s="18">
        <v>2028</v>
      </c>
      <c r="D24" t="s">
        <v>206</v>
      </c>
      <c r="E24" s="9">
        <v>1069005.0710744299</v>
      </c>
      <c r="F24" s="9">
        <v>153077.86738724401</v>
      </c>
      <c r="G24" s="9">
        <v>1069005.07088018</v>
      </c>
      <c r="H24" s="9">
        <v>153077.86738724401</v>
      </c>
      <c r="I24" s="21">
        <f t="shared" si="0"/>
        <v>0</v>
      </c>
      <c r="J24" s="21">
        <f t="shared" si="1"/>
        <v>-1.9424990750849247E-4</v>
      </c>
    </row>
    <row r="25" spans="1:10" hidden="1">
      <c r="A25" t="s">
        <v>162</v>
      </c>
      <c r="B25" t="s">
        <v>164</v>
      </c>
      <c r="C25" s="18">
        <v>2028</v>
      </c>
      <c r="D25" t="s">
        <v>174</v>
      </c>
      <c r="E25" s="9">
        <v>101797.91424678</v>
      </c>
      <c r="F25" s="9">
        <v>69019.925160900893</v>
      </c>
      <c r="G25" s="9">
        <v>101797.96761407</v>
      </c>
      <c r="H25" s="9">
        <v>69019.933123164999</v>
      </c>
      <c r="I25" s="21">
        <f t="shared" si="0"/>
        <v>7.9622641060268506E-3</v>
      </c>
      <c r="J25" s="21">
        <f t="shared" si="1"/>
        <v>5.3367290005553514E-2</v>
      </c>
    </row>
    <row r="26" spans="1:10" hidden="1">
      <c r="A26" t="s">
        <v>162</v>
      </c>
      <c r="B26" t="s">
        <v>164</v>
      </c>
      <c r="C26" s="18">
        <v>2028</v>
      </c>
      <c r="D26" t="s">
        <v>178</v>
      </c>
      <c r="E26" s="9">
        <v>354965.42422020697</v>
      </c>
      <c r="F26" s="9">
        <v>325690.64444048097</v>
      </c>
      <c r="G26" s="9">
        <v>354965.53581913299</v>
      </c>
      <c r="H26" s="9">
        <v>325690.68301689299</v>
      </c>
      <c r="I26" s="21">
        <f t="shared" si="0"/>
        <v>3.8576412014663219E-2</v>
      </c>
      <c r="J26" s="21">
        <f t="shared" si="1"/>
        <v>0.11159892601426691</v>
      </c>
    </row>
    <row r="27" spans="1:10" hidden="1">
      <c r="A27" t="s">
        <v>162</v>
      </c>
      <c r="B27" t="s">
        <v>164</v>
      </c>
      <c r="C27" s="18">
        <v>2028</v>
      </c>
      <c r="D27" t="s">
        <v>181</v>
      </c>
      <c r="E27" s="9">
        <v>612031.57414101297</v>
      </c>
      <c r="F27" s="9">
        <v>356073.56620743498</v>
      </c>
      <c r="G27" s="9">
        <v>612031.65944475099</v>
      </c>
      <c r="H27" s="9">
        <v>356073.57143805898</v>
      </c>
      <c r="I27" s="21">
        <f t="shared" si="0"/>
        <v>5.230623995885253E-3</v>
      </c>
      <c r="J27" s="21">
        <f t="shared" si="1"/>
        <v>8.5303738014772534E-2</v>
      </c>
    </row>
    <row r="28" spans="1:10" hidden="1">
      <c r="A28" t="s">
        <v>162</v>
      </c>
      <c r="B28" t="s">
        <v>164</v>
      </c>
      <c r="C28" s="18">
        <v>2028</v>
      </c>
      <c r="D28" t="s">
        <v>184</v>
      </c>
      <c r="E28" s="9">
        <v>437159.61851155199</v>
      </c>
      <c r="F28" s="9">
        <v>221908.94896068299</v>
      </c>
      <c r="G28" s="9">
        <v>437159.75519195799</v>
      </c>
      <c r="H28" s="9">
        <v>221908.95856330299</v>
      </c>
      <c r="I28" s="21">
        <f t="shared" si="0"/>
        <v>9.6026200044434518E-3</v>
      </c>
      <c r="J28" s="21">
        <f t="shared" si="1"/>
        <v>0.13668040599441156</v>
      </c>
    </row>
    <row r="29" spans="1:10" hidden="1">
      <c r="A29" t="s">
        <v>162</v>
      </c>
      <c r="B29" t="s">
        <v>164</v>
      </c>
      <c r="C29" s="18">
        <v>2028</v>
      </c>
      <c r="D29" t="s">
        <v>365</v>
      </c>
      <c r="E29" s="9">
        <v>44510.064963992998</v>
      </c>
      <c r="F29" s="9">
        <v>7131.0701635649802</v>
      </c>
      <c r="G29" s="9">
        <v>44510.064962992903</v>
      </c>
      <c r="H29" s="9">
        <v>7131.0701635649802</v>
      </c>
      <c r="I29" s="21">
        <f t="shared" si="0"/>
        <v>0</v>
      </c>
      <c r="J29" s="21">
        <f t="shared" si="1"/>
        <v>-1.0000949259847403E-6</v>
      </c>
    </row>
    <row r="30" spans="1:10" hidden="1">
      <c r="A30" t="s">
        <v>162</v>
      </c>
      <c r="B30" t="s">
        <v>164</v>
      </c>
      <c r="C30" s="18">
        <v>2029</v>
      </c>
      <c r="D30" t="s">
        <v>167</v>
      </c>
      <c r="E30" s="9">
        <v>14181.419885172099</v>
      </c>
      <c r="F30" s="9">
        <v>10301.228824780899</v>
      </c>
      <c r="G30" s="9">
        <v>14181.423637546701</v>
      </c>
      <c r="H30" s="9">
        <v>10301.2295792609</v>
      </c>
      <c r="I30" s="21">
        <f t="shared" si="0"/>
        <v>7.5448000097821932E-4</v>
      </c>
      <c r="J30" s="21">
        <f t="shared" si="1"/>
        <v>3.7523746013903292E-3</v>
      </c>
    </row>
    <row r="31" spans="1:10" hidden="1">
      <c r="A31" t="s">
        <v>162</v>
      </c>
      <c r="B31" t="s">
        <v>164</v>
      </c>
      <c r="C31" s="18">
        <v>2029</v>
      </c>
      <c r="D31" t="s">
        <v>206</v>
      </c>
      <c r="E31" s="9">
        <v>1082252.3949253401</v>
      </c>
      <c r="F31" s="9">
        <v>161161.06213596999</v>
      </c>
      <c r="G31" s="9">
        <v>1082252.3942307399</v>
      </c>
      <c r="H31" s="9">
        <v>161161.06213209301</v>
      </c>
      <c r="I31" s="21">
        <f t="shared" si="0"/>
        <v>-3.8769794628024101E-6</v>
      </c>
      <c r="J31" s="21">
        <f t="shared" si="1"/>
        <v>-6.9460016675293446E-4</v>
      </c>
    </row>
    <row r="32" spans="1:10" hidden="1">
      <c r="A32" t="s">
        <v>162</v>
      </c>
      <c r="B32" t="s">
        <v>164</v>
      </c>
      <c r="C32" s="18">
        <v>2029</v>
      </c>
      <c r="D32" t="s">
        <v>174</v>
      </c>
      <c r="E32" s="9">
        <v>105114.62002598299</v>
      </c>
      <c r="F32" s="9">
        <v>71042.039390063597</v>
      </c>
      <c r="G32" s="9">
        <v>105114.693344183</v>
      </c>
      <c r="H32" s="9">
        <v>71042.054429439493</v>
      </c>
      <c r="I32" s="21">
        <f t="shared" si="0"/>
        <v>1.5039375895867124E-2</v>
      </c>
      <c r="J32" s="21">
        <f t="shared" si="1"/>
        <v>7.3318200011271983E-2</v>
      </c>
    </row>
    <row r="33" spans="1:10" hidden="1">
      <c r="A33" t="s">
        <v>162</v>
      </c>
      <c r="B33" t="s">
        <v>164</v>
      </c>
      <c r="C33" s="18">
        <v>2029</v>
      </c>
      <c r="D33" t="s">
        <v>178</v>
      </c>
      <c r="E33" s="9">
        <v>363896.05203129601</v>
      </c>
      <c r="F33" s="9">
        <v>334292.61068914097</v>
      </c>
      <c r="G33" s="9">
        <v>363896.20424716797</v>
      </c>
      <c r="H33" s="9">
        <v>334292.677138926</v>
      </c>
      <c r="I33" s="21">
        <f t="shared" si="0"/>
        <v>6.6449785022996366E-2</v>
      </c>
      <c r="J33" s="21">
        <f t="shared" si="1"/>
        <v>0.1522158719599247</v>
      </c>
    </row>
    <row r="34" spans="1:10" hidden="1">
      <c r="A34" t="s">
        <v>162</v>
      </c>
      <c r="B34" t="s">
        <v>164</v>
      </c>
      <c r="C34" s="18">
        <v>2029</v>
      </c>
      <c r="D34" t="s">
        <v>181</v>
      </c>
      <c r="E34" s="9">
        <v>627726.22110102396</v>
      </c>
      <c r="F34" s="9">
        <v>367575.21238457999</v>
      </c>
      <c r="G34" s="9">
        <v>627726.33689879405</v>
      </c>
      <c r="H34" s="9">
        <v>367575.22274735</v>
      </c>
      <c r="I34" s="21">
        <f t="shared" si="0"/>
        <v>1.0362770000938326E-2</v>
      </c>
      <c r="J34" s="21">
        <f t="shared" si="1"/>
        <v>0.11579777009319514</v>
      </c>
    </row>
    <row r="35" spans="1:10" hidden="1">
      <c r="A35" t="s">
        <v>162</v>
      </c>
      <c r="B35" t="s">
        <v>164</v>
      </c>
      <c r="C35" s="18">
        <v>2029</v>
      </c>
      <c r="D35" t="s">
        <v>184</v>
      </c>
      <c r="E35" s="9">
        <v>450785.94707689201</v>
      </c>
      <c r="F35" s="9">
        <v>231708.00024251701</v>
      </c>
      <c r="G35" s="9">
        <v>450786.13401356898</v>
      </c>
      <c r="H35" s="9">
        <v>231708.01887569</v>
      </c>
      <c r="I35" s="21">
        <f t="shared" si="0"/>
        <v>1.8633172992849723E-2</v>
      </c>
      <c r="J35" s="21">
        <f t="shared" si="1"/>
        <v>0.18693667696788907</v>
      </c>
    </row>
    <row r="36" spans="1:10" hidden="1">
      <c r="A36" t="s">
        <v>162</v>
      </c>
      <c r="B36" t="s">
        <v>164</v>
      </c>
      <c r="C36" s="18">
        <v>2029</v>
      </c>
      <c r="D36" t="s">
        <v>365</v>
      </c>
      <c r="E36" s="9">
        <v>44600.261447197197</v>
      </c>
      <c r="F36" s="9">
        <v>7178.2193159869003</v>
      </c>
      <c r="G36" s="9">
        <v>44600.261443595497</v>
      </c>
      <c r="H36" s="9">
        <v>7178.2193159725202</v>
      </c>
      <c r="I36" s="21">
        <f t="shared" si="0"/>
        <v>-1.4380020729731768E-8</v>
      </c>
      <c r="J36" s="21">
        <f t="shared" si="1"/>
        <v>-3.6017008824273944E-6</v>
      </c>
    </row>
    <row r="37" spans="1:10" hidden="1">
      <c r="A37" t="s">
        <v>162</v>
      </c>
      <c r="B37" t="s">
        <v>164</v>
      </c>
      <c r="C37" s="18">
        <v>2030</v>
      </c>
      <c r="D37" t="s">
        <v>167</v>
      </c>
      <c r="E37" s="9">
        <v>14630.9215385934</v>
      </c>
      <c r="F37" s="9">
        <v>10630.2690687301</v>
      </c>
      <c r="G37" s="9">
        <v>14630.9263575645</v>
      </c>
      <c r="H37" s="9">
        <v>10630.2702680602</v>
      </c>
      <c r="I37" s="21">
        <f t="shared" si="0"/>
        <v>1.1993300995527534E-3</v>
      </c>
      <c r="J37" s="21">
        <f t="shared" si="1"/>
        <v>4.818971099666669E-3</v>
      </c>
    </row>
    <row r="38" spans="1:10" hidden="1">
      <c r="A38" t="s">
        <v>162</v>
      </c>
      <c r="B38" t="s">
        <v>164</v>
      </c>
      <c r="C38" s="18">
        <v>2030</v>
      </c>
      <c r="D38" t="s">
        <v>206</v>
      </c>
      <c r="E38" s="9">
        <v>1094956.8460323601</v>
      </c>
      <c r="F38" s="9">
        <v>169314.834055646</v>
      </c>
      <c r="G38" s="9">
        <v>1094956.8444496701</v>
      </c>
      <c r="H38" s="9">
        <v>169314.83403803801</v>
      </c>
      <c r="I38" s="21">
        <f t="shared" si="0"/>
        <v>-1.7607992049306631E-5</v>
      </c>
      <c r="J38" s="21">
        <f t="shared" si="1"/>
        <v>-1.5826900489628315E-3</v>
      </c>
    </row>
    <row r="39" spans="1:10" hidden="1">
      <c r="A39" t="s">
        <v>162</v>
      </c>
      <c r="B39" t="s">
        <v>164</v>
      </c>
      <c r="C39" s="18">
        <v>2030</v>
      </c>
      <c r="D39" t="s">
        <v>174</v>
      </c>
      <c r="E39" s="9">
        <v>108393.679494697</v>
      </c>
      <c r="F39" s="9">
        <v>73120.777325378003</v>
      </c>
      <c r="G39" s="9">
        <v>108393.77376611999</v>
      </c>
      <c r="H39" s="9">
        <v>73120.8011068864</v>
      </c>
      <c r="I39" s="21">
        <f t="shared" si="0"/>
        <v>2.3781508396496065E-2</v>
      </c>
      <c r="J39" s="21">
        <f t="shared" si="1"/>
        <v>9.4271422989550047E-2</v>
      </c>
    </row>
    <row r="40" spans="1:10" hidden="1">
      <c r="A40" t="s">
        <v>162</v>
      </c>
      <c r="B40" t="s">
        <v>164</v>
      </c>
      <c r="C40" s="18">
        <v>2030</v>
      </c>
      <c r="D40" t="s">
        <v>178</v>
      </c>
      <c r="E40" s="9">
        <v>372741.60103993298</v>
      </c>
      <c r="F40" s="9">
        <v>342889.53738173097</v>
      </c>
      <c r="G40" s="9">
        <v>372741.79546126397</v>
      </c>
      <c r="H40" s="9">
        <v>342889.63536639401</v>
      </c>
      <c r="I40" s="21">
        <f t="shared" si="0"/>
        <v>9.7984663036186248E-2</v>
      </c>
      <c r="J40" s="21">
        <f t="shared" si="1"/>
        <v>0.19442133099073544</v>
      </c>
    </row>
    <row r="41" spans="1:10" hidden="1">
      <c r="A41" t="s">
        <v>162</v>
      </c>
      <c r="B41" t="s">
        <v>164</v>
      </c>
      <c r="C41" s="18">
        <v>2030</v>
      </c>
      <c r="D41" t="s">
        <v>181</v>
      </c>
      <c r="E41" s="9">
        <v>643154.06425759196</v>
      </c>
      <c r="F41" s="9">
        <v>378940.21419149399</v>
      </c>
      <c r="G41" s="9">
        <v>643154.21130562795</v>
      </c>
      <c r="H41" s="9">
        <v>378940.23126744502</v>
      </c>
      <c r="I41" s="21">
        <f t="shared" si="0"/>
        <v>1.7075951036531478E-2</v>
      </c>
      <c r="J41" s="21">
        <f t="shared" si="1"/>
        <v>0.14704803598579019</v>
      </c>
    </row>
    <row r="42" spans="1:10" hidden="1">
      <c r="A42" t="s">
        <v>162</v>
      </c>
      <c r="B42" t="s">
        <v>164</v>
      </c>
      <c r="C42" s="18">
        <v>2030</v>
      </c>
      <c r="D42" t="s">
        <v>184</v>
      </c>
      <c r="E42" s="9">
        <v>464360.278767429</v>
      </c>
      <c r="F42" s="9">
        <v>241310.27966154701</v>
      </c>
      <c r="G42" s="9">
        <v>464360.51810377202</v>
      </c>
      <c r="H42" s="9">
        <v>241310.309903655</v>
      </c>
      <c r="I42" s="21">
        <f t="shared" si="0"/>
        <v>3.0242107983212918E-2</v>
      </c>
      <c r="J42" s="21">
        <f t="shared" si="1"/>
        <v>0.23933634301647544</v>
      </c>
    </row>
    <row r="43" spans="1:10" hidden="1">
      <c r="A43" t="s">
        <v>162</v>
      </c>
      <c r="B43" t="s">
        <v>164</v>
      </c>
      <c r="C43" s="18">
        <v>2030</v>
      </c>
      <c r="D43" t="s">
        <v>365</v>
      </c>
      <c r="E43" s="9">
        <v>44647.268923553303</v>
      </c>
      <c r="F43" s="9">
        <v>7223.1103148065204</v>
      </c>
      <c r="G43" s="9">
        <v>44647.268915282999</v>
      </c>
      <c r="H43" s="9">
        <v>7223.1103147423601</v>
      </c>
      <c r="I43" s="21">
        <f t="shared" si="0"/>
        <v>-6.4160303736571223E-8</v>
      </c>
      <c r="J43" s="21">
        <f t="shared" si="1"/>
        <v>-8.2703045336529613E-6</v>
      </c>
    </row>
    <row r="44" spans="1:10" hidden="1">
      <c r="A44" t="s">
        <v>162</v>
      </c>
      <c r="B44" t="s">
        <v>164</v>
      </c>
      <c r="C44" s="18">
        <v>2031</v>
      </c>
      <c r="D44" t="s">
        <v>167</v>
      </c>
      <c r="E44" s="9">
        <v>15080.3776311077</v>
      </c>
      <c r="F44" s="9">
        <v>10955.423812994801</v>
      </c>
      <c r="G44" s="9">
        <v>15080.3825495532</v>
      </c>
      <c r="H44" s="9">
        <v>10955.4255331558</v>
      </c>
      <c r="I44" s="21">
        <f t="shared" si="0"/>
        <v>1.7201609989569988E-3</v>
      </c>
      <c r="J44" s="21">
        <f t="shared" si="1"/>
        <v>4.918445500152302E-3</v>
      </c>
    </row>
    <row r="45" spans="1:10" hidden="1">
      <c r="A45" t="s">
        <v>162</v>
      </c>
      <c r="B45" t="s">
        <v>164</v>
      </c>
      <c r="C45" s="18">
        <v>2031</v>
      </c>
      <c r="D45" t="s">
        <v>206</v>
      </c>
      <c r="E45" s="9">
        <v>1107027.69455132</v>
      </c>
      <c r="F45" s="9">
        <v>177510.90624530299</v>
      </c>
      <c r="G45" s="9">
        <v>1107027.6916289399</v>
      </c>
      <c r="H45" s="9">
        <v>177510.90619666901</v>
      </c>
      <c r="I45" s="21">
        <f t="shared" si="0"/>
        <v>-4.8633984988555312E-5</v>
      </c>
      <c r="J45" s="21">
        <f t="shared" si="1"/>
        <v>-2.9223801102489233E-3</v>
      </c>
    </row>
    <row r="46" spans="1:10" hidden="1">
      <c r="A46" t="s">
        <v>162</v>
      </c>
      <c r="B46" t="s">
        <v>164</v>
      </c>
      <c r="C46" s="18">
        <v>2031</v>
      </c>
      <c r="D46" t="s">
        <v>174</v>
      </c>
      <c r="E46" s="9">
        <v>111632.850930648</v>
      </c>
      <c r="F46" s="9">
        <v>75230.185684778597</v>
      </c>
      <c r="G46" s="9">
        <v>111632.94755435199</v>
      </c>
      <c r="H46" s="9">
        <v>75230.219664338001</v>
      </c>
      <c r="I46" s="21">
        <f t="shared" si="0"/>
        <v>3.397955940454267E-2</v>
      </c>
      <c r="J46" s="21">
        <f t="shared" si="1"/>
        <v>9.6623703997465782E-2</v>
      </c>
    </row>
    <row r="47" spans="1:10" hidden="1">
      <c r="A47" t="s">
        <v>162</v>
      </c>
      <c r="B47" t="s">
        <v>164</v>
      </c>
      <c r="C47" s="18">
        <v>2031</v>
      </c>
      <c r="D47" t="s">
        <v>178</v>
      </c>
      <c r="E47" s="9">
        <v>381470.06884624198</v>
      </c>
      <c r="F47" s="9">
        <v>351432.38620809303</v>
      </c>
      <c r="G47" s="9">
        <v>381470.26678102103</v>
      </c>
      <c r="H47" s="9">
        <v>351432.51867295097</v>
      </c>
      <c r="I47" s="21">
        <f t="shared" si="0"/>
        <v>0.13246485794661567</v>
      </c>
      <c r="J47" s="21">
        <f t="shared" si="1"/>
        <v>0.19793477904750034</v>
      </c>
    </row>
    <row r="48" spans="1:10" hidden="1">
      <c r="A48" t="s">
        <v>162</v>
      </c>
      <c r="B48" t="s">
        <v>164</v>
      </c>
      <c r="C48" s="18">
        <v>2031</v>
      </c>
      <c r="D48" t="s">
        <v>181</v>
      </c>
      <c r="E48" s="9">
        <v>658282.00124493102</v>
      </c>
      <c r="F48" s="9">
        <v>390180.97773520497</v>
      </c>
      <c r="G48" s="9">
        <v>658282.14926881401</v>
      </c>
      <c r="H48" s="9">
        <v>390181.00302030199</v>
      </c>
      <c r="I48" s="21">
        <f t="shared" si="0"/>
        <v>2.5285097013693303E-2</v>
      </c>
      <c r="J48" s="21">
        <f t="shared" si="1"/>
        <v>0.14802388299722224</v>
      </c>
    </row>
    <row r="49" spans="1:10" hidden="1">
      <c r="A49" t="s">
        <v>162</v>
      </c>
      <c r="B49" t="s">
        <v>164</v>
      </c>
      <c r="C49" s="18">
        <v>2031</v>
      </c>
      <c r="D49" t="s">
        <v>184</v>
      </c>
      <c r="E49" s="9">
        <v>477777.90264961001</v>
      </c>
      <c r="F49" s="9">
        <v>250815.73837282899</v>
      </c>
      <c r="G49" s="9">
        <v>477778.14604748198</v>
      </c>
      <c r="H49" s="9">
        <v>250815.78266259201</v>
      </c>
      <c r="I49" s="21">
        <f t="shared" si="0"/>
        <v>4.4289763027336448E-2</v>
      </c>
      <c r="J49" s="21">
        <f t="shared" si="1"/>
        <v>0.24339787196367979</v>
      </c>
    </row>
    <row r="50" spans="1:10" hidden="1">
      <c r="A50" t="s">
        <v>162</v>
      </c>
      <c r="B50" t="s">
        <v>164</v>
      </c>
      <c r="C50" s="18">
        <v>2031</v>
      </c>
      <c r="D50" t="s">
        <v>365</v>
      </c>
      <c r="E50" s="9">
        <v>44640.347310867299</v>
      </c>
      <c r="F50" s="9">
        <v>7266.7660003814899</v>
      </c>
      <c r="G50" s="9">
        <v>44640.347295477797</v>
      </c>
      <c r="H50" s="9">
        <v>7266.7660002075399</v>
      </c>
      <c r="I50" s="21">
        <f t="shared" si="0"/>
        <v>-1.7394995666109025E-7</v>
      </c>
      <c r="J50" s="21">
        <f t="shared" si="1"/>
        <v>-1.5389501641038805E-5</v>
      </c>
    </row>
    <row r="51" spans="1:10" hidden="1">
      <c r="A51" t="s">
        <v>162</v>
      </c>
      <c r="B51" t="s">
        <v>164</v>
      </c>
      <c r="C51" s="18">
        <v>2032</v>
      </c>
      <c r="D51" t="s">
        <v>167</v>
      </c>
      <c r="E51" s="9">
        <v>15531.2552012583</v>
      </c>
      <c r="F51" s="9">
        <v>11274.493311952099</v>
      </c>
      <c r="G51" s="9">
        <v>15531.2601955666</v>
      </c>
      <c r="H51" s="9">
        <v>11274.495449735199</v>
      </c>
      <c r="I51" s="21">
        <f t="shared" si="0"/>
        <v>2.1377830998972058E-3</v>
      </c>
      <c r="J51" s="21">
        <f t="shared" si="1"/>
        <v>4.9943082995014265E-3</v>
      </c>
    </row>
    <row r="52" spans="1:10" hidden="1">
      <c r="A52" t="s">
        <v>162</v>
      </c>
      <c r="B52" t="s">
        <v>164</v>
      </c>
      <c r="C52" s="18">
        <v>2032</v>
      </c>
      <c r="D52" t="s">
        <v>206</v>
      </c>
      <c r="E52" s="9">
        <v>1118477.3322643901</v>
      </c>
      <c r="F52" s="9">
        <v>185725.99916408799</v>
      </c>
      <c r="G52" s="9">
        <v>1118477.3274982399</v>
      </c>
      <c r="H52" s="9">
        <v>185725.99905880101</v>
      </c>
      <c r="I52" s="21">
        <f t="shared" si="0"/>
        <v>-1.0528697748668492E-4</v>
      </c>
      <c r="J52" s="21">
        <f t="shared" si="1"/>
        <v>-4.7661501448601484E-3</v>
      </c>
    </row>
    <row r="53" spans="1:10" hidden="1">
      <c r="A53" t="s">
        <v>162</v>
      </c>
      <c r="B53" t="s">
        <v>164</v>
      </c>
      <c r="C53" s="18">
        <v>2032</v>
      </c>
      <c r="D53" t="s">
        <v>174</v>
      </c>
      <c r="E53" s="9">
        <v>114835.122985953</v>
      </c>
      <c r="F53" s="9">
        <v>77353.018833051203</v>
      </c>
      <c r="G53" s="9">
        <v>114835.221802653</v>
      </c>
      <c r="H53" s="9">
        <v>77353.061023932896</v>
      </c>
      <c r="I53" s="21">
        <f t="shared" si="0"/>
        <v>4.2190881693386473E-2</v>
      </c>
      <c r="J53" s="21">
        <f t="shared" si="1"/>
        <v>9.8816700003226288E-2</v>
      </c>
    </row>
    <row r="54" spans="1:10" hidden="1">
      <c r="A54" t="s">
        <v>162</v>
      </c>
      <c r="B54" t="s">
        <v>164</v>
      </c>
      <c r="C54" s="18">
        <v>2032</v>
      </c>
      <c r="D54" t="s">
        <v>178</v>
      </c>
      <c r="E54" s="9">
        <v>389998.17553345999</v>
      </c>
      <c r="F54" s="9">
        <v>359834.395769372</v>
      </c>
      <c r="G54" s="9">
        <v>389998.37668875401</v>
      </c>
      <c r="H54" s="9">
        <v>359834.54685286601</v>
      </c>
      <c r="I54" s="21">
        <f t="shared" si="0"/>
        <v>0.15108349401270971</v>
      </c>
      <c r="J54" s="21">
        <f t="shared" si="1"/>
        <v>0.20115529402391985</v>
      </c>
    </row>
    <row r="55" spans="1:10" hidden="1">
      <c r="A55" t="s">
        <v>162</v>
      </c>
      <c r="B55" t="s">
        <v>164</v>
      </c>
      <c r="C55" s="18">
        <v>2032</v>
      </c>
      <c r="D55" t="s">
        <v>181</v>
      </c>
      <c r="E55" s="9">
        <v>673133.73990129202</v>
      </c>
      <c r="F55" s="9">
        <v>401318.25339464599</v>
      </c>
      <c r="G55" s="9">
        <v>673133.88827326603</v>
      </c>
      <c r="H55" s="9">
        <v>401318.28619347198</v>
      </c>
      <c r="I55" s="21">
        <f t="shared" si="0"/>
        <v>3.2798825995996594E-2</v>
      </c>
      <c r="J55" s="21">
        <f t="shared" si="1"/>
        <v>0.1483719740062952</v>
      </c>
    </row>
    <row r="56" spans="1:10" hidden="1">
      <c r="A56" t="s">
        <v>162</v>
      </c>
      <c r="B56" t="s">
        <v>164</v>
      </c>
      <c r="C56" s="18">
        <v>2032</v>
      </c>
      <c r="D56" t="s">
        <v>184</v>
      </c>
      <c r="E56" s="9">
        <v>490904.45658537402</v>
      </c>
      <c r="F56" s="9">
        <v>260346.88102231501</v>
      </c>
      <c r="G56" s="9">
        <v>490904.70344577997</v>
      </c>
      <c r="H56" s="9">
        <v>260346.937343717</v>
      </c>
      <c r="I56" s="21">
        <f t="shared" si="0"/>
        <v>5.6321401993045583E-2</v>
      </c>
      <c r="J56" s="21">
        <f t="shared" si="1"/>
        <v>0.24686040595406666</v>
      </c>
    </row>
    <row r="57" spans="1:10" hidden="1">
      <c r="A57" t="s">
        <v>162</v>
      </c>
      <c r="B57" t="s">
        <v>164</v>
      </c>
      <c r="C57" s="18">
        <v>2032</v>
      </c>
      <c r="D57" t="s">
        <v>365</v>
      </c>
      <c r="E57" s="9">
        <v>44583.245526874598</v>
      </c>
      <c r="F57" s="9">
        <v>7308.6895687096803</v>
      </c>
      <c r="G57" s="9">
        <v>44583.245501595899</v>
      </c>
      <c r="H57" s="9">
        <v>7308.6895683399798</v>
      </c>
      <c r="I57" s="21">
        <f t="shared" si="0"/>
        <v>-3.697005013236776E-7</v>
      </c>
      <c r="J57" s="21">
        <f t="shared" si="1"/>
        <v>-2.5278699467889965E-5</v>
      </c>
    </row>
    <row r="58" spans="1:10" hidden="1">
      <c r="A58" t="s">
        <v>162</v>
      </c>
      <c r="B58" t="s">
        <v>164</v>
      </c>
      <c r="C58" s="18">
        <v>2033</v>
      </c>
      <c r="D58" t="s">
        <v>167</v>
      </c>
      <c r="E58" s="9">
        <v>15983.712483736101</v>
      </c>
      <c r="F58" s="9">
        <v>11586.9310959175</v>
      </c>
      <c r="G58" s="9">
        <v>15983.7175379286</v>
      </c>
      <c r="H58" s="9">
        <v>11586.9335708044</v>
      </c>
      <c r="I58" s="21">
        <f t="shared" si="0"/>
        <v>2.4748869000177365E-3</v>
      </c>
      <c r="J58" s="21">
        <f t="shared" si="1"/>
        <v>5.0541924993012799E-3</v>
      </c>
    </row>
    <row r="59" spans="1:10" hidden="1">
      <c r="A59" t="s">
        <v>162</v>
      </c>
      <c r="B59" t="s">
        <v>164</v>
      </c>
      <c r="C59" s="18">
        <v>2033</v>
      </c>
      <c r="D59" t="s">
        <v>206</v>
      </c>
      <c r="E59" s="9">
        <v>1129233.4853739799</v>
      </c>
      <c r="F59" s="9">
        <v>193953.22442024699</v>
      </c>
      <c r="G59" s="9">
        <v>1129233.47845058</v>
      </c>
      <c r="H59" s="9">
        <v>193953.224223645</v>
      </c>
      <c r="I59" s="21">
        <f t="shared" si="0"/>
        <v>-1.9660199177451432E-4</v>
      </c>
      <c r="J59" s="21">
        <f t="shared" si="1"/>
        <v>-6.9233998656272888E-3</v>
      </c>
    </row>
    <row r="60" spans="1:10" hidden="1">
      <c r="A60" t="s">
        <v>162</v>
      </c>
      <c r="B60" t="s">
        <v>164</v>
      </c>
      <c r="C60" s="18">
        <v>2033</v>
      </c>
      <c r="D60" t="s">
        <v>174</v>
      </c>
      <c r="E60" s="9">
        <v>117998.63754530701</v>
      </c>
      <c r="F60" s="9">
        <v>79480.427257309493</v>
      </c>
      <c r="G60" s="9">
        <v>117998.73843744201</v>
      </c>
      <c r="H60" s="9">
        <v>79480.4761690429</v>
      </c>
      <c r="I60" s="21">
        <f t="shared" si="0"/>
        <v>4.8911733407294378E-2</v>
      </c>
      <c r="J60" s="21">
        <f t="shared" si="1"/>
        <v>0.10089213500032201</v>
      </c>
    </row>
    <row r="61" spans="1:10" hidden="1">
      <c r="A61" t="s">
        <v>162</v>
      </c>
      <c r="B61" t="s">
        <v>164</v>
      </c>
      <c r="C61" s="18">
        <v>2033</v>
      </c>
      <c r="D61" t="s">
        <v>178</v>
      </c>
      <c r="E61" s="9">
        <v>398354.140862389</v>
      </c>
      <c r="F61" s="9">
        <v>368051.46101600502</v>
      </c>
      <c r="G61" s="9">
        <v>398354.344992358</v>
      </c>
      <c r="H61" s="9">
        <v>368051.62457544298</v>
      </c>
      <c r="I61" s="21">
        <f t="shared" si="0"/>
        <v>0.16355943796224892</v>
      </c>
      <c r="J61" s="21">
        <f t="shared" si="1"/>
        <v>0.20412996900267899</v>
      </c>
    </row>
    <row r="62" spans="1:10" hidden="1">
      <c r="A62" t="s">
        <v>162</v>
      </c>
      <c r="B62" t="s">
        <v>164</v>
      </c>
      <c r="C62" s="18">
        <v>2033</v>
      </c>
      <c r="D62" t="s">
        <v>181</v>
      </c>
      <c r="E62" s="9">
        <v>687634.55124525202</v>
      </c>
      <c r="F62" s="9">
        <v>412348.03602977702</v>
      </c>
      <c r="G62" s="9">
        <v>687634.69954692596</v>
      </c>
      <c r="H62" s="9">
        <v>412348.075678578</v>
      </c>
      <c r="I62" s="21">
        <f t="shared" si="0"/>
        <v>3.9648800971917808E-2</v>
      </c>
      <c r="J62" s="21">
        <f t="shared" si="1"/>
        <v>0.14830167393665761</v>
      </c>
    </row>
    <row r="63" spans="1:10" hidden="1">
      <c r="A63" t="s">
        <v>162</v>
      </c>
      <c r="B63" t="s">
        <v>164</v>
      </c>
      <c r="C63" s="18">
        <v>2033</v>
      </c>
      <c r="D63" t="s">
        <v>184</v>
      </c>
      <c r="E63" s="9">
        <v>503750.859522374</v>
      </c>
      <c r="F63" s="9">
        <v>269883.34056108398</v>
      </c>
      <c r="G63" s="9">
        <v>503751.109420694</v>
      </c>
      <c r="H63" s="9">
        <v>269883.407599987</v>
      </c>
      <c r="I63" s="21">
        <f t="shared" si="0"/>
        <v>6.7038903012871742E-2</v>
      </c>
      <c r="J63" s="21">
        <f t="shared" si="1"/>
        <v>0.24989832000574097</v>
      </c>
    </row>
    <row r="64" spans="1:10" hidden="1">
      <c r="A64" t="s">
        <v>162</v>
      </c>
      <c r="B64" t="s">
        <v>164</v>
      </c>
      <c r="C64" s="18">
        <v>2033</v>
      </c>
      <c r="D64" t="s">
        <v>365</v>
      </c>
      <c r="E64" s="9">
        <v>44483.683626804501</v>
      </c>
      <c r="F64" s="9">
        <v>7348.0741479995304</v>
      </c>
      <c r="G64" s="9">
        <v>44483.683589841297</v>
      </c>
      <c r="H64" s="9">
        <v>7348.0741473220596</v>
      </c>
      <c r="I64" s="21">
        <f t="shared" si="0"/>
        <v>-6.774707799195312E-7</v>
      </c>
      <c r="J64" s="21">
        <f t="shared" si="1"/>
        <v>-3.6963203456252813E-5</v>
      </c>
    </row>
    <row r="65" spans="1:10" hidden="1">
      <c r="A65" t="s">
        <v>162</v>
      </c>
      <c r="B65" t="s">
        <v>164</v>
      </c>
      <c r="C65" s="18">
        <v>2034</v>
      </c>
      <c r="D65" t="s">
        <v>167</v>
      </c>
      <c r="E65" s="9">
        <v>16436.926179888502</v>
      </c>
      <c r="F65" s="9">
        <v>11896.379569991699</v>
      </c>
      <c r="G65" s="9">
        <v>16436.9312806497</v>
      </c>
      <c r="H65" s="9">
        <v>11896.382318738601</v>
      </c>
      <c r="I65" s="21">
        <f t="shared" si="0"/>
        <v>2.7487469014886301E-3</v>
      </c>
      <c r="J65" s="21">
        <f t="shared" si="1"/>
        <v>5.100761198264081E-3</v>
      </c>
    </row>
    <row r="66" spans="1:10" hidden="1">
      <c r="A66" t="s">
        <v>162</v>
      </c>
      <c r="B66" t="s">
        <v>164</v>
      </c>
      <c r="C66" s="18">
        <v>2034</v>
      </c>
      <c r="D66" t="s">
        <v>206</v>
      </c>
      <c r="E66" s="9">
        <v>1139357.0288172299</v>
      </c>
      <c r="F66" s="9">
        <v>202147.270772894</v>
      </c>
      <c r="G66" s="9">
        <v>1139357.0195160699</v>
      </c>
      <c r="H66" s="9">
        <v>202147.27044605001</v>
      </c>
      <c r="I66" s="21">
        <f t="shared" ref="I66:I129" si="2">H66-F66</f>
        <v>-3.2684399047866464E-4</v>
      </c>
      <c r="J66" s="21">
        <f t="shared" ref="J66:J129" si="3">G66-E66</f>
        <v>-9.3011599965393543E-3</v>
      </c>
    </row>
    <row r="67" spans="1:10" hidden="1">
      <c r="A67" t="s">
        <v>162</v>
      </c>
      <c r="B67" t="s">
        <v>164</v>
      </c>
      <c r="C67" s="18">
        <v>2034</v>
      </c>
      <c r="D67" t="s">
        <v>174</v>
      </c>
      <c r="E67" s="9">
        <v>121105.36898606599</v>
      </c>
      <c r="F67" s="9">
        <v>81594.893741571403</v>
      </c>
      <c r="G67" s="9">
        <v>121105.471839437</v>
      </c>
      <c r="H67" s="9">
        <v>81594.948233921197</v>
      </c>
      <c r="I67" s="21">
        <f t="shared" si="2"/>
        <v>5.4492349794600159E-2</v>
      </c>
      <c r="J67" s="21">
        <f t="shared" si="3"/>
        <v>0.10285337100503966</v>
      </c>
    </row>
    <row r="68" spans="1:10" hidden="1">
      <c r="A68" t="s">
        <v>162</v>
      </c>
      <c r="B68" t="s">
        <v>164</v>
      </c>
      <c r="C68" s="18">
        <v>2034</v>
      </c>
      <c r="D68" t="s">
        <v>178</v>
      </c>
      <c r="E68" s="9">
        <v>406559.66046567902</v>
      </c>
      <c r="F68" s="9">
        <v>376027.95962669101</v>
      </c>
      <c r="G68" s="9">
        <v>406559.86735378799</v>
      </c>
      <c r="H68" s="9">
        <v>376028.13227833499</v>
      </c>
      <c r="I68" s="21">
        <f t="shared" si="2"/>
        <v>0.17265164398122579</v>
      </c>
      <c r="J68" s="21">
        <f t="shared" si="3"/>
        <v>0.20688810897991061</v>
      </c>
    </row>
    <row r="69" spans="1:10" hidden="1">
      <c r="A69" t="s">
        <v>162</v>
      </c>
      <c r="B69" t="s">
        <v>164</v>
      </c>
      <c r="C69" s="18">
        <v>2034</v>
      </c>
      <c r="D69" t="s">
        <v>181</v>
      </c>
      <c r="E69" s="9">
        <v>701691.52947305096</v>
      </c>
      <c r="F69" s="9">
        <v>423259.05470591999</v>
      </c>
      <c r="G69" s="9">
        <v>701691.67735876795</v>
      </c>
      <c r="H69" s="9">
        <v>423259.10059080599</v>
      </c>
      <c r="I69" s="21">
        <f t="shared" si="2"/>
        <v>4.5884885999839753E-2</v>
      </c>
      <c r="J69" s="21">
        <f t="shared" si="3"/>
        <v>0.14788571698591113</v>
      </c>
    </row>
    <row r="70" spans="1:10" hidden="1">
      <c r="A70" t="s">
        <v>162</v>
      </c>
      <c r="B70" t="s">
        <v>164</v>
      </c>
      <c r="C70" s="18">
        <v>2034</v>
      </c>
      <c r="D70" t="s">
        <v>184</v>
      </c>
      <c r="E70" s="9">
        <v>516406.28590575198</v>
      </c>
      <c r="F70" s="9">
        <v>279484.90352206398</v>
      </c>
      <c r="G70" s="9">
        <v>516406.53850878001</v>
      </c>
      <c r="H70" s="9">
        <v>279484.98028522899</v>
      </c>
      <c r="I70" s="21">
        <f t="shared" si="2"/>
        <v>7.6763165008742362E-2</v>
      </c>
      <c r="J70" s="21">
        <f t="shared" si="3"/>
        <v>0.25260302802780643</v>
      </c>
    </row>
    <row r="71" spans="1:10" hidden="1">
      <c r="A71" t="s">
        <v>162</v>
      </c>
      <c r="B71" t="s">
        <v>164</v>
      </c>
      <c r="C71" s="18">
        <v>2034</v>
      </c>
      <c r="D71" t="s">
        <v>365</v>
      </c>
      <c r="E71" s="9">
        <v>44355.184500151998</v>
      </c>
      <c r="F71" s="9">
        <v>7385.0409478553802</v>
      </c>
      <c r="G71" s="9">
        <v>44355.184450178996</v>
      </c>
      <c r="H71" s="9">
        <v>7385.0409467521704</v>
      </c>
      <c r="I71" s="21">
        <f t="shared" si="2"/>
        <v>-1.1032097972929478E-6</v>
      </c>
      <c r="J71" s="21">
        <f t="shared" si="3"/>
        <v>-4.9973001296166331E-5</v>
      </c>
    </row>
    <row r="72" spans="1:10" hidden="1">
      <c r="A72" t="s">
        <v>162</v>
      </c>
      <c r="B72" t="s">
        <v>164</v>
      </c>
      <c r="C72" s="18">
        <v>2035</v>
      </c>
      <c r="D72" t="s">
        <v>167</v>
      </c>
      <c r="E72" s="9">
        <v>16892.209002710399</v>
      </c>
      <c r="F72" s="9">
        <v>12203.054746064599</v>
      </c>
      <c r="G72" s="9">
        <v>16892.2141390053</v>
      </c>
      <c r="H72" s="9">
        <v>12203.057717863399</v>
      </c>
      <c r="I72" s="21">
        <f t="shared" si="2"/>
        <v>2.9717987999902107E-3</v>
      </c>
      <c r="J72" s="21">
        <f t="shared" si="3"/>
        <v>5.1362949016038328E-3</v>
      </c>
    </row>
    <row r="73" spans="1:10" hidden="1">
      <c r="A73" t="s">
        <v>162</v>
      </c>
      <c r="B73" t="s">
        <v>164</v>
      </c>
      <c r="C73" s="18">
        <v>2035</v>
      </c>
      <c r="D73" t="s">
        <v>206</v>
      </c>
      <c r="E73" s="9">
        <v>1148972.1775884</v>
      </c>
      <c r="F73" s="9">
        <v>210290.981025977</v>
      </c>
      <c r="G73" s="9">
        <v>1148972.16574985</v>
      </c>
      <c r="H73" s="9">
        <v>210290.98052792501</v>
      </c>
      <c r="I73" s="21">
        <f t="shared" si="2"/>
        <v>-4.9805198796093464E-4</v>
      </c>
      <c r="J73" s="21">
        <f t="shared" si="3"/>
        <v>-1.1838549980893731E-2</v>
      </c>
    </row>
    <row r="74" spans="1:10" hidden="1">
      <c r="A74" t="s">
        <v>162</v>
      </c>
      <c r="B74" t="s">
        <v>164</v>
      </c>
      <c r="C74" s="18">
        <v>2035</v>
      </c>
      <c r="D74" t="s">
        <v>174</v>
      </c>
      <c r="E74" s="9">
        <v>124148.10248868</v>
      </c>
      <c r="F74" s="9">
        <v>83695.058686994205</v>
      </c>
      <c r="G74" s="9">
        <v>124148.20719584401</v>
      </c>
      <c r="H74" s="9">
        <v>83695.117872879797</v>
      </c>
      <c r="I74" s="21">
        <f t="shared" si="2"/>
        <v>5.9185885591432452E-2</v>
      </c>
      <c r="J74" s="21">
        <f t="shared" si="3"/>
        <v>0.10470716400595848</v>
      </c>
    </row>
    <row r="75" spans="1:10" hidden="1">
      <c r="A75" t="s">
        <v>162</v>
      </c>
      <c r="B75" t="s">
        <v>164</v>
      </c>
      <c r="C75" s="18">
        <v>2035</v>
      </c>
      <c r="D75" t="s">
        <v>178</v>
      </c>
      <c r="E75" s="9">
        <v>414532.95120017702</v>
      </c>
      <c r="F75" s="9">
        <v>383788.58285657899</v>
      </c>
      <c r="G75" s="9">
        <v>414533.16060314502</v>
      </c>
      <c r="H75" s="9">
        <v>383788.76252667198</v>
      </c>
      <c r="I75" s="21">
        <f t="shared" si="2"/>
        <v>0.17967009299900383</v>
      </c>
      <c r="J75" s="21">
        <f t="shared" si="3"/>
        <v>0.20940296800108626</v>
      </c>
    </row>
    <row r="76" spans="1:10" hidden="1">
      <c r="A76" t="s">
        <v>162</v>
      </c>
      <c r="B76" t="s">
        <v>164</v>
      </c>
      <c r="C76" s="18">
        <v>2035</v>
      </c>
      <c r="D76" t="s">
        <v>181</v>
      </c>
      <c r="E76" s="9">
        <v>715331.64162679994</v>
      </c>
      <c r="F76" s="9">
        <v>434081.97998683999</v>
      </c>
      <c r="G76" s="9">
        <v>715331.78882210201</v>
      </c>
      <c r="H76" s="9">
        <v>434082.03155119502</v>
      </c>
      <c r="I76" s="21">
        <f t="shared" si="2"/>
        <v>5.1564355031587183E-2</v>
      </c>
      <c r="J76" s="21">
        <f t="shared" si="3"/>
        <v>0.1471953020663932</v>
      </c>
    </row>
    <row r="77" spans="1:10" hidden="1">
      <c r="A77" t="s">
        <v>162</v>
      </c>
      <c r="B77" t="s">
        <v>164</v>
      </c>
      <c r="C77" s="18">
        <v>2035</v>
      </c>
      <c r="D77" t="s">
        <v>184</v>
      </c>
      <c r="E77" s="9">
        <v>528818.11690148397</v>
      </c>
      <c r="F77" s="9">
        <v>289150.71676484903</v>
      </c>
      <c r="G77" s="9">
        <v>528818.37188395299</v>
      </c>
      <c r="H77" s="9">
        <v>289150.80243598297</v>
      </c>
      <c r="I77" s="21">
        <f t="shared" si="2"/>
        <v>8.5671133943833411E-2</v>
      </c>
      <c r="J77" s="21">
        <f t="shared" si="3"/>
        <v>0.25498246902134269</v>
      </c>
    </row>
    <row r="78" spans="1:10" hidden="1">
      <c r="A78" t="s">
        <v>162</v>
      </c>
      <c r="B78" t="s">
        <v>164</v>
      </c>
      <c r="C78" s="18">
        <v>2035</v>
      </c>
      <c r="D78" t="s">
        <v>365</v>
      </c>
      <c r="E78" s="9">
        <v>44206.707370713499</v>
      </c>
      <c r="F78" s="9">
        <v>7419.9788568376798</v>
      </c>
      <c r="G78" s="9">
        <v>44206.707306712102</v>
      </c>
      <c r="H78" s="9">
        <v>7419.9788551932097</v>
      </c>
      <c r="I78" s="21">
        <f t="shared" si="2"/>
        <v>-1.6444701032014564E-6</v>
      </c>
      <c r="J78" s="21">
        <f t="shared" si="3"/>
        <v>-6.4001396822277457E-5</v>
      </c>
    </row>
    <row r="79" spans="1:10" hidden="1">
      <c r="A79" t="s">
        <v>162</v>
      </c>
      <c r="B79" t="s">
        <v>164</v>
      </c>
      <c r="C79" s="18">
        <v>2036</v>
      </c>
      <c r="D79" t="s">
        <v>167</v>
      </c>
      <c r="E79" s="9">
        <v>17350.649464346301</v>
      </c>
      <c r="F79" s="9">
        <v>12506.898949492601</v>
      </c>
      <c r="G79" s="9">
        <v>17350.6546269342</v>
      </c>
      <c r="H79" s="9">
        <v>12506.9021026876</v>
      </c>
      <c r="I79" s="21">
        <f t="shared" si="2"/>
        <v>3.1531949989584973E-3</v>
      </c>
      <c r="J79" s="21">
        <f t="shared" si="3"/>
        <v>5.1625878986669704E-3</v>
      </c>
    </row>
    <row r="80" spans="1:10" hidden="1">
      <c r="A80" t="s">
        <v>162</v>
      </c>
      <c r="B80" t="s">
        <v>164</v>
      </c>
      <c r="C80" s="18">
        <v>2036</v>
      </c>
      <c r="D80" t="s">
        <v>206</v>
      </c>
      <c r="E80" s="9">
        <v>1158266.15225057</v>
      </c>
      <c r="F80" s="9">
        <v>218370.688286744</v>
      </c>
      <c r="G80" s="9">
        <v>1158266.1377582899</v>
      </c>
      <c r="H80" s="9">
        <v>218370.687575925</v>
      </c>
      <c r="I80" s="21">
        <f t="shared" si="2"/>
        <v>-7.1081900387071073E-4</v>
      </c>
      <c r="J80" s="21">
        <f t="shared" si="3"/>
        <v>-1.4492280082777143E-2</v>
      </c>
    </row>
    <row r="81" spans="1:10" hidden="1">
      <c r="A81" t="s">
        <v>162</v>
      </c>
      <c r="B81" t="s">
        <v>164</v>
      </c>
      <c r="C81" s="18">
        <v>2036</v>
      </c>
      <c r="D81" t="s">
        <v>174</v>
      </c>
      <c r="E81" s="9">
        <v>127138.344612441</v>
      </c>
      <c r="F81" s="9">
        <v>85765.501569197702</v>
      </c>
      <c r="G81" s="9">
        <v>127138.451085333</v>
      </c>
      <c r="H81" s="9">
        <v>85765.564735317093</v>
      </c>
      <c r="I81" s="21">
        <f t="shared" si="2"/>
        <v>6.3166119391098619E-2</v>
      </c>
      <c r="J81" s="21">
        <f t="shared" si="3"/>
        <v>0.10647289200278465</v>
      </c>
    </row>
    <row r="82" spans="1:10" hidden="1">
      <c r="A82" t="s">
        <v>162</v>
      </c>
      <c r="B82" t="s">
        <v>164</v>
      </c>
      <c r="C82" s="18">
        <v>2036</v>
      </c>
      <c r="D82" t="s">
        <v>178</v>
      </c>
      <c r="E82" s="9">
        <v>422232.44825261401</v>
      </c>
      <c r="F82" s="9">
        <v>391285.77046168002</v>
      </c>
      <c r="G82" s="9">
        <v>422232.65992213303</v>
      </c>
      <c r="H82" s="9">
        <v>391285.95573958702</v>
      </c>
      <c r="I82" s="21">
        <f t="shared" si="2"/>
        <v>0.18527790700318292</v>
      </c>
      <c r="J82" s="21">
        <f t="shared" si="3"/>
        <v>0.21166951901977882</v>
      </c>
    </row>
    <row r="83" spans="1:10" hidden="1">
      <c r="A83" t="s">
        <v>162</v>
      </c>
      <c r="B83" t="s">
        <v>164</v>
      </c>
      <c r="C83" s="18">
        <v>2036</v>
      </c>
      <c r="D83" t="s">
        <v>181</v>
      </c>
      <c r="E83" s="9">
        <v>728531.46388547996</v>
      </c>
      <c r="F83" s="9">
        <v>444747.850832186</v>
      </c>
      <c r="G83" s="9">
        <v>728531.610160843</v>
      </c>
      <c r="H83" s="9">
        <v>444747.90756616899</v>
      </c>
      <c r="I83" s="21">
        <f t="shared" si="2"/>
        <v>5.673398298677057E-2</v>
      </c>
      <c r="J83" s="21">
        <f t="shared" si="3"/>
        <v>0.14627536304760724</v>
      </c>
    </row>
    <row r="84" spans="1:10" hidden="1">
      <c r="A84" t="s">
        <v>162</v>
      </c>
      <c r="B84" t="s">
        <v>164</v>
      </c>
      <c r="C84" s="18">
        <v>2036</v>
      </c>
      <c r="D84" t="s">
        <v>184</v>
      </c>
      <c r="E84" s="9">
        <v>541052.02367780905</v>
      </c>
      <c r="F84" s="9">
        <v>298879.517430718</v>
      </c>
      <c r="G84" s="9">
        <v>541052.28077363002</v>
      </c>
      <c r="H84" s="9">
        <v>298879.61130973301</v>
      </c>
      <c r="I84" s="21">
        <f t="shared" si="2"/>
        <v>9.3879015010315925E-2</v>
      </c>
      <c r="J84" s="21">
        <f t="shared" si="3"/>
        <v>0.25709582096897066</v>
      </c>
    </row>
    <row r="85" spans="1:10" hidden="1">
      <c r="A85" t="s">
        <v>162</v>
      </c>
      <c r="B85" t="s">
        <v>164</v>
      </c>
      <c r="C85" s="18">
        <v>2036</v>
      </c>
      <c r="D85" t="s">
        <v>365</v>
      </c>
      <c r="E85" s="9">
        <v>44049.998457092101</v>
      </c>
      <c r="F85" s="9">
        <v>7453.3351294456597</v>
      </c>
      <c r="G85" s="9">
        <v>44049.998378272197</v>
      </c>
      <c r="H85" s="9">
        <v>7453.3351271514002</v>
      </c>
      <c r="I85" s="21">
        <f t="shared" si="2"/>
        <v>-2.2942595023778267E-6</v>
      </c>
      <c r="J85" s="21">
        <f t="shared" si="3"/>
        <v>-7.8819903137627989E-5</v>
      </c>
    </row>
    <row r="86" spans="1:10" hidden="1">
      <c r="A86" t="s">
        <v>162</v>
      </c>
      <c r="B86" t="s">
        <v>164</v>
      </c>
      <c r="C86" s="18">
        <v>2037</v>
      </c>
      <c r="D86" t="s">
        <v>167</v>
      </c>
      <c r="E86" s="9">
        <v>17812.498347229499</v>
      </c>
      <c r="F86" s="9">
        <v>12807.4979680993</v>
      </c>
      <c r="G86" s="9">
        <v>17812.5035281772</v>
      </c>
      <c r="H86" s="9">
        <v>12807.501268399201</v>
      </c>
      <c r="I86" s="21">
        <f t="shared" si="2"/>
        <v>3.300299900729442E-3</v>
      </c>
      <c r="J86" s="21">
        <f t="shared" si="3"/>
        <v>5.1809477008646354E-3</v>
      </c>
    </row>
    <row r="87" spans="1:10" hidden="1">
      <c r="A87" t="s">
        <v>162</v>
      </c>
      <c r="B87" t="s">
        <v>164</v>
      </c>
      <c r="C87" s="18">
        <v>2037</v>
      </c>
      <c r="D87" t="s">
        <v>206</v>
      </c>
      <c r="E87" s="9">
        <v>1167364.6826399099</v>
      </c>
      <c r="F87" s="9">
        <v>226373.36659113399</v>
      </c>
      <c r="G87" s="9">
        <v>1167364.6654137501</v>
      </c>
      <c r="H87" s="9">
        <v>226373.365626062</v>
      </c>
      <c r="I87" s="21">
        <f t="shared" si="2"/>
        <v>-9.6507198759354651E-4</v>
      </c>
      <c r="J87" s="21">
        <f t="shared" si="3"/>
        <v>-1.7226159805431962E-2</v>
      </c>
    </row>
    <row r="88" spans="1:10" hidden="1">
      <c r="A88" t="s">
        <v>162</v>
      </c>
      <c r="B88" t="s">
        <v>164</v>
      </c>
      <c r="C88" s="18">
        <v>2037</v>
      </c>
      <c r="D88" t="s">
        <v>174</v>
      </c>
      <c r="E88" s="9">
        <v>130092.00479410301</v>
      </c>
      <c r="F88" s="9">
        <v>87785.807349531999</v>
      </c>
      <c r="G88" s="9">
        <v>130092.112965313</v>
      </c>
      <c r="H88" s="9">
        <v>87785.873914228694</v>
      </c>
      <c r="I88" s="21">
        <f t="shared" si="2"/>
        <v>6.6564696695422754E-2</v>
      </c>
      <c r="J88" s="21">
        <f t="shared" si="3"/>
        <v>0.10817120999854524</v>
      </c>
    </row>
    <row r="89" spans="1:10" hidden="1">
      <c r="A89" t="s">
        <v>162</v>
      </c>
      <c r="B89" t="s">
        <v>164</v>
      </c>
      <c r="C89" s="18">
        <v>2037</v>
      </c>
      <c r="D89" t="s">
        <v>178</v>
      </c>
      <c r="E89" s="9">
        <v>429674.46561100997</v>
      </c>
      <c r="F89" s="9">
        <v>398473.62351125502</v>
      </c>
      <c r="G89" s="9">
        <v>429674.679324948</v>
      </c>
      <c r="H89" s="9">
        <v>398473.81338660797</v>
      </c>
      <c r="I89" s="21">
        <f t="shared" si="2"/>
        <v>0.18987535295309499</v>
      </c>
      <c r="J89" s="21">
        <f t="shared" si="3"/>
        <v>0.21371393802110106</v>
      </c>
    </row>
    <row r="90" spans="1:10" hidden="1">
      <c r="A90" t="s">
        <v>162</v>
      </c>
      <c r="B90" t="s">
        <v>164</v>
      </c>
      <c r="C90" s="18">
        <v>2037</v>
      </c>
      <c r="D90" t="s">
        <v>181</v>
      </c>
      <c r="E90" s="9">
        <v>741261.28208538506</v>
      </c>
      <c r="F90" s="9">
        <v>455168.12311698101</v>
      </c>
      <c r="G90" s="9">
        <v>741261.42723499297</v>
      </c>
      <c r="H90" s="9">
        <v>455168.18452875799</v>
      </c>
      <c r="I90" s="21">
        <f t="shared" si="2"/>
        <v>6.1411776987370104E-2</v>
      </c>
      <c r="J90" s="21">
        <f t="shared" si="3"/>
        <v>0.14514960790984333</v>
      </c>
    </row>
    <row r="91" spans="1:10" hidden="1">
      <c r="A91" t="s">
        <v>162</v>
      </c>
      <c r="B91" t="s">
        <v>164</v>
      </c>
      <c r="C91" s="18">
        <v>2037</v>
      </c>
      <c r="D91" t="s">
        <v>184</v>
      </c>
      <c r="E91" s="9">
        <v>553258.25871944195</v>
      </c>
      <c r="F91" s="9">
        <v>308665.942081635</v>
      </c>
      <c r="G91" s="9">
        <v>553258.51776135701</v>
      </c>
      <c r="H91" s="9">
        <v>308666.04356230202</v>
      </c>
      <c r="I91" s="21">
        <f t="shared" si="2"/>
        <v>0.10148066701367497</v>
      </c>
      <c r="J91" s="21">
        <f t="shared" si="3"/>
        <v>0.25904191506560892</v>
      </c>
    </row>
    <row r="92" spans="1:10" hidden="1">
      <c r="A92" t="s">
        <v>162</v>
      </c>
      <c r="B92" t="s">
        <v>164</v>
      </c>
      <c r="C92" s="18">
        <v>2037</v>
      </c>
      <c r="D92" t="s">
        <v>365</v>
      </c>
      <c r="E92" s="9">
        <v>43886.4967340113</v>
      </c>
      <c r="F92" s="9">
        <v>7485.6394616553498</v>
      </c>
      <c r="G92" s="9">
        <v>43886.496639761303</v>
      </c>
      <c r="H92" s="9">
        <v>7485.6394586101196</v>
      </c>
      <c r="I92" s="21">
        <f t="shared" si="2"/>
        <v>-3.0452301871264353E-6</v>
      </c>
      <c r="J92" s="21">
        <f t="shared" si="3"/>
        <v>-9.4249997346196324E-5</v>
      </c>
    </row>
    <row r="93" spans="1:10" hidden="1">
      <c r="A93" t="s">
        <v>162</v>
      </c>
      <c r="B93" t="s">
        <v>164</v>
      </c>
      <c r="C93" s="18">
        <v>2038</v>
      </c>
      <c r="D93" t="s">
        <v>167</v>
      </c>
      <c r="E93" s="9">
        <v>18278.6143394762</v>
      </c>
      <c r="F93" s="9">
        <v>13108.255263160199</v>
      </c>
      <c r="G93" s="9">
        <v>18278.619531582299</v>
      </c>
      <c r="H93" s="9">
        <v>13108.258682167399</v>
      </c>
      <c r="I93" s="21">
        <f t="shared" si="2"/>
        <v>3.4190072001365479E-3</v>
      </c>
      <c r="J93" s="21">
        <f t="shared" si="3"/>
        <v>5.1921060985478107E-3</v>
      </c>
    </row>
    <row r="94" spans="1:10" hidden="1">
      <c r="A94" t="s">
        <v>162</v>
      </c>
      <c r="B94" t="s">
        <v>164</v>
      </c>
      <c r="C94" s="18">
        <v>2038</v>
      </c>
      <c r="D94" t="s">
        <v>206</v>
      </c>
      <c r="E94" s="9">
        <v>1176286.25007136</v>
      </c>
      <c r="F94" s="9">
        <v>234286.303663478</v>
      </c>
      <c r="G94" s="9">
        <v>1176286.23006217</v>
      </c>
      <c r="H94" s="9">
        <v>234286.30240329501</v>
      </c>
      <c r="I94" s="21">
        <f t="shared" si="2"/>
        <v>-1.2601829948835075E-3</v>
      </c>
      <c r="J94" s="21">
        <f t="shared" si="3"/>
        <v>-2.0009190076962113E-2</v>
      </c>
    </row>
    <row r="95" spans="1:10" hidden="1">
      <c r="A95" t="s">
        <v>162</v>
      </c>
      <c r="B95" t="s">
        <v>164</v>
      </c>
      <c r="C95" s="18">
        <v>2038</v>
      </c>
      <c r="D95" t="s">
        <v>174</v>
      </c>
      <c r="E95" s="9">
        <v>133004.661568618</v>
      </c>
      <c r="F95" s="9">
        <v>89762.839005187096</v>
      </c>
      <c r="G95" s="9">
        <v>133004.77137127001</v>
      </c>
      <c r="H95" s="9">
        <v>89762.908504627194</v>
      </c>
      <c r="I95" s="21">
        <f t="shared" si="2"/>
        <v>6.9499440098297782E-2</v>
      </c>
      <c r="J95" s="21">
        <f t="shared" si="3"/>
        <v>0.10980265200487338</v>
      </c>
    </row>
    <row r="96" spans="1:10" hidden="1">
      <c r="A96" t="s">
        <v>162</v>
      </c>
      <c r="B96" t="s">
        <v>164</v>
      </c>
      <c r="C96" s="18">
        <v>2038</v>
      </c>
      <c r="D96" t="s">
        <v>178</v>
      </c>
      <c r="E96" s="9">
        <v>436878.14398512401</v>
      </c>
      <c r="F96" s="9">
        <v>405384.76403805002</v>
      </c>
      <c r="G96" s="9">
        <v>436878.35953831702</v>
      </c>
      <c r="H96" s="9">
        <v>405384.95777232101</v>
      </c>
      <c r="I96" s="21">
        <f t="shared" si="2"/>
        <v>0.19373427098616958</v>
      </c>
      <c r="J96" s="21">
        <f t="shared" si="3"/>
        <v>0.21555319300387055</v>
      </c>
    </row>
    <row r="97" spans="1:10" hidden="1">
      <c r="A97" t="s">
        <v>162</v>
      </c>
      <c r="B97" t="s">
        <v>164</v>
      </c>
      <c r="C97" s="18">
        <v>2038</v>
      </c>
      <c r="D97" t="s">
        <v>181</v>
      </c>
      <c r="E97" s="9">
        <v>753560.678315975</v>
      </c>
      <c r="F97" s="9">
        <v>465342.85224506102</v>
      </c>
      <c r="G97" s="9">
        <v>753560.82214679301</v>
      </c>
      <c r="H97" s="9">
        <v>465342.91786371003</v>
      </c>
      <c r="I97" s="21">
        <f t="shared" si="2"/>
        <v>6.561864900868386E-2</v>
      </c>
      <c r="J97" s="21">
        <f t="shared" si="3"/>
        <v>0.14383081800770015</v>
      </c>
    </row>
    <row r="98" spans="1:10" hidden="1">
      <c r="A98" t="s">
        <v>162</v>
      </c>
      <c r="B98" t="s">
        <v>164</v>
      </c>
      <c r="C98" s="18">
        <v>2038</v>
      </c>
      <c r="D98" t="s">
        <v>184</v>
      </c>
      <c r="E98" s="9">
        <v>565403.49799249496</v>
      </c>
      <c r="F98" s="9">
        <v>318460.913712918</v>
      </c>
      <c r="G98" s="9">
        <v>565403.75879938505</v>
      </c>
      <c r="H98" s="9">
        <v>318461.02224812203</v>
      </c>
      <c r="I98" s="21">
        <f t="shared" si="2"/>
        <v>0.10853520402451977</v>
      </c>
      <c r="J98" s="21">
        <f t="shared" si="3"/>
        <v>0.26080689008813351</v>
      </c>
    </row>
    <row r="99" spans="1:10" hidden="1">
      <c r="A99" t="s">
        <v>162</v>
      </c>
      <c r="B99" t="s">
        <v>164</v>
      </c>
      <c r="C99" s="18">
        <v>2038</v>
      </c>
      <c r="D99" t="s">
        <v>365</v>
      </c>
      <c r="E99" s="9">
        <v>43730.744960802702</v>
      </c>
      <c r="F99" s="9">
        <v>7517.7703571599104</v>
      </c>
      <c r="G99" s="9">
        <v>43730.744850638199</v>
      </c>
      <c r="H99" s="9">
        <v>7517.77035327065</v>
      </c>
      <c r="I99" s="21">
        <f t="shared" si="2"/>
        <v>-3.88926036976045E-6</v>
      </c>
      <c r="J99" s="21">
        <f t="shared" si="3"/>
        <v>-1.1016450298484415E-4</v>
      </c>
    </row>
    <row r="100" spans="1:10" hidden="1">
      <c r="A100" t="s">
        <v>162</v>
      </c>
      <c r="B100" t="s">
        <v>164</v>
      </c>
      <c r="C100" s="18">
        <v>2039</v>
      </c>
      <c r="D100" t="s">
        <v>167</v>
      </c>
      <c r="E100" s="9">
        <v>18752.0853015584</v>
      </c>
      <c r="F100" s="9">
        <v>13404.666106282401</v>
      </c>
      <c r="G100" s="9">
        <v>18752.090499402999</v>
      </c>
      <c r="H100" s="9">
        <v>13404.669620275599</v>
      </c>
      <c r="I100" s="21">
        <f t="shared" si="2"/>
        <v>3.5139931987941964E-3</v>
      </c>
      <c r="J100" s="21">
        <f t="shared" si="3"/>
        <v>5.1978445990243927E-3</v>
      </c>
    </row>
    <row r="101" spans="1:10" hidden="1">
      <c r="A101" t="s">
        <v>162</v>
      </c>
      <c r="B101" t="s">
        <v>164</v>
      </c>
      <c r="C101" s="18">
        <v>2039</v>
      </c>
      <c r="D101" t="s">
        <v>206</v>
      </c>
      <c r="E101" s="9">
        <v>1184738.41466062</v>
      </c>
      <c r="F101" s="9">
        <v>242132.19274814599</v>
      </c>
      <c r="G101" s="9">
        <v>1184738.3918449101</v>
      </c>
      <c r="H101" s="9">
        <v>242132.19115316399</v>
      </c>
      <c r="I101" s="21">
        <f t="shared" si="2"/>
        <v>-1.5949819935485721E-3</v>
      </c>
      <c r="J101" s="21">
        <f t="shared" si="3"/>
        <v>-2.2815709933638573E-2</v>
      </c>
    </row>
    <row r="102" spans="1:10" hidden="1">
      <c r="A102" t="s">
        <v>162</v>
      </c>
      <c r="B102" t="s">
        <v>164</v>
      </c>
      <c r="C102" s="18">
        <v>2039</v>
      </c>
      <c r="D102" t="s">
        <v>174</v>
      </c>
      <c r="E102" s="9">
        <v>135872.01999782</v>
      </c>
      <c r="F102" s="9">
        <v>91716.294282610397</v>
      </c>
      <c r="G102" s="9">
        <v>135872.13136763001</v>
      </c>
      <c r="H102" s="9">
        <v>91716.366353602294</v>
      </c>
      <c r="I102" s="21">
        <f t="shared" si="2"/>
        <v>7.2070991896907799E-2</v>
      </c>
      <c r="J102" s="21">
        <f t="shared" si="3"/>
        <v>0.11136981000890955</v>
      </c>
    </row>
    <row r="103" spans="1:10" hidden="1">
      <c r="A103" t="s">
        <v>162</v>
      </c>
      <c r="B103" t="s">
        <v>164</v>
      </c>
      <c r="C103" s="18">
        <v>2039</v>
      </c>
      <c r="D103" t="s">
        <v>178</v>
      </c>
      <c r="E103" s="9">
        <v>443905.76350802998</v>
      </c>
      <c r="F103" s="9">
        <v>412120.01645003702</v>
      </c>
      <c r="G103" s="9">
        <v>443905.980748337</v>
      </c>
      <c r="H103" s="9">
        <v>412120.21350488003</v>
      </c>
      <c r="I103" s="21">
        <f t="shared" si="2"/>
        <v>0.19705484301084653</v>
      </c>
      <c r="J103" s="21">
        <f t="shared" si="3"/>
        <v>0.21724030701443553</v>
      </c>
    </row>
    <row r="104" spans="1:10" hidden="1">
      <c r="A104" t="s">
        <v>162</v>
      </c>
      <c r="B104" t="s">
        <v>164</v>
      </c>
      <c r="C104" s="18">
        <v>2039</v>
      </c>
      <c r="D104" t="s">
        <v>181</v>
      </c>
      <c r="E104" s="9">
        <v>765528.32546363096</v>
      </c>
      <c r="F104" s="9">
        <v>475269.71815800102</v>
      </c>
      <c r="G104" s="9">
        <v>765528.46783885697</v>
      </c>
      <c r="H104" s="9">
        <v>475269.78752891801</v>
      </c>
      <c r="I104" s="21">
        <f t="shared" si="2"/>
        <v>6.9370916986372322E-2</v>
      </c>
      <c r="J104" s="21">
        <f t="shared" si="3"/>
        <v>0.14237522601615638</v>
      </c>
    </row>
    <row r="105" spans="1:10" hidden="1">
      <c r="A105" t="s">
        <v>162</v>
      </c>
      <c r="B105" t="s">
        <v>164</v>
      </c>
      <c r="C105" s="18">
        <v>2039</v>
      </c>
      <c r="D105" t="s">
        <v>184</v>
      </c>
      <c r="E105" s="9">
        <v>577414.25201000494</v>
      </c>
      <c r="F105" s="9">
        <v>328246.286185515</v>
      </c>
      <c r="G105" s="9">
        <v>577414.514396235</v>
      </c>
      <c r="H105" s="9">
        <v>328246.40127636801</v>
      </c>
      <c r="I105" s="21">
        <f t="shared" si="2"/>
        <v>0.11509085301076993</v>
      </c>
      <c r="J105" s="21">
        <f t="shared" si="3"/>
        <v>0.26238623005338013</v>
      </c>
    </row>
    <row r="106" spans="1:10" hidden="1">
      <c r="A106" t="s">
        <v>162</v>
      </c>
      <c r="B106" t="s">
        <v>164</v>
      </c>
      <c r="C106" s="18">
        <v>2039</v>
      </c>
      <c r="D106" t="s">
        <v>365</v>
      </c>
      <c r="E106" s="9">
        <v>43588.845583119801</v>
      </c>
      <c r="F106" s="9">
        <v>7547.5598656827997</v>
      </c>
      <c r="G106" s="9">
        <v>43588.845456636998</v>
      </c>
      <c r="H106" s="9">
        <v>7547.5598608641003</v>
      </c>
      <c r="I106" s="21">
        <f t="shared" si="2"/>
        <v>-4.8186993808485568E-6</v>
      </c>
      <c r="J106" s="21">
        <f t="shared" si="3"/>
        <v>-1.2648280244320631E-4</v>
      </c>
    </row>
    <row r="107" spans="1:10" hidden="1">
      <c r="A107" t="s">
        <v>162</v>
      </c>
      <c r="B107" t="s">
        <v>164</v>
      </c>
      <c r="C107" s="18">
        <v>2040</v>
      </c>
      <c r="D107" t="s">
        <v>167</v>
      </c>
      <c r="E107" s="9">
        <v>19235.7313436695</v>
      </c>
      <c r="F107" s="9">
        <v>13698.968578280401</v>
      </c>
      <c r="G107" s="9">
        <v>19235.736542927301</v>
      </c>
      <c r="H107" s="9">
        <v>13698.9721681132</v>
      </c>
      <c r="I107" s="21">
        <f t="shared" si="2"/>
        <v>3.5898327987524681E-3</v>
      </c>
      <c r="J107" s="21">
        <f t="shared" si="3"/>
        <v>5.1992578009958379E-3</v>
      </c>
    </row>
    <row r="108" spans="1:10" hidden="1">
      <c r="A108" t="s">
        <v>162</v>
      </c>
      <c r="B108" t="s">
        <v>164</v>
      </c>
      <c r="C108" s="18">
        <v>2040</v>
      </c>
      <c r="D108" t="s">
        <v>206</v>
      </c>
      <c r="E108" s="9">
        <v>1192634.45569105</v>
      </c>
      <c r="F108" s="9">
        <v>249894.48079566201</v>
      </c>
      <c r="G108" s="9">
        <v>1192634.43006365</v>
      </c>
      <c r="H108" s="9">
        <v>249894.478827588</v>
      </c>
      <c r="I108" s="21">
        <f t="shared" si="2"/>
        <v>-1.9680740078911185E-3</v>
      </c>
      <c r="J108" s="21">
        <f t="shared" si="3"/>
        <v>-2.562740002758801E-2</v>
      </c>
    </row>
    <row r="109" spans="1:10" hidden="1">
      <c r="A109" t="s">
        <v>162</v>
      </c>
      <c r="B109" t="s">
        <v>164</v>
      </c>
      <c r="C109" s="18">
        <v>2040</v>
      </c>
      <c r="D109" t="s">
        <v>174</v>
      </c>
      <c r="E109" s="9">
        <v>138689.68373730799</v>
      </c>
      <c r="F109" s="9">
        <v>93636.822418353302</v>
      </c>
      <c r="G109" s="9">
        <v>138689.796610277</v>
      </c>
      <c r="H109" s="9">
        <v>93636.896760059302</v>
      </c>
      <c r="I109" s="21">
        <f t="shared" si="2"/>
        <v>7.4341706000268459E-2</v>
      </c>
      <c r="J109" s="21">
        <f t="shared" si="3"/>
        <v>0.1128729690099135</v>
      </c>
    </row>
    <row r="110" spans="1:10" hidden="1">
      <c r="A110" t="s">
        <v>162</v>
      </c>
      <c r="B110" t="s">
        <v>164</v>
      </c>
      <c r="C110" s="18">
        <v>2040</v>
      </c>
      <c r="D110" t="s">
        <v>178</v>
      </c>
      <c r="E110" s="9">
        <v>450841.54576552002</v>
      </c>
      <c r="F110" s="9">
        <v>418620.70902462699</v>
      </c>
      <c r="G110" s="9">
        <v>450841.764596063</v>
      </c>
      <c r="H110" s="9">
        <v>418620.90894817398</v>
      </c>
      <c r="I110" s="21">
        <f t="shared" si="2"/>
        <v>0.19992354698479176</v>
      </c>
      <c r="J110" s="21">
        <f t="shared" si="3"/>
        <v>0.21883054298814386</v>
      </c>
    </row>
    <row r="111" spans="1:10" hidden="1">
      <c r="A111" t="s">
        <v>162</v>
      </c>
      <c r="B111" t="s">
        <v>164</v>
      </c>
      <c r="C111" s="18">
        <v>2040</v>
      </c>
      <c r="D111" t="s">
        <v>181</v>
      </c>
      <c r="E111" s="9">
        <v>777088.35591709497</v>
      </c>
      <c r="F111" s="9">
        <v>484947.03273169801</v>
      </c>
      <c r="G111" s="9">
        <v>777088.49670209095</v>
      </c>
      <c r="H111" s="9">
        <v>484947.105425179</v>
      </c>
      <c r="I111" s="21">
        <f t="shared" si="2"/>
        <v>7.2693480993621051E-2</v>
      </c>
      <c r="J111" s="21">
        <f t="shared" si="3"/>
        <v>0.14078499597962946</v>
      </c>
    </row>
    <row r="112" spans="1:10" hidden="1">
      <c r="A112" t="s">
        <v>162</v>
      </c>
      <c r="B112" t="s">
        <v>164</v>
      </c>
      <c r="C112" s="18">
        <v>2040</v>
      </c>
      <c r="D112" t="s">
        <v>184</v>
      </c>
      <c r="E112" s="9">
        <v>589359.47000559396</v>
      </c>
      <c r="F112" s="9">
        <v>338038.88924117998</v>
      </c>
      <c r="G112" s="9">
        <v>589359.73383284197</v>
      </c>
      <c r="H112" s="9">
        <v>338039.01043044601</v>
      </c>
      <c r="I112" s="21">
        <f t="shared" si="2"/>
        <v>0.12118926603579894</v>
      </c>
      <c r="J112" s="21">
        <f t="shared" si="3"/>
        <v>0.26382724801078439</v>
      </c>
    </row>
    <row r="113" spans="1:10" hidden="1">
      <c r="A113" t="s">
        <v>162</v>
      </c>
      <c r="B113" t="s">
        <v>164</v>
      </c>
      <c r="C113" s="18">
        <v>2040</v>
      </c>
      <c r="D113" t="s">
        <v>365</v>
      </c>
      <c r="E113" s="9">
        <v>43464.859825031897</v>
      </c>
      <c r="F113" s="9">
        <v>7573.7255666535402</v>
      </c>
      <c r="G113" s="9">
        <v>43464.859681883601</v>
      </c>
      <c r="H113" s="9">
        <v>7573.7255608269897</v>
      </c>
      <c r="I113" s="21">
        <f t="shared" si="2"/>
        <v>-5.8265504776500165E-6</v>
      </c>
      <c r="J113" s="21">
        <f t="shared" si="3"/>
        <v>-1.4314829604700208E-4</v>
      </c>
    </row>
    <row r="114" spans="1:10" hidden="1">
      <c r="A114" t="s">
        <v>162</v>
      </c>
      <c r="B114" t="s">
        <v>164</v>
      </c>
      <c r="C114" s="18">
        <v>2041</v>
      </c>
      <c r="D114" t="s">
        <v>167</v>
      </c>
      <c r="E114" s="9">
        <v>19727.2782903679</v>
      </c>
      <c r="F114" s="9">
        <v>13991.603040170499</v>
      </c>
      <c r="G114" s="9">
        <v>19727.283486384</v>
      </c>
      <c r="H114" s="9">
        <v>13991.606690282801</v>
      </c>
      <c r="I114" s="21">
        <f t="shared" si="2"/>
        <v>3.6501123013295E-3</v>
      </c>
      <c r="J114" s="21">
        <f t="shared" si="3"/>
        <v>5.1960160999442451E-3</v>
      </c>
    </row>
    <row r="115" spans="1:10" hidden="1">
      <c r="A115" t="s">
        <v>162</v>
      </c>
      <c r="B115" t="s">
        <v>164</v>
      </c>
      <c r="C115" s="18">
        <v>2041</v>
      </c>
      <c r="D115" t="s">
        <v>206</v>
      </c>
      <c r="E115" s="9">
        <v>1199988.2042968799</v>
      </c>
      <c r="F115" s="9">
        <v>257599.04638132299</v>
      </c>
      <c r="G115" s="9">
        <v>1199988.17586749</v>
      </c>
      <c r="H115" s="9">
        <v>257599.044002988</v>
      </c>
      <c r="I115" s="21">
        <f t="shared" si="2"/>
        <v>-2.3783349897712469E-3</v>
      </c>
      <c r="J115" s="21">
        <f t="shared" si="3"/>
        <v>-2.8429389931261539E-2</v>
      </c>
    </row>
    <row r="116" spans="1:10" hidden="1">
      <c r="A116" t="s">
        <v>162</v>
      </c>
      <c r="B116" t="s">
        <v>164</v>
      </c>
      <c r="C116" s="18">
        <v>2041</v>
      </c>
      <c r="D116" t="s">
        <v>174</v>
      </c>
      <c r="E116" s="9">
        <v>141475.456522675</v>
      </c>
      <c r="F116" s="9">
        <v>95526.930010374796</v>
      </c>
      <c r="G116" s="9">
        <v>141475.570851386</v>
      </c>
      <c r="H116" s="9">
        <v>95527.0063786807</v>
      </c>
      <c r="I116" s="21">
        <f t="shared" si="2"/>
        <v>7.6368305904907174E-2</v>
      </c>
      <c r="J116" s="21">
        <f t="shared" si="3"/>
        <v>0.11432871100259945</v>
      </c>
    </row>
    <row r="117" spans="1:10" hidden="1">
      <c r="A117" t="s">
        <v>162</v>
      </c>
      <c r="B117" t="s">
        <v>164</v>
      </c>
      <c r="C117" s="18">
        <v>2041</v>
      </c>
      <c r="D117" t="s">
        <v>178</v>
      </c>
      <c r="E117" s="9">
        <v>457697.90779591497</v>
      </c>
      <c r="F117" s="9">
        <v>425005.57473192201</v>
      </c>
      <c r="G117" s="9">
        <v>457698.12813480198</v>
      </c>
      <c r="H117" s="9">
        <v>425005.77720965003</v>
      </c>
      <c r="I117" s="21">
        <f t="shared" si="2"/>
        <v>0.20247772801667452</v>
      </c>
      <c r="J117" s="21">
        <f t="shared" si="3"/>
        <v>0.22033888701116666</v>
      </c>
    </row>
    <row r="118" spans="1:10" hidden="1">
      <c r="A118" t="s">
        <v>162</v>
      </c>
      <c r="B118" t="s">
        <v>164</v>
      </c>
      <c r="C118" s="18">
        <v>2041</v>
      </c>
      <c r="D118" t="s">
        <v>181</v>
      </c>
      <c r="E118" s="9">
        <v>788293.10368497798</v>
      </c>
      <c r="F118" s="9">
        <v>494390.79763644998</v>
      </c>
      <c r="G118" s="9">
        <v>788293.24275668897</v>
      </c>
      <c r="H118" s="9">
        <v>494390.87324825901</v>
      </c>
      <c r="I118" s="21">
        <f t="shared" si="2"/>
        <v>7.5611809035763144E-2</v>
      </c>
      <c r="J118" s="21">
        <f t="shared" si="3"/>
        <v>0.13907171098981053</v>
      </c>
    </row>
    <row r="119" spans="1:10" hidden="1">
      <c r="A119" t="s">
        <v>162</v>
      </c>
      <c r="B119" t="s">
        <v>164</v>
      </c>
      <c r="C119" s="18">
        <v>2041</v>
      </c>
      <c r="D119" t="s">
        <v>184</v>
      </c>
      <c r="E119" s="9">
        <v>601155.07583970297</v>
      </c>
      <c r="F119" s="9">
        <v>347924.63942844502</v>
      </c>
      <c r="G119" s="9">
        <v>601155.34094696096</v>
      </c>
      <c r="H119" s="9">
        <v>347924.76632707799</v>
      </c>
      <c r="I119" s="21">
        <f t="shared" si="2"/>
        <v>0.12689863296691328</v>
      </c>
      <c r="J119" s="21">
        <f t="shared" si="3"/>
        <v>0.26510725799016654</v>
      </c>
    </row>
    <row r="120" spans="1:10" hidden="1">
      <c r="A120" t="s">
        <v>162</v>
      </c>
      <c r="B120" t="s">
        <v>164</v>
      </c>
      <c r="C120" s="18">
        <v>2041</v>
      </c>
      <c r="D120" t="s">
        <v>365</v>
      </c>
      <c r="E120" s="9">
        <v>43360.935835663098</v>
      </c>
      <c r="F120" s="9">
        <v>7595.9953407789999</v>
      </c>
      <c r="G120" s="9">
        <v>43360.9356755525</v>
      </c>
      <c r="H120" s="9">
        <v>7595.9953338682099</v>
      </c>
      <c r="I120" s="21">
        <f t="shared" si="2"/>
        <v>-6.9107900344533846E-6</v>
      </c>
      <c r="J120" s="21">
        <f t="shared" si="3"/>
        <v>-1.6011059778975323E-4</v>
      </c>
    </row>
    <row r="121" spans="1:10" hidden="1">
      <c r="A121" t="s">
        <v>162</v>
      </c>
      <c r="B121" t="s">
        <v>164</v>
      </c>
      <c r="C121" s="18">
        <v>2042</v>
      </c>
      <c r="D121" t="s">
        <v>167</v>
      </c>
      <c r="E121" s="9">
        <v>20222.263212453399</v>
      </c>
      <c r="F121" s="9">
        <v>14284.613211195099</v>
      </c>
      <c r="G121" s="9">
        <v>20222.268399164699</v>
      </c>
      <c r="H121" s="9">
        <v>14284.6169088399</v>
      </c>
      <c r="I121" s="21">
        <f t="shared" si="2"/>
        <v>3.697644800922717E-3</v>
      </c>
      <c r="J121" s="21">
        <f t="shared" si="3"/>
        <v>5.1867112997570075E-3</v>
      </c>
    </row>
    <row r="122" spans="1:10" hidden="1">
      <c r="A122" t="s">
        <v>162</v>
      </c>
      <c r="B122" t="s">
        <v>164</v>
      </c>
      <c r="C122" s="18">
        <v>2042</v>
      </c>
      <c r="D122" t="s">
        <v>206</v>
      </c>
      <c r="E122" s="9">
        <v>1206799.6205089099</v>
      </c>
      <c r="F122" s="9">
        <v>265289.411941553</v>
      </c>
      <c r="G122" s="9">
        <v>1206799.58929471</v>
      </c>
      <c r="H122" s="9">
        <v>265289.409116733</v>
      </c>
      <c r="I122" s="21">
        <f t="shared" si="2"/>
        <v>-2.824819996021688E-3</v>
      </c>
      <c r="J122" s="21">
        <f t="shared" si="3"/>
        <v>-3.1214199960231781E-2</v>
      </c>
    </row>
    <row r="123" spans="1:10" hidden="1">
      <c r="A123" t="s">
        <v>162</v>
      </c>
      <c r="B123" t="s">
        <v>164</v>
      </c>
      <c r="C123" s="18">
        <v>2042</v>
      </c>
      <c r="D123" t="s">
        <v>174</v>
      </c>
      <c r="E123" s="9">
        <v>144247.95117574799</v>
      </c>
      <c r="F123" s="9">
        <v>97406.078770284003</v>
      </c>
      <c r="G123" s="9">
        <v>144248.066926011</v>
      </c>
      <c r="H123" s="9">
        <v>97406.156977096296</v>
      </c>
      <c r="I123" s="21">
        <f t="shared" si="2"/>
        <v>7.8206812293501571E-2</v>
      </c>
      <c r="J123" s="21">
        <f t="shared" si="3"/>
        <v>0.11575026300852187</v>
      </c>
    </row>
    <row r="124" spans="1:10" hidden="1">
      <c r="A124" t="s">
        <v>162</v>
      </c>
      <c r="B124" t="s">
        <v>164</v>
      </c>
      <c r="C124" s="18">
        <v>2042</v>
      </c>
      <c r="D124" t="s">
        <v>178</v>
      </c>
      <c r="E124" s="9">
        <v>464486.817217501</v>
      </c>
      <c r="F124" s="9">
        <v>431396.83817393298</v>
      </c>
      <c r="G124" s="9">
        <v>464487.03899019101</v>
      </c>
      <c r="H124" s="9">
        <v>431397.042999706</v>
      </c>
      <c r="I124" s="21">
        <f t="shared" si="2"/>
        <v>0.20482577302027494</v>
      </c>
      <c r="J124" s="21">
        <f t="shared" si="3"/>
        <v>0.22177269001258537</v>
      </c>
    </row>
    <row r="125" spans="1:10" hidden="1">
      <c r="A125" t="s">
        <v>162</v>
      </c>
      <c r="B125" t="s">
        <v>164</v>
      </c>
      <c r="C125" s="18">
        <v>2042</v>
      </c>
      <c r="D125" t="s">
        <v>181</v>
      </c>
      <c r="E125" s="9">
        <v>799225.36188820796</v>
      </c>
      <c r="F125" s="9">
        <v>503603.72565987002</v>
      </c>
      <c r="G125" s="9">
        <v>799225.499121645</v>
      </c>
      <c r="H125" s="9">
        <v>503603.80380956898</v>
      </c>
      <c r="I125" s="21">
        <f t="shared" si="2"/>
        <v>7.8149698965717107E-2</v>
      </c>
      <c r="J125" s="21">
        <f t="shared" si="3"/>
        <v>0.13723343703895807</v>
      </c>
    </row>
    <row r="126" spans="1:10" hidden="1">
      <c r="A126" t="s">
        <v>162</v>
      </c>
      <c r="B126" t="s">
        <v>164</v>
      </c>
      <c r="C126" s="18">
        <v>2042</v>
      </c>
      <c r="D126" t="s">
        <v>184</v>
      </c>
      <c r="E126" s="9">
        <v>612663.91086208099</v>
      </c>
      <c r="F126" s="9">
        <v>357930.80723730801</v>
      </c>
      <c r="G126" s="9">
        <v>612664.177038008</v>
      </c>
      <c r="H126" s="9">
        <v>357930.93950443697</v>
      </c>
      <c r="I126" s="21">
        <f t="shared" si="2"/>
        <v>0.13226712896721438</v>
      </c>
      <c r="J126" s="21">
        <f t="shared" si="3"/>
        <v>0.26617592701222748</v>
      </c>
    </row>
    <row r="127" spans="1:10" hidden="1">
      <c r="A127" t="s">
        <v>162</v>
      </c>
      <c r="B127" t="s">
        <v>164</v>
      </c>
      <c r="C127" s="18">
        <v>2042</v>
      </c>
      <c r="D127" t="s">
        <v>365</v>
      </c>
      <c r="E127" s="9">
        <v>43278.7286589414</v>
      </c>
      <c r="F127" s="9">
        <v>7616.5928116219702</v>
      </c>
      <c r="G127" s="9">
        <v>43278.728481607301</v>
      </c>
      <c r="H127" s="9">
        <v>7616.5928035502902</v>
      </c>
      <c r="I127" s="21">
        <f t="shared" si="2"/>
        <v>-8.0716799857327715E-6</v>
      </c>
      <c r="J127" s="21">
        <f t="shared" si="3"/>
        <v>-1.7733409913489595E-4</v>
      </c>
    </row>
    <row r="128" spans="1:10" hidden="1">
      <c r="A128" t="s">
        <v>162</v>
      </c>
      <c r="B128" t="s">
        <v>164</v>
      </c>
      <c r="C128" s="18">
        <v>2043</v>
      </c>
      <c r="D128" t="s">
        <v>167</v>
      </c>
      <c r="E128" s="9">
        <v>20720.543034589798</v>
      </c>
      <c r="F128" s="9">
        <v>14572.879419062499</v>
      </c>
      <c r="G128" s="9">
        <v>20720.548205455299</v>
      </c>
      <c r="H128" s="9">
        <v>14572.883153271399</v>
      </c>
      <c r="I128" s="21">
        <f t="shared" si="2"/>
        <v>3.7342088999139378E-3</v>
      </c>
      <c r="J128" s="21">
        <f t="shared" si="3"/>
        <v>5.1708655009861104E-3</v>
      </c>
    </row>
    <row r="129" spans="1:10" hidden="1">
      <c r="A129" t="s">
        <v>162</v>
      </c>
      <c r="B129" t="s">
        <v>164</v>
      </c>
      <c r="C129" s="18">
        <v>2043</v>
      </c>
      <c r="D129" t="s">
        <v>206</v>
      </c>
      <c r="E129" s="9">
        <v>1213049.2949441699</v>
      </c>
      <c r="F129" s="9">
        <v>272950.43872525101</v>
      </c>
      <c r="G129" s="9">
        <v>1213049.26096591</v>
      </c>
      <c r="H129" s="9">
        <v>272950.43541917799</v>
      </c>
      <c r="I129" s="21">
        <f t="shared" si="2"/>
        <v>-3.3060730202123523E-3</v>
      </c>
      <c r="J129" s="21">
        <f t="shared" si="3"/>
        <v>-3.3978259889408946E-2</v>
      </c>
    </row>
    <row r="130" spans="1:10" hidden="1">
      <c r="A130" t="s">
        <v>162</v>
      </c>
      <c r="B130" t="s">
        <v>164</v>
      </c>
      <c r="C130" s="18">
        <v>2043</v>
      </c>
      <c r="D130" t="s">
        <v>174</v>
      </c>
      <c r="E130" s="9">
        <v>146993.697082878</v>
      </c>
      <c r="F130" s="9">
        <v>99271.311283301795</v>
      </c>
      <c r="G130" s="9">
        <v>146993.81420820701</v>
      </c>
      <c r="H130" s="9">
        <v>99271.391168072907</v>
      </c>
      <c r="I130" s="21">
        <f t="shared" ref="I130:I193" si="4">H130-F130</f>
        <v>7.9884771112119779E-2</v>
      </c>
      <c r="J130" s="21">
        <f t="shared" ref="J130:J193" si="5">G130-E130</f>
        <v>0.11712532900855877</v>
      </c>
    </row>
    <row r="131" spans="1:10" hidden="1">
      <c r="A131" t="s">
        <v>162</v>
      </c>
      <c r="B131" t="s">
        <v>164</v>
      </c>
      <c r="C131" s="18">
        <v>2043</v>
      </c>
      <c r="D131" t="s">
        <v>178</v>
      </c>
      <c r="E131" s="9">
        <v>471154.61647412198</v>
      </c>
      <c r="F131" s="9">
        <v>437679.78152397502</v>
      </c>
      <c r="G131" s="9">
        <v>471154.83958066901</v>
      </c>
      <c r="H131" s="9">
        <v>437679.98847184202</v>
      </c>
      <c r="I131" s="21">
        <f t="shared" si="4"/>
        <v>0.20694786700187251</v>
      </c>
      <c r="J131" s="21">
        <f t="shared" si="5"/>
        <v>0.22310654702596366</v>
      </c>
    </row>
    <row r="132" spans="1:10" hidden="1">
      <c r="A132" t="s">
        <v>162</v>
      </c>
      <c r="B132" t="s">
        <v>164</v>
      </c>
      <c r="C132" s="18">
        <v>2043</v>
      </c>
      <c r="D132" t="s">
        <v>181</v>
      </c>
      <c r="E132" s="9">
        <v>810014.637542304</v>
      </c>
      <c r="F132" s="9">
        <v>512610.36884454399</v>
      </c>
      <c r="G132" s="9">
        <v>810014.77283431904</v>
      </c>
      <c r="H132" s="9">
        <v>512610.44917931297</v>
      </c>
      <c r="I132" s="21">
        <f t="shared" si="4"/>
        <v>8.0334768979810178E-2</v>
      </c>
      <c r="J132" s="21">
        <f t="shared" si="5"/>
        <v>0.13529201503843069</v>
      </c>
    </row>
    <row r="133" spans="1:10" hidden="1">
      <c r="A133" t="s">
        <v>162</v>
      </c>
      <c r="B133" t="s">
        <v>164</v>
      </c>
      <c r="C133" s="18">
        <v>2043</v>
      </c>
      <c r="D133" t="s">
        <v>184</v>
      </c>
      <c r="E133" s="9">
        <v>623953.08941865899</v>
      </c>
      <c r="F133" s="9">
        <v>367958.92196568998</v>
      </c>
      <c r="G133" s="9">
        <v>623953.35649413895</v>
      </c>
      <c r="H133" s="9">
        <v>367959.059248153</v>
      </c>
      <c r="I133" s="21">
        <f t="shared" si="4"/>
        <v>0.13728246302343905</v>
      </c>
      <c r="J133" s="21">
        <f t="shared" si="5"/>
        <v>0.26707547996193171</v>
      </c>
    </row>
    <row r="134" spans="1:10" hidden="1">
      <c r="A134" t="s">
        <v>162</v>
      </c>
      <c r="B134" t="s">
        <v>164</v>
      </c>
      <c r="C134" s="18">
        <v>2043</v>
      </c>
      <c r="D134" t="s">
        <v>365</v>
      </c>
      <c r="E134" s="9">
        <v>43232.138738986898</v>
      </c>
      <c r="F134" s="9">
        <v>7634.6381072188196</v>
      </c>
      <c r="G134" s="9">
        <v>43232.1385441846</v>
      </c>
      <c r="H134" s="9">
        <v>7634.6380979097503</v>
      </c>
      <c r="I134" s="21">
        <f t="shared" si="4"/>
        <v>-9.3090693553676829E-6</v>
      </c>
      <c r="J134" s="21">
        <f t="shared" si="5"/>
        <v>-1.9480229821056128E-4</v>
      </c>
    </row>
    <row r="135" spans="1:10" hidden="1">
      <c r="A135" t="s">
        <v>162</v>
      </c>
      <c r="B135" t="s">
        <v>164</v>
      </c>
      <c r="C135" s="18">
        <v>2044</v>
      </c>
      <c r="D135" t="s">
        <v>167</v>
      </c>
      <c r="E135" s="9">
        <v>21220.242223822701</v>
      </c>
      <c r="F135" s="9">
        <v>14861.4278085755</v>
      </c>
      <c r="G135" s="9">
        <v>21220.2473713984</v>
      </c>
      <c r="H135" s="9">
        <v>14861.4315691186</v>
      </c>
      <c r="I135" s="21">
        <f t="shared" si="4"/>
        <v>3.7605431007250445E-3</v>
      </c>
      <c r="J135" s="21">
        <f t="shared" si="5"/>
        <v>5.1475756990839727E-3</v>
      </c>
    </row>
    <row r="136" spans="1:10" hidden="1">
      <c r="A136" t="s">
        <v>162</v>
      </c>
      <c r="B136" t="s">
        <v>164</v>
      </c>
      <c r="C136" s="18">
        <v>2044</v>
      </c>
      <c r="D136" t="s">
        <v>206</v>
      </c>
      <c r="E136" s="9">
        <v>1218988.50372365</v>
      </c>
      <c r="F136" s="9">
        <v>280506.44535587297</v>
      </c>
      <c r="G136" s="9">
        <v>1218988.4670045001</v>
      </c>
      <c r="H136" s="9">
        <v>280506.44153550803</v>
      </c>
      <c r="I136" s="21">
        <f t="shared" si="4"/>
        <v>-3.8203649455681443E-3</v>
      </c>
      <c r="J136" s="21">
        <f t="shared" si="5"/>
        <v>-3.671914990991354E-2</v>
      </c>
    </row>
    <row r="137" spans="1:10" hidden="1">
      <c r="A137" t="s">
        <v>162</v>
      </c>
      <c r="B137" t="s">
        <v>164</v>
      </c>
      <c r="C137" s="18">
        <v>2044</v>
      </c>
      <c r="D137" t="s">
        <v>174</v>
      </c>
      <c r="E137" s="9">
        <v>149696.09552782701</v>
      </c>
      <c r="F137" s="9">
        <v>101112.208670462</v>
      </c>
      <c r="G137" s="9">
        <v>149696.21396730101</v>
      </c>
      <c r="H137" s="9">
        <v>101112.290089553</v>
      </c>
      <c r="I137" s="21">
        <f t="shared" si="4"/>
        <v>8.1419091002317145E-2</v>
      </c>
      <c r="J137" s="21">
        <f t="shared" si="5"/>
        <v>0.11843947399756871</v>
      </c>
    </row>
    <row r="138" spans="1:10" hidden="1">
      <c r="A138" t="s">
        <v>162</v>
      </c>
      <c r="B138" t="s">
        <v>164</v>
      </c>
      <c r="C138" s="18">
        <v>2044</v>
      </c>
      <c r="D138" t="s">
        <v>178</v>
      </c>
      <c r="E138" s="9">
        <v>477581.09055129701</v>
      </c>
      <c r="F138" s="9">
        <v>443800.428353114</v>
      </c>
      <c r="G138" s="9">
        <v>477581.31483664498</v>
      </c>
      <c r="H138" s="9">
        <v>443800.63719739497</v>
      </c>
      <c r="I138" s="21">
        <f t="shared" si="4"/>
        <v>0.20884428097633645</v>
      </c>
      <c r="J138" s="21">
        <f t="shared" si="5"/>
        <v>0.22428534796927124</v>
      </c>
    </row>
    <row r="139" spans="1:10" hidden="1">
      <c r="A139" t="s">
        <v>162</v>
      </c>
      <c r="B139" t="s">
        <v>164</v>
      </c>
      <c r="C139" s="18">
        <v>2044</v>
      </c>
      <c r="D139" t="s">
        <v>181</v>
      </c>
      <c r="E139" s="9">
        <v>820742.23686184699</v>
      </c>
      <c r="F139" s="9">
        <v>521420.08813529002</v>
      </c>
      <c r="G139" s="9">
        <v>820742.37012193399</v>
      </c>
      <c r="H139" s="9">
        <v>521420.17033099697</v>
      </c>
      <c r="I139" s="21">
        <f t="shared" si="4"/>
        <v>8.2195706956554204E-2</v>
      </c>
      <c r="J139" s="21">
        <f t="shared" si="5"/>
        <v>0.13326008699368685</v>
      </c>
    </row>
    <row r="140" spans="1:10" hidden="1">
      <c r="A140" t="s">
        <v>162</v>
      </c>
      <c r="B140" t="s">
        <v>164</v>
      </c>
      <c r="C140" s="18">
        <v>2044</v>
      </c>
      <c r="D140" t="s">
        <v>184</v>
      </c>
      <c r="E140" s="9">
        <v>635024.278648515</v>
      </c>
      <c r="F140" s="9">
        <v>377918.44795819803</v>
      </c>
      <c r="G140" s="9">
        <v>635024.54646764905</v>
      </c>
      <c r="H140" s="9">
        <v>377918.58989895799</v>
      </c>
      <c r="I140" s="21">
        <f t="shared" si="4"/>
        <v>0.14194075996056199</v>
      </c>
      <c r="J140" s="21">
        <f t="shared" si="5"/>
        <v>0.26781913405284286</v>
      </c>
    </row>
    <row r="141" spans="1:10" hidden="1">
      <c r="A141" t="s">
        <v>162</v>
      </c>
      <c r="B141" t="s">
        <v>164</v>
      </c>
      <c r="C141" s="18">
        <v>2044</v>
      </c>
      <c r="D141" t="s">
        <v>365</v>
      </c>
      <c r="E141" s="9">
        <v>43202.630251341398</v>
      </c>
      <c r="F141" s="9">
        <v>7652.7218363593001</v>
      </c>
      <c r="G141" s="9">
        <v>43202.630038859497</v>
      </c>
      <c r="H141" s="9">
        <v>7652.7218257366803</v>
      </c>
      <c r="I141" s="21">
        <f t="shared" si="4"/>
        <v>-1.0622619811329059E-5</v>
      </c>
      <c r="J141" s="21">
        <f t="shared" si="5"/>
        <v>-2.124819002347067E-4</v>
      </c>
    </row>
    <row r="142" spans="1:10" hidden="1">
      <c r="A142" t="s">
        <v>162</v>
      </c>
      <c r="B142" t="s">
        <v>164</v>
      </c>
      <c r="C142" s="18">
        <v>2045</v>
      </c>
      <c r="D142" t="s">
        <v>167</v>
      </c>
      <c r="E142" s="9">
        <v>21717.6114055537</v>
      </c>
      <c r="F142" s="9">
        <v>15148.294179213501</v>
      </c>
      <c r="G142" s="9">
        <v>21717.616521529701</v>
      </c>
      <c r="H142" s="9">
        <v>15148.297956242301</v>
      </c>
      <c r="I142" s="21">
        <f t="shared" si="4"/>
        <v>3.7770287999592256E-3</v>
      </c>
      <c r="J142" s="21">
        <f t="shared" si="5"/>
        <v>5.1159760005248245E-3</v>
      </c>
    </row>
    <row r="143" spans="1:10" hidden="1">
      <c r="A143" t="s">
        <v>162</v>
      </c>
      <c r="B143" t="s">
        <v>164</v>
      </c>
      <c r="C143" s="18">
        <v>2045</v>
      </c>
      <c r="D143" t="s">
        <v>206</v>
      </c>
      <c r="E143" s="9">
        <v>1224669.00587659</v>
      </c>
      <c r="F143" s="9">
        <v>287925.04758873302</v>
      </c>
      <c r="G143" s="9">
        <v>1224668.96644768</v>
      </c>
      <c r="H143" s="9">
        <v>287925.04322278401</v>
      </c>
      <c r="I143" s="21">
        <f t="shared" si="4"/>
        <v>-4.3659490183927119E-3</v>
      </c>
      <c r="J143" s="21">
        <f t="shared" si="5"/>
        <v>-3.9428910007700324E-2</v>
      </c>
    </row>
    <row r="144" spans="1:10" hidden="1">
      <c r="A144" t="s">
        <v>162</v>
      </c>
      <c r="B144" t="s">
        <v>164</v>
      </c>
      <c r="C144" s="18">
        <v>2045</v>
      </c>
      <c r="D144" t="s">
        <v>174</v>
      </c>
      <c r="E144" s="9">
        <v>152337.933136334</v>
      </c>
      <c r="F144" s="9">
        <v>102935.232150282</v>
      </c>
      <c r="G144" s="9">
        <v>152338.05281588601</v>
      </c>
      <c r="H144" s="9">
        <v>102935.314985138</v>
      </c>
      <c r="I144" s="21">
        <f t="shared" si="4"/>
        <v>8.283485600259155E-2</v>
      </c>
      <c r="J144" s="21">
        <f t="shared" si="5"/>
        <v>0.11967955200816505</v>
      </c>
    </row>
    <row r="145" spans="1:10" hidden="1">
      <c r="A145" t="s">
        <v>162</v>
      </c>
      <c r="B145" t="s">
        <v>164</v>
      </c>
      <c r="C145" s="18">
        <v>2045</v>
      </c>
      <c r="D145" t="s">
        <v>178</v>
      </c>
      <c r="E145" s="9">
        <v>483723.29082648602</v>
      </c>
      <c r="F145" s="9">
        <v>449717.34753247799</v>
      </c>
      <c r="G145" s="9">
        <v>483723.51612219802</v>
      </c>
      <c r="H145" s="9">
        <v>449717.558047709</v>
      </c>
      <c r="I145" s="21">
        <f t="shared" si="4"/>
        <v>0.21051523101050407</v>
      </c>
      <c r="J145" s="21">
        <f t="shared" si="5"/>
        <v>0.22529571200720966</v>
      </c>
    </row>
    <row r="146" spans="1:10" hidden="1">
      <c r="A146" t="s">
        <v>162</v>
      </c>
      <c r="B146" t="s">
        <v>164</v>
      </c>
      <c r="C146" s="18">
        <v>2045</v>
      </c>
      <c r="D146" t="s">
        <v>181</v>
      </c>
      <c r="E146" s="9">
        <v>831470.07895521796</v>
      </c>
      <c r="F146" s="9">
        <v>529994.14321443206</v>
      </c>
      <c r="G146" s="9">
        <v>831470.21009817696</v>
      </c>
      <c r="H146" s="9">
        <v>529994.22695920803</v>
      </c>
      <c r="I146" s="21">
        <f t="shared" si="4"/>
        <v>8.3744775969535112E-2</v>
      </c>
      <c r="J146" s="21">
        <f t="shared" si="5"/>
        <v>0.13114295899868011</v>
      </c>
    </row>
    <row r="147" spans="1:10" hidden="1">
      <c r="A147" t="s">
        <v>162</v>
      </c>
      <c r="B147" t="s">
        <v>164</v>
      </c>
      <c r="C147" s="18">
        <v>2045</v>
      </c>
      <c r="D147" t="s">
        <v>184</v>
      </c>
      <c r="E147" s="9">
        <v>645730.17934443394</v>
      </c>
      <c r="F147" s="9">
        <v>387750.532539626</v>
      </c>
      <c r="G147" s="9">
        <v>645730.44769895996</v>
      </c>
      <c r="H147" s="9">
        <v>387750.67878189799</v>
      </c>
      <c r="I147" s="21">
        <f t="shared" si="4"/>
        <v>0.14624227199237794</v>
      </c>
      <c r="J147" s="21">
        <f t="shared" si="5"/>
        <v>0.26835452602244914</v>
      </c>
    </row>
    <row r="148" spans="1:10" hidden="1">
      <c r="A148" t="s">
        <v>162</v>
      </c>
      <c r="B148" t="s">
        <v>164</v>
      </c>
      <c r="C148" s="18">
        <v>2045</v>
      </c>
      <c r="D148" t="s">
        <v>365</v>
      </c>
      <c r="E148" s="9">
        <v>43190.603981647902</v>
      </c>
      <c r="F148" s="9">
        <v>7672.0682387953902</v>
      </c>
      <c r="G148" s="9">
        <v>43190.603751316099</v>
      </c>
      <c r="H148" s="9">
        <v>7672.0682267846396</v>
      </c>
      <c r="I148" s="21">
        <f t="shared" si="4"/>
        <v>-1.2010750651825219E-5</v>
      </c>
      <c r="J148" s="21">
        <f t="shared" si="5"/>
        <v>-2.303318033227697E-4</v>
      </c>
    </row>
    <row r="149" spans="1:10" hidden="1">
      <c r="A149" t="s">
        <v>162</v>
      </c>
      <c r="B149" t="s">
        <v>164</v>
      </c>
      <c r="C149" s="18">
        <v>2046</v>
      </c>
      <c r="D149" t="s">
        <v>167</v>
      </c>
      <c r="E149" s="9">
        <v>22210.9694461287</v>
      </c>
      <c r="F149" s="9">
        <v>15436.888076467199</v>
      </c>
      <c r="G149" s="9">
        <v>22210.974521910699</v>
      </c>
      <c r="H149" s="9">
        <v>15436.8918612077</v>
      </c>
      <c r="I149" s="21">
        <f t="shared" si="4"/>
        <v>3.7847405001230072E-3</v>
      </c>
      <c r="J149" s="21">
        <f t="shared" si="5"/>
        <v>5.0757819990394637E-3</v>
      </c>
    </row>
    <row r="150" spans="1:10" hidden="1">
      <c r="A150" t="s">
        <v>162</v>
      </c>
      <c r="B150" t="s">
        <v>164</v>
      </c>
      <c r="C150" s="18">
        <v>2046</v>
      </c>
      <c r="D150" t="s">
        <v>206</v>
      </c>
      <c r="E150" s="9">
        <v>1230125.1108770601</v>
      </c>
      <c r="F150" s="9">
        <v>295165.88215043797</v>
      </c>
      <c r="G150" s="9">
        <v>1230125.0687766999</v>
      </c>
      <c r="H150" s="9">
        <v>295165.87720880198</v>
      </c>
      <c r="I150" s="21">
        <f t="shared" si="4"/>
        <v>-4.9416359979659319E-3</v>
      </c>
      <c r="J150" s="21">
        <f t="shared" si="5"/>
        <v>-4.2100360151380301E-2</v>
      </c>
    </row>
    <row r="151" spans="1:10" hidden="1">
      <c r="A151" t="s">
        <v>162</v>
      </c>
      <c r="B151" t="s">
        <v>164</v>
      </c>
      <c r="C151" s="18">
        <v>2046</v>
      </c>
      <c r="D151" t="s">
        <v>174</v>
      </c>
      <c r="E151" s="9">
        <v>154919.064354217</v>
      </c>
      <c r="F151" s="9">
        <v>104731.04984490199</v>
      </c>
      <c r="G151" s="9">
        <v>154919.18519988199</v>
      </c>
      <c r="H151" s="9">
        <v>104731.13398431199</v>
      </c>
      <c r="I151" s="21">
        <f t="shared" si="4"/>
        <v>8.4139409998897463E-2</v>
      </c>
      <c r="J151" s="21">
        <f t="shared" si="5"/>
        <v>0.12084566499106586</v>
      </c>
    </row>
    <row r="152" spans="1:10" hidden="1">
      <c r="A152" t="s">
        <v>162</v>
      </c>
      <c r="B152" t="s">
        <v>164</v>
      </c>
      <c r="C152" s="18">
        <v>2046</v>
      </c>
      <c r="D152" t="s">
        <v>178</v>
      </c>
      <c r="E152" s="9">
        <v>489559.34335861198</v>
      </c>
      <c r="F152" s="9">
        <v>455309.86809766799</v>
      </c>
      <c r="G152" s="9">
        <v>489559.56948849699</v>
      </c>
      <c r="H152" s="9">
        <v>455310.080020589</v>
      </c>
      <c r="I152" s="21">
        <f t="shared" si="4"/>
        <v>0.2119229210074991</v>
      </c>
      <c r="J152" s="21">
        <f t="shared" si="5"/>
        <v>0.22612988500623032</v>
      </c>
    </row>
    <row r="153" spans="1:10" hidden="1">
      <c r="A153" t="s">
        <v>162</v>
      </c>
      <c r="B153" t="s">
        <v>164</v>
      </c>
      <c r="C153" s="18">
        <v>2046</v>
      </c>
      <c r="D153" t="s">
        <v>181</v>
      </c>
      <c r="E153" s="9">
        <v>842022.08222537697</v>
      </c>
      <c r="F153" s="9">
        <v>538440.08322825097</v>
      </c>
      <c r="G153" s="9">
        <v>842022.211146035</v>
      </c>
      <c r="H153" s="9">
        <v>538440.16822828504</v>
      </c>
      <c r="I153" s="21">
        <f t="shared" si="4"/>
        <v>8.5000034072436392E-2</v>
      </c>
      <c r="J153" s="21">
        <f t="shared" si="5"/>
        <v>0.12892065802589059</v>
      </c>
    </row>
    <row r="154" spans="1:10" hidden="1">
      <c r="A154" t="s">
        <v>162</v>
      </c>
      <c r="B154" t="s">
        <v>164</v>
      </c>
      <c r="C154" s="18">
        <v>2046</v>
      </c>
      <c r="D154" t="s">
        <v>184</v>
      </c>
      <c r="E154" s="9">
        <v>656022.93518614699</v>
      </c>
      <c r="F154" s="9">
        <v>397431.80040474399</v>
      </c>
      <c r="G154" s="9">
        <v>656023.20384824695</v>
      </c>
      <c r="H154" s="9">
        <v>397431.95060261199</v>
      </c>
      <c r="I154" s="21">
        <f t="shared" si="4"/>
        <v>0.15019786800257862</v>
      </c>
      <c r="J154" s="21">
        <f t="shared" si="5"/>
        <v>0.26866209995932877</v>
      </c>
    </row>
    <row r="155" spans="1:10" hidden="1">
      <c r="A155" t="s">
        <v>162</v>
      </c>
      <c r="B155" t="s">
        <v>164</v>
      </c>
      <c r="C155" s="18">
        <v>2046</v>
      </c>
      <c r="D155" t="s">
        <v>365</v>
      </c>
      <c r="E155" s="9">
        <v>43196.310571476701</v>
      </c>
      <c r="F155" s="9">
        <v>7693.5570621243596</v>
      </c>
      <c r="G155" s="9">
        <v>43196.310323112302</v>
      </c>
      <c r="H155" s="9">
        <v>7693.5570486562501</v>
      </c>
      <c r="I155" s="21">
        <f t="shared" si="4"/>
        <v>-1.3468109500536229E-5</v>
      </c>
      <c r="J155" s="21">
        <f t="shared" si="5"/>
        <v>-2.4836439843056723E-4</v>
      </c>
    </row>
    <row r="156" spans="1:10" hidden="1">
      <c r="A156" t="s">
        <v>162</v>
      </c>
      <c r="B156" t="s">
        <v>164</v>
      </c>
      <c r="C156" s="18">
        <v>2047</v>
      </c>
      <c r="D156" t="s">
        <v>167</v>
      </c>
      <c r="E156" s="9">
        <v>22699.657935692001</v>
      </c>
      <c r="F156" s="9">
        <v>15728.481710272499</v>
      </c>
      <c r="G156" s="9">
        <v>22699.6629629007</v>
      </c>
      <c r="H156" s="9">
        <v>15728.485494730299</v>
      </c>
      <c r="I156" s="21">
        <f t="shared" si="4"/>
        <v>3.7844578000658657E-3</v>
      </c>
      <c r="J156" s="21">
        <f t="shared" si="5"/>
        <v>5.0272086991753895E-3</v>
      </c>
    </row>
    <row r="157" spans="1:10" hidden="1">
      <c r="A157" t="s">
        <v>162</v>
      </c>
      <c r="B157" t="s">
        <v>164</v>
      </c>
      <c r="C157" s="18">
        <v>2047</v>
      </c>
      <c r="D157" t="s">
        <v>206</v>
      </c>
      <c r="E157" s="9">
        <v>1235274.70994143</v>
      </c>
      <c r="F157" s="9">
        <v>302180.55585937598</v>
      </c>
      <c r="G157" s="9">
        <v>1235274.66521773</v>
      </c>
      <c r="H157" s="9">
        <v>302180.55031250097</v>
      </c>
      <c r="I157" s="21">
        <f t="shared" si="4"/>
        <v>-5.5468750069849193E-3</v>
      </c>
      <c r="J157" s="21">
        <f t="shared" si="5"/>
        <v>-4.4723700033500791E-2</v>
      </c>
    </row>
    <row r="158" spans="1:10" hidden="1">
      <c r="A158" t="s">
        <v>162</v>
      </c>
      <c r="B158" t="s">
        <v>164</v>
      </c>
      <c r="C158" s="18">
        <v>2047</v>
      </c>
      <c r="D158" t="s">
        <v>174</v>
      </c>
      <c r="E158" s="9">
        <v>157435.81540726</v>
      </c>
      <c r="F158" s="9">
        <v>106487.592423454</v>
      </c>
      <c r="G158" s="9">
        <v>157435.937342911</v>
      </c>
      <c r="H158" s="9">
        <v>106487.67776034201</v>
      </c>
      <c r="I158" s="21">
        <f t="shared" si="4"/>
        <v>8.5336888005258515E-2</v>
      </c>
      <c r="J158" s="21">
        <f t="shared" si="5"/>
        <v>0.1219356509973295</v>
      </c>
    </row>
    <row r="159" spans="1:10" hidden="1">
      <c r="A159" t="s">
        <v>162</v>
      </c>
      <c r="B159" t="s">
        <v>164</v>
      </c>
      <c r="C159" s="18">
        <v>2047</v>
      </c>
      <c r="D159" t="s">
        <v>178</v>
      </c>
      <c r="E159" s="9">
        <v>495047.104909243</v>
      </c>
      <c r="F159" s="9">
        <v>460539.214681343</v>
      </c>
      <c r="G159" s="9">
        <v>495047.33168069902</v>
      </c>
      <c r="H159" s="9">
        <v>460539.427749469</v>
      </c>
      <c r="I159" s="21">
        <f t="shared" si="4"/>
        <v>0.21306812600232661</v>
      </c>
      <c r="J159" s="21">
        <f t="shared" si="5"/>
        <v>0.22677145601483062</v>
      </c>
    </row>
    <row r="160" spans="1:10" hidden="1">
      <c r="A160" t="s">
        <v>162</v>
      </c>
      <c r="B160" t="s">
        <v>164</v>
      </c>
      <c r="C160" s="18">
        <v>2047</v>
      </c>
      <c r="D160" t="s">
        <v>181</v>
      </c>
      <c r="E160" s="9">
        <v>852356.91028087796</v>
      </c>
      <c r="F160" s="9">
        <v>546892.79875953402</v>
      </c>
      <c r="G160" s="9">
        <v>852357.03689663101</v>
      </c>
      <c r="H160" s="9">
        <v>546892.884748123</v>
      </c>
      <c r="I160" s="21">
        <f t="shared" si="4"/>
        <v>8.5988588980399072E-2</v>
      </c>
      <c r="J160" s="21">
        <f t="shared" si="5"/>
        <v>0.12661575304809958</v>
      </c>
    </row>
    <row r="161" spans="1:10" hidden="1">
      <c r="A161" t="s">
        <v>162</v>
      </c>
      <c r="B161" t="s">
        <v>164</v>
      </c>
      <c r="C161" s="18">
        <v>2047</v>
      </c>
      <c r="D161" t="s">
        <v>184</v>
      </c>
      <c r="E161" s="9">
        <v>665960.26177235902</v>
      </c>
      <c r="F161" s="9">
        <v>406938.15605637699</v>
      </c>
      <c r="G161" s="9">
        <v>665960.53053760703</v>
      </c>
      <c r="H161" s="9">
        <v>406938.30985862098</v>
      </c>
      <c r="I161" s="21">
        <f t="shared" si="4"/>
        <v>0.15380224399268627</v>
      </c>
      <c r="J161" s="21">
        <f t="shared" si="5"/>
        <v>0.2687652480090037</v>
      </c>
    </row>
    <row r="162" spans="1:10" hidden="1">
      <c r="A162" t="s">
        <v>162</v>
      </c>
      <c r="B162" t="s">
        <v>164</v>
      </c>
      <c r="C162" s="18">
        <v>2047</v>
      </c>
      <c r="D162" t="s">
        <v>365</v>
      </c>
      <c r="E162" s="9">
        <v>43217.634458938897</v>
      </c>
      <c r="F162" s="9">
        <v>7716.2645400686897</v>
      </c>
      <c r="G162" s="9">
        <v>43217.634192350401</v>
      </c>
      <c r="H162" s="9">
        <v>7716.2645250788601</v>
      </c>
      <c r="I162" s="21">
        <f t="shared" si="4"/>
        <v>-1.4989829651312903E-5</v>
      </c>
      <c r="J162" s="21">
        <f t="shared" si="5"/>
        <v>-2.6658849674277008E-4</v>
      </c>
    </row>
    <row r="163" spans="1:10" hidden="1">
      <c r="A163" t="s">
        <v>162</v>
      </c>
      <c r="B163" t="s">
        <v>164</v>
      </c>
      <c r="C163" s="18">
        <v>2048</v>
      </c>
      <c r="D163" t="s">
        <v>167</v>
      </c>
      <c r="E163" s="9">
        <v>23179.772559874102</v>
      </c>
      <c r="F163" s="9">
        <v>16025.2149836851</v>
      </c>
      <c r="G163" s="9">
        <v>23179.777529823201</v>
      </c>
      <c r="H163" s="9">
        <v>16025.2187605858</v>
      </c>
      <c r="I163" s="21">
        <f t="shared" si="4"/>
        <v>3.7769006994494703E-3</v>
      </c>
      <c r="J163" s="21">
        <f t="shared" si="5"/>
        <v>4.969949099177029E-3</v>
      </c>
    </row>
    <row r="164" spans="1:10" hidden="1">
      <c r="A164" t="s">
        <v>162</v>
      </c>
      <c r="B164" t="s">
        <v>164</v>
      </c>
      <c r="C164" s="18">
        <v>2048</v>
      </c>
      <c r="D164" t="s">
        <v>206</v>
      </c>
      <c r="E164" s="9">
        <v>1240209.1510531299</v>
      </c>
      <c r="F164" s="9">
        <v>308964.31655662198</v>
      </c>
      <c r="G164" s="9">
        <v>1240209.10376068</v>
      </c>
      <c r="H164" s="9">
        <v>308964.31037728197</v>
      </c>
      <c r="I164" s="21">
        <f t="shared" si="4"/>
        <v>-6.1793400091119111E-3</v>
      </c>
      <c r="J164" s="21">
        <f t="shared" si="5"/>
        <v>-4.7292449977248907E-2</v>
      </c>
    </row>
    <row r="165" spans="1:10" hidden="1">
      <c r="A165" t="s">
        <v>162</v>
      </c>
      <c r="B165" t="s">
        <v>164</v>
      </c>
      <c r="C165" s="18">
        <v>2048</v>
      </c>
      <c r="D165" t="s">
        <v>174</v>
      </c>
      <c r="E165" s="9">
        <v>159876.94661272399</v>
      </c>
      <c r="F165" s="9">
        <v>108205.222934536</v>
      </c>
      <c r="G165" s="9">
        <v>159877.06955740901</v>
      </c>
      <c r="H165" s="9">
        <v>108205.309376064</v>
      </c>
      <c r="I165" s="21">
        <f t="shared" si="4"/>
        <v>8.6441528008435853E-2</v>
      </c>
      <c r="J165" s="21">
        <f t="shared" si="5"/>
        <v>0.12294468501931988</v>
      </c>
    </row>
    <row r="166" spans="1:10" hidden="1">
      <c r="A166" t="s">
        <v>162</v>
      </c>
      <c r="B166" t="s">
        <v>164</v>
      </c>
      <c r="C166" s="18">
        <v>2048</v>
      </c>
      <c r="D166" t="s">
        <v>178</v>
      </c>
      <c r="E166" s="9">
        <v>500251.736412064</v>
      </c>
      <c r="F166" s="9">
        <v>465558.264950265</v>
      </c>
      <c r="G166" s="9">
        <v>500251.96367663803</v>
      </c>
      <c r="H166" s="9">
        <v>465558.478994868</v>
      </c>
      <c r="I166" s="21">
        <f t="shared" si="4"/>
        <v>0.21404460299527273</v>
      </c>
      <c r="J166" s="21">
        <f t="shared" si="5"/>
        <v>0.22726457403041422</v>
      </c>
    </row>
    <row r="167" spans="1:10" hidden="1">
      <c r="A167" t="s">
        <v>162</v>
      </c>
      <c r="B167" t="s">
        <v>164</v>
      </c>
      <c r="C167" s="18">
        <v>2048</v>
      </c>
      <c r="D167" t="s">
        <v>181</v>
      </c>
      <c r="E167" s="9">
        <v>862421.07343736198</v>
      </c>
      <c r="F167" s="9">
        <v>555219.16755792405</v>
      </c>
      <c r="G167" s="9">
        <v>862421.19766606798</v>
      </c>
      <c r="H167" s="9">
        <v>555219.25427407597</v>
      </c>
      <c r="I167" s="21">
        <f t="shared" si="4"/>
        <v>8.671615191269666E-2</v>
      </c>
      <c r="J167" s="21">
        <f t="shared" si="5"/>
        <v>0.12422870600130409</v>
      </c>
    </row>
    <row r="168" spans="1:10" hidden="1">
      <c r="A168" t="s">
        <v>162</v>
      </c>
      <c r="B168" t="s">
        <v>164</v>
      </c>
      <c r="C168" s="18">
        <v>2048</v>
      </c>
      <c r="D168" t="s">
        <v>184</v>
      </c>
      <c r="E168" s="9">
        <v>675537.79845136602</v>
      </c>
      <c r="F168" s="9">
        <v>416220.98859745701</v>
      </c>
      <c r="G168" s="9">
        <v>675538.06713143899</v>
      </c>
      <c r="H168" s="9">
        <v>416221.14564351598</v>
      </c>
      <c r="I168" s="21">
        <f t="shared" si="4"/>
        <v>0.15704605897190049</v>
      </c>
      <c r="J168" s="21">
        <f t="shared" si="5"/>
        <v>0.26868007297161967</v>
      </c>
    </row>
    <row r="169" spans="1:10" hidden="1">
      <c r="A169" t="s">
        <v>162</v>
      </c>
      <c r="B169" t="s">
        <v>164</v>
      </c>
      <c r="C169" s="18">
        <v>2048</v>
      </c>
      <c r="D169" t="s">
        <v>365</v>
      </c>
      <c r="E169" s="9">
        <v>43247.116853190601</v>
      </c>
      <c r="F169" s="9">
        <v>7740.9682488837398</v>
      </c>
      <c r="G169" s="9">
        <v>43247.116568268502</v>
      </c>
      <c r="H169" s="9">
        <v>7740.9682323091401</v>
      </c>
      <c r="I169" s="21">
        <f t="shared" si="4"/>
        <v>-1.6574599612795282E-5</v>
      </c>
      <c r="J169" s="21">
        <f t="shared" si="5"/>
        <v>-2.8492209821706638E-4</v>
      </c>
    </row>
    <row r="170" spans="1:10" hidden="1">
      <c r="A170" t="s">
        <v>162</v>
      </c>
      <c r="B170" t="s">
        <v>164</v>
      </c>
      <c r="C170" s="18">
        <v>2049</v>
      </c>
      <c r="D170" t="s">
        <v>167</v>
      </c>
      <c r="E170" s="9">
        <v>23650.3565790098</v>
      </c>
      <c r="F170" s="9">
        <v>16322.607753767999</v>
      </c>
      <c r="G170" s="9">
        <v>23650.361484044901</v>
      </c>
      <c r="H170" s="9">
        <v>16322.61151708</v>
      </c>
      <c r="I170" s="21">
        <f t="shared" si="4"/>
        <v>3.7633120009559207E-3</v>
      </c>
      <c r="J170" s="21">
        <f t="shared" si="5"/>
        <v>4.9050351008190773E-3</v>
      </c>
    </row>
    <row r="171" spans="1:10" hidden="1">
      <c r="A171" t="s">
        <v>162</v>
      </c>
      <c r="B171" t="s">
        <v>164</v>
      </c>
      <c r="C171" s="18">
        <v>2049</v>
      </c>
      <c r="D171" t="s">
        <v>206</v>
      </c>
      <c r="E171" s="9">
        <v>1244958.4261140199</v>
      </c>
      <c r="F171" s="9">
        <v>315528.66141115502</v>
      </c>
      <c r="G171" s="9">
        <v>1244958.37630862</v>
      </c>
      <c r="H171" s="9">
        <v>315528.65457465599</v>
      </c>
      <c r="I171" s="21">
        <f t="shared" si="4"/>
        <v>-6.8364990293048322E-3</v>
      </c>
      <c r="J171" s="21">
        <f t="shared" si="5"/>
        <v>-4.9805399961769581E-2</v>
      </c>
    </row>
    <row r="172" spans="1:10" hidden="1">
      <c r="A172" t="s">
        <v>162</v>
      </c>
      <c r="B172" t="s">
        <v>164</v>
      </c>
      <c r="C172" s="18">
        <v>2049</v>
      </c>
      <c r="D172" t="s">
        <v>174</v>
      </c>
      <c r="E172" s="9">
        <v>162238.01081176999</v>
      </c>
      <c r="F172" s="9">
        <v>109882.28368515401</v>
      </c>
      <c r="G172" s="9">
        <v>162238.134685625</v>
      </c>
      <c r="H172" s="9">
        <v>109882.371148655</v>
      </c>
      <c r="I172" s="21">
        <f t="shared" si="4"/>
        <v>8.7463500996818766E-2</v>
      </c>
      <c r="J172" s="21">
        <f t="shared" si="5"/>
        <v>0.12387385501642711</v>
      </c>
    </row>
    <row r="173" spans="1:10" hidden="1">
      <c r="A173" t="s">
        <v>162</v>
      </c>
      <c r="B173" t="s">
        <v>164</v>
      </c>
      <c r="C173" s="18">
        <v>2049</v>
      </c>
      <c r="D173" t="s">
        <v>178</v>
      </c>
      <c r="E173" s="9">
        <v>505215.67286802799</v>
      </c>
      <c r="F173" s="9">
        <v>470383.66528046702</v>
      </c>
      <c r="G173" s="9">
        <v>505215.90050813899</v>
      </c>
      <c r="H173" s="9">
        <v>470383.880162835</v>
      </c>
      <c r="I173" s="21">
        <f t="shared" si="4"/>
        <v>0.21488236798904836</v>
      </c>
      <c r="J173" s="21">
        <f t="shared" si="5"/>
        <v>0.22764011099934578</v>
      </c>
    </row>
    <row r="174" spans="1:10" hidden="1">
      <c r="A174" t="s">
        <v>162</v>
      </c>
      <c r="B174" t="s">
        <v>164</v>
      </c>
      <c r="C174" s="18">
        <v>2049</v>
      </c>
      <c r="D174" t="s">
        <v>181</v>
      </c>
      <c r="E174" s="9">
        <v>872039.29082502704</v>
      </c>
      <c r="F174" s="9">
        <v>563337.67840269394</v>
      </c>
      <c r="G174" s="9">
        <v>872039.41256190802</v>
      </c>
      <c r="H174" s="9">
        <v>563337.76559367101</v>
      </c>
      <c r="I174" s="21">
        <f t="shared" si="4"/>
        <v>8.719097706489265E-2</v>
      </c>
      <c r="J174" s="21">
        <f t="shared" si="5"/>
        <v>0.12173688097391278</v>
      </c>
    </row>
    <row r="175" spans="1:10" hidden="1">
      <c r="A175" t="s">
        <v>162</v>
      </c>
      <c r="B175" t="s">
        <v>164</v>
      </c>
      <c r="C175" s="18">
        <v>2049</v>
      </c>
      <c r="D175" t="s">
        <v>184</v>
      </c>
      <c r="E175" s="9">
        <v>684799.25080005405</v>
      </c>
      <c r="F175" s="9">
        <v>425211.13488737599</v>
      </c>
      <c r="G175" s="9">
        <v>684799.51924341801</v>
      </c>
      <c r="H175" s="9">
        <v>425211.29480666103</v>
      </c>
      <c r="I175" s="21">
        <f t="shared" si="4"/>
        <v>0.15991928504081443</v>
      </c>
      <c r="J175" s="21">
        <f t="shared" si="5"/>
        <v>0.26844336395151913</v>
      </c>
    </row>
    <row r="176" spans="1:10" hidden="1">
      <c r="A176" t="s">
        <v>162</v>
      </c>
      <c r="B176" t="s">
        <v>164</v>
      </c>
      <c r="C176" s="18">
        <v>2049</v>
      </c>
      <c r="D176" t="s">
        <v>365</v>
      </c>
      <c r="E176" s="9">
        <v>43287.694421426102</v>
      </c>
      <c r="F176" s="9">
        <v>7764.4250759535598</v>
      </c>
      <c r="G176" s="9">
        <v>43287.694118175197</v>
      </c>
      <c r="H176" s="9">
        <v>7764.4250577338198</v>
      </c>
      <c r="I176" s="21">
        <f t="shared" si="4"/>
        <v>-1.8219740013591945E-5</v>
      </c>
      <c r="J176" s="21">
        <f t="shared" si="5"/>
        <v>-3.0325090483529493E-4</v>
      </c>
    </row>
    <row r="177" spans="1:10" hidden="1">
      <c r="A177" t="s">
        <v>162</v>
      </c>
      <c r="B177" t="s">
        <v>164</v>
      </c>
      <c r="C177" s="18">
        <v>2050</v>
      </c>
      <c r="D177" t="s">
        <v>167</v>
      </c>
      <c r="E177" s="9">
        <v>24110.425792944301</v>
      </c>
      <c r="F177" s="9">
        <v>16618.919965032299</v>
      </c>
      <c r="G177" s="9">
        <v>24110.4306261692</v>
      </c>
      <c r="H177" s="9">
        <v>16618.923709126098</v>
      </c>
      <c r="I177" s="21">
        <f t="shared" si="4"/>
        <v>3.7440937994688284E-3</v>
      </c>
      <c r="J177" s="21">
        <f t="shared" si="5"/>
        <v>4.8332248989026994E-3</v>
      </c>
    </row>
    <row r="178" spans="1:10" hidden="1">
      <c r="A178" t="s">
        <v>162</v>
      </c>
      <c r="B178" t="s">
        <v>164</v>
      </c>
      <c r="C178" s="18">
        <v>2050</v>
      </c>
      <c r="D178" t="s">
        <v>206</v>
      </c>
      <c r="E178" s="9">
        <v>1249575.0335597</v>
      </c>
      <c r="F178" s="9">
        <v>321866.152939805</v>
      </c>
      <c r="G178" s="9">
        <v>1249574.9812984299</v>
      </c>
      <c r="H178" s="9">
        <v>321866.14542390499</v>
      </c>
      <c r="I178" s="21">
        <f t="shared" si="4"/>
        <v>-7.5159000116400421E-3</v>
      </c>
      <c r="J178" s="21">
        <f t="shared" si="5"/>
        <v>-5.2261270117014647E-2</v>
      </c>
    </row>
    <row r="179" spans="1:10" hidden="1">
      <c r="A179" t="s">
        <v>162</v>
      </c>
      <c r="B179" t="s">
        <v>164</v>
      </c>
      <c r="C179" s="18">
        <v>2050</v>
      </c>
      <c r="D179" t="s">
        <v>174</v>
      </c>
      <c r="E179" s="9">
        <v>164526.82486523801</v>
      </c>
      <c r="F179" s="9">
        <v>111496.17165983201</v>
      </c>
      <c r="G179" s="9">
        <v>164526.94959842</v>
      </c>
      <c r="H179" s="9">
        <v>111496.260054028</v>
      </c>
      <c r="I179" s="21">
        <f t="shared" si="4"/>
        <v>8.8394195990986191E-2</v>
      </c>
      <c r="J179" s="21">
        <f t="shared" si="5"/>
        <v>0.12473318199045025</v>
      </c>
    </row>
    <row r="180" spans="1:10" hidden="1">
      <c r="A180" t="s">
        <v>162</v>
      </c>
      <c r="B180" t="s">
        <v>164</v>
      </c>
      <c r="C180" s="18">
        <v>2050</v>
      </c>
      <c r="D180" t="s">
        <v>178</v>
      </c>
      <c r="E180" s="9">
        <v>509923.566756199</v>
      </c>
      <c r="F180" s="9">
        <v>474893.03901792102</v>
      </c>
      <c r="G180" s="9">
        <v>509923.79465326603</v>
      </c>
      <c r="H180" s="9">
        <v>474893.25455494301</v>
      </c>
      <c r="I180" s="21">
        <f t="shared" si="4"/>
        <v>0.21553702198434621</v>
      </c>
      <c r="J180" s="21">
        <f t="shared" si="5"/>
        <v>0.22789706703042611</v>
      </c>
    </row>
    <row r="181" spans="1:10" hidden="1">
      <c r="A181" t="s">
        <v>162</v>
      </c>
      <c r="B181" t="s">
        <v>164</v>
      </c>
      <c r="C181" s="18">
        <v>2050</v>
      </c>
      <c r="D181" t="s">
        <v>181</v>
      </c>
      <c r="E181" s="9">
        <v>881220.09101675404</v>
      </c>
      <c r="F181" s="9">
        <v>571305.04321836703</v>
      </c>
      <c r="G181" s="9">
        <v>881220.21017861494</v>
      </c>
      <c r="H181" s="9">
        <v>571305.13066545594</v>
      </c>
      <c r="I181" s="21">
        <f t="shared" si="4"/>
        <v>8.7447088910266757E-2</v>
      </c>
      <c r="J181" s="21">
        <f t="shared" si="5"/>
        <v>0.11916186090093106</v>
      </c>
    </row>
    <row r="182" spans="1:10" hidden="1">
      <c r="A182" t="s">
        <v>162</v>
      </c>
      <c r="B182" t="s">
        <v>164</v>
      </c>
      <c r="C182" s="18">
        <v>2050</v>
      </c>
      <c r="D182" t="s">
        <v>184</v>
      </c>
      <c r="E182" s="9">
        <v>693833.10770164896</v>
      </c>
      <c r="F182" s="9">
        <v>433927.95439491601</v>
      </c>
      <c r="G182" s="9">
        <v>693833.37581002596</v>
      </c>
      <c r="H182" s="9">
        <v>433928.11684243701</v>
      </c>
      <c r="I182" s="21">
        <f t="shared" si="4"/>
        <v>0.16244752099737525</v>
      </c>
      <c r="J182" s="21">
        <f t="shared" si="5"/>
        <v>0.26810837700031698</v>
      </c>
    </row>
    <row r="183" spans="1:10" hidden="1">
      <c r="A183" t="s">
        <v>162</v>
      </c>
      <c r="B183" t="s">
        <v>164</v>
      </c>
      <c r="C183" s="18">
        <v>2050</v>
      </c>
      <c r="D183" t="s">
        <v>365</v>
      </c>
      <c r="E183" s="9">
        <v>43337.334393344601</v>
      </c>
      <c r="F183" s="9">
        <v>7785.5925361664504</v>
      </c>
      <c r="G183" s="9">
        <v>43337.334071848098</v>
      </c>
      <c r="H183" s="9">
        <v>7785.5925162465101</v>
      </c>
      <c r="I183" s="21">
        <f t="shared" si="4"/>
        <v>-1.9919940314139239E-5</v>
      </c>
      <c r="J183" s="21">
        <f t="shared" si="5"/>
        <v>-3.2149650360224769E-4</v>
      </c>
    </row>
    <row r="184" spans="1:10" hidden="1">
      <c r="A184" t="s">
        <v>185</v>
      </c>
      <c r="B184" t="s">
        <v>187</v>
      </c>
      <c r="C184" s="18">
        <v>2025</v>
      </c>
      <c r="D184" t="s">
        <v>167</v>
      </c>
      <c r="E184" s="9">
        <v>12347.3896757033</v>
      </c>
      <c r="F184" s="9">
        <v>8975.3084972287597</v>
      </c>
      <c r="G184" s="9">
        <v>12347.3896757033</v>
      </c>
      <c r="H184" s="9">
        <v>8975.3084972287597</v>
      </c>
      <c r="I184" s="21">
        <f t="shared" si="4"/>
        <v>0</v>
      </c>
      <c r="J184" s="21">
        <f t="shared" si="5"/>
        <v>0</v>
      </c>
    </row>
    <row r="185" spans="1:10" hidden="1">
      <c r="A185" t="s">
        <v>185</v>
      </c>
      <c r="B185" t="s">
        <v>187</v>
      </c>
      <c r="C185" s="18">
        <v>2025</v>
      </c>
      <c r="D185" t="s">
        <v>206</v>
      </c>
      <c r="E185" s="9">
        <v>1026043.97207164</v>
      </c>
      <c r="F185" s="9">
        <v>129403.02283067199</v>
      </c>
      <c r="G185" s="9">
        <v>1026043.97207164</v>
      </c>
      <c r="H185" s="9">
        <v>129403.02283067199</v>
      </c>
      <c r="I185" s="21">
        <f t="shared" si="4"/>
        <v>0</v>
      </c>
      <c r="J185" s="21">
        <f t="shared" si="5"/>
        <v>0</v>
      </c>
    </row>
    <row r="186" spans="1:10" hidden="1">
      <c r="A186" t="s">
        <v>185</v>
      </c>
      <c r="B186" t="s">
        <v>187</v>
      </c>
      <c r="C186" s="18">
        <v>2025</v>
      </c>
      <c r="D186" t="s">
        <v>174</v>
      </c>
      <c r="E186" s="9">
        <v>91684.509014274605</v>
      </c>
      <c r="F186" s="9">
        <v>63318.751825202096</v>
      </c>
      <c r="G186" s="9">
        <v>91684.509014274605</v>
      </c>
      <c r="H186" s="9">
        <v>63318.751825202096</v>
      </c>
      <c r="I186" s="21">
        <f t="shared" si="4"/>
        <v>0</v>
      </c>
      <c r="J186" s="21">
        <f t="shared" si="5"/>
        <v>0</v>
      </c>
    </row>
    <row r="187" spans="1:10" hidden="1">
      <c r="A187" t="s">
        <v>185</v>
      </c>
      <c r="B187" t="s">
        <v>187</v>
      </c>
      <c r="C187" s="18">
        <v>2025</v>
      </c>
      <c r="D187" t="s">
        <v>178</v>
      </c>
      <c r="E187" s="9">
        <v>327817.99211152899</v>
      </c>
      <c r="F187" s="9">
        <v>300216.82861998002</v>
      </c>
      <c r="G187" s="9">
        <v>327817.99211152899</v>
      </c>
      <c r="H187" s="9">
        <v>300216.82861998002</v>
      </c>
      <c r="I187" s="21">
        <f t="shared" si="4"/>
        <v>0</v>
      </c>
      <c r="J187" s="21">
        <f t="shared" si="5"/>
        <v>0</v>
      </c>
    </row>
    <row r="188" spans="1:10" hidden="1">
      <c r="A188" t="s">
        <v>185</v>
      </c>
      <c r="B188" t="s">
        <v>187</v>
      </c>
      <c r="C188" s="18">
        <v>2025</v>
      </c>
      <c r="D188" t="s">
        <v>181</v>
      </c>
      <c r="E188" s="9">
        <v>563964.12892884796</v>
      </c>
      <c r="F188" s="9">
        <v>321188.16298793198</v>
      </c>
      <c r="G188" s="9">
        <v>563964.12892884796</v>
      </c>
      <c r="H188" s="9">
        <v>321188.16298793198</v>
      </c>
      <c r="I188" s="21">
        <f t="shared" si="4"/>
        <v>0</v>
      </c>
      <c r="J188" s="21">
        <f t="shared" si="5"/>
        <v>0</v>
      </c>
    </row>
    <row r="189" spans="1:10" hidden="1">
      <c r="A189" t="s">
        <v>185</v>
      </c>
      <c r="B189" t="s">
        <v>187</v>
      </c>
      <c r="C189" s="18">
        <v>2025</v>
      </c>
      <c r="D189" t="s">
        <v>184</v>
      </c>
      <c r="E189" s="9">
        <v>396205.91279756802</v>
      </c>
      <c r="F189" s="9">
        <v>191954.71357959701</v>
      </c>
      <c r="G189" s="9">
        <v>396205.91279756802</v>
      </c>
      <c r="H189" s="9">
        <v>191954.71357959701</v>
      </c>
      <c r="I189" s="21">
        <f t="shared" si="4"/>
        <v>0</v>
      </c>
      <c r="J189" s="21">
        <f t="shared" si="5"/>
        <v>0</v>
      </c>
    </row>
    <row r="190" spans="1:10" hidden="1">
      <c r="A190" t="s">
        <v>185</v>
      </c>
      <c r="B190" t="s">
        <v>187</v>
      </c>
      <c r="C190" s="18">
        <v>2025</v>
      </c>
      <c r="D190" t="s">
        <v>365</v>
      </c>
      <c r="E190" s="9">
        <v>44024.855784556101</v>
      </c>
      <c r="F190" s="9">
        <v>6961.0286695127397</v>
      </c>
      <c r="G190" s="9">
        <v>44024.855784556101</v>
      </c>
      <c r="H190" s="9">
        <v>6961.0286695127397</v>
      </c>
      <c r="I190" s="21">
        <f t="shared" si="4"/>
        <v>0</v>
      </c>
      <c r="J190" s="21">
        <f t="shared" si="5"/>
        <v>0</v>
      </c>
    </row>
    <row r="191" spans="1:10" hidden="1">
      <c r="A191" t="s">
        <v>185</v>
      </c>
      <c r="B191" t="s">
        <v>187</v>
      </c>
      <c r="C191" s="18">
        <v>2026</v>
      </c>
      <c r="D191" t="s">
        <v>167</v>
      </c>
      <c r="E191" s="9">
        <v>12812.5063258105</v>
      </c>
      <c r="F191" s="9">
        <v>9308.2642091095495</v>
      </c>
      <c r="G191" s="9">
        <v>12812.507871628</v>
      </c>
      <c r="H191" s="9">
        <v>9308.2642091095495</v>
      </c>
      <c r="I191" s="21">
        <f t="shared" si="4"/>
        <v>0</v>
      </c>
      <c r="J191" s="21">
        <f t="shared" si="5"/>
        <v>1.5458175003004726E-3</v>
      </c>
    </row>
    <row r="192" spans="1:10" hidden="1">
      <c r="A192" t="s">
        <v>185</v>
      </c>
      <c r="B192" t="s">
        <v>187</v>
      </c>
      <c r="C192" s="18">
        <v>2026</v>
      </c>
      <c r="D192" t="s">
        <v>206</v>
      </c>
      <c r="E192" s="9">
        <v>1040956.74283153</v>
      </c>
      <c r="F192" s="9">
        <v>137191.89613692299</v>
      </c>
      <c r="G192" s="9">
        <v>1040956.74283153</v>
      </c>
      <c r="H192" s="9">
        <v>137191.89613692299</v>
      </c>
      <c r="I192" s="21">
        <f t="shared" si="4"/>
        <v>0</v>
      </c>
      <c r="J192" s="21">
        <f t="shared" si="5"/>
        <v>0</v>
      </c>
    </row>
    <row r="193" spans="1:10" hidden="1">
      <c r="A193" t="s">
        <v>185</v>
      </c>
      <c r="B193" t="s">
        <v>187</v>
      </c>
      <c r="C193" s="18">
        <v>2026</v>
      </c>
      <c r="D193" t="s">
        <v>174</v>
      </c>
      <c r="E193" s="9">
        <v>95077.152964574707</v>
      </c>
      <c r="F193" s="9">
        <v>65164.470413401701</v>
      </c>
      <c r="G193" s="9">
        <v>95077.183303526501</v>
      </c>
      <c r="H193" s="9">
        <v>65164.470413401701</v>
      </c>
      <c r="I193" s="21">
        <f t="shared" si="4"/>
        <v>0</v>
      </c>
      <c r="J193" s="21">
        <f t="shared" si="5"/>
        <v>3.0338951793964952E-2</v>
      </c>
    </row>
    <row r="194" spans="1:10" hidden="1">
      <c r="A194" t="s">
        <v>185</v>
      </c>
      <c r="B194" t="s">
        <v>187</v>
      </c>
      <c r="C194" s="18">
        <v>2026</v>
      </c>
      <c r="D194" t="s">
        <v>178</v>
      </c>
      <c r="E194" s="9">
        <v>336875.35898043099</v>
      </c>
      <c r="F194" s="9">
        <v>308606.943045308</v>
      </c>
      <c r="G194" s="9">
        <v>336875.42349560501</v>
      </c>
      <c r="H194" s="9">
        <v>308606.943045308</v>
      </c>
      <c r="I194" s="21">
        <f t="shared" ref="I194:I257" si="6">H194-F194</f>
        <v>0</v>
      </c>
      <c r="J194" s="21">
        <f t="shared" ref="J194:J257" si="7">G194-E194</f>
        <v>6.4515174017287791E-2</v>
      </c>
    </row>
    <row r="195" spans="1:10" hidden="1">
      <c r="A195" t="s">
        <v>185</v>
      </c>
      <c r="B195" t="s">
        <v>187</v>
      </c>
      <c r="C195" s="18">
        <v>2026</v>
      </c>
      <c r="D195" t="s">
        <v>181</v>
      </c>
      <c r="E195" s="9">
        <v>580111.49241228204</v>
      </c>
      <c r="F195" s="9">
        <v>332896.18576831103</v>
      </c>
      <c r="G195" s="9">
        <v>580111.54195764905</v>
      </c>
      <c r="H195" s="9">
        <v>332896.18576831103</v>
      </c>
      <c r="I195" s="21">
        <f t="shared" si="6"/>
        <v>0</v>
      </c>
      <c r="J195" s="21">
        <f t="shared" si="7"/>
        <v>4.9545367015525699E-2</v>
      </c>
    </row>
    <row r="196" spans="1:10" hidden="1">
      <c r="A196" t="s">
        <v>185</v>
      </c>
      <c r="B196" t="s">
        <v>187</v>
      </c>
      <c r="C196" s="18">
        <v>2026</v>
      </c>
      <c r="D196" t="s">
        <v>184</v>
      </c>
      <c r="E196" s="9">
        <v>409829.79439483897</v>
      </c>
      <c r="F196" s="9">
        <v>202008.19978323701</v>
      </c>
      <c r="G196" s="9">
        <v>409829.87281699001</v>
      </c>
      <c r="H196" s="9">
        <v>202008.19978323701</v>
      </c>
      <c r="I196" s="21">
        <f t="shared" si="6"/>
        <v>0</v>
      </c>
      <c r="J196" s="21">
        <f t="shared" si="7"/>
        <v>7.8422151040285826E-2</v>
      </c>
    </row>
    <row r="197" spans="1:10" hidden="1">
      <c r="A197" t="s">
        <v>185</v>
      </c>
      <c r="B197" t="s">
        <v>187</v>
      </c>
      <c r="C197" s="18">
        <v>2026</v>
      </c>
      <c r="D197" t="s">
        <v>365</v>
      </c>
      <c r="E197" s="9">
        <v>44219.170751765298</v>
      </c>
      <c r="F197" s="9">
        <v>7023.7712687228704</v>
      </c>
      <c r="G197" s="9">
        <v>44219.170751765298</v>
      </c>
      <c r="H197" s="9">
        <v>7023.7712687228704</v>
      </c>
      <c r="I197" s="21">
        <f t="shared" si="6"/>
        <v>0</v>
      </c>
      <c r="J197" s="21">
        <f t="shared" si="7"/>
        <v>0</v>
      </c>
    </row>
    <row r="198" spans="1:10" hidden="1">
      <c r="A198" t="s">
        <v>185</v>
      </c>
      <c r="B198" t="s">
        <v>187</v>
      </c>
      <c r="C198" s="18">
        <v>2027</v>
      </c>
      <c r="D198" t="s">
        <v>167</v>
      </c>
      <c r="E198" s="9">
        <v>13273.4785626303</v>
      </c>
      <c r="F198" s="9">
        <v>9640.7150534108005</v>
      </c>
      <c r="G198" s="9">
        <v>13273.481772584</v>
      </c>
      <c r="H198" s="9">
        <v>9640.7153077701696</v>
      </c>
      <c r="I198" s="21">
        <f t="shared" si="6"/>
        <v>2.5435936913709156E-4</v>
      </c>
      <c r="J198" s="21">
        <f t="shared" si="7"/>
        <v>3.2099537002068246E-3</v>
      </c>
    </row>
    <row r="199" spans="1:10" hidden="1">
      <c r="A199" t="s">
        <v>185</v>
      </c>
      <c r="B199" t="s">
        <v>187</v>
      </c>
      <c r="C199" s="18">
        <v>2027</v>
      </c>
      <c r="D199" t="s">
        <v>206</v>
      </c>
      <c r="E199" s="9">
        <v>1055255.40879996</v>
      </c>
      <c r="F199" s="9">
        <v>145087.13077641799</v>
      </c>
      <c r="G199" s="9">
        <v>1055255.40879996</v>
      </c>
      <c r="H199" s="9">
        <v>145087.13077641799</v>
      </c>
      <c r="I199" s="21">
        <f t="shared" si="6"/>
        <v>0</v>
      </c>
      <c r="J199" s="21">
        <f t="shared" si="7"/>
        <v>0</v>
      </c>
    </row>
    <row r="200" spans="1:10" hidden="1">
      <c r="A200" t="s">
        <v>185</v>
      </c>
      <c r="B200" t="s">
        <v>187</v>
      </c>
      <c r="C200" s="18">
        <v>2027</v>
      </c>
      <c r="D200" t="s">
        <v>174</v>
      </c>
      <c r="E200" s="9">
        <v>98448.765105914499</v>
      </c>
      <c r="F200" s="9">
        <v>67068.011762219801</v>
      </c>
      <c r="G200" s="9">
        <v>98448.827883966893</v>
      </c>
      <c r="H200" s="9">
        <v>67068.016908610196</v>
      </c>
      <c r="I200" s="21">
        <f t="shared" si="6"/>
        <v>5.1463903946569189E-3</v>
      </c>
      <c r="J200" s="21">
        <f t="shared" si="7"/>
        <v>6.2778052393696271E-2</v>
      </c>
    </row>
    <row r="201" spans="1:10" hidden="1">
      <c r="A201" t="s">
        <v>185</v>
      </c>
      <c r="B201" t="s">
        <v>187</v>
      </c>
      <c r="C201" s="18">
        <v>2027</v>
      </c>
      <c r="D201" t="s">
        <v>178</v>
      </c>
      <c r="E201" s="9">
        <v>345936.57440221502</v>
      </c>
      <c r="F201" s="9">
        <v>317119.52513128001</v>
      </c>
      <c r="G201" s="9">
        <v>345936.70671640302</v>
      </c>
      <c r="H201" s="9">
        <v>317119.55355255498</v>
      </c>
      <c r="I201" s="21">
        <f t="shared" si="6"/>
        <v>2.8421274968422949E-2</v>
      </c>
      <c r="J201" s="21">
        <f t="shared" si="7"/>
        <v>0.13231418799841776</v>
      </c>
    </row>
    <row r="202" spans="1:10" hidden="1">
      <c r="A202" t="s">
        <v>185</v>
      </c>
      <c r="B202" t="s">
        <v>187</v>
      </c>
      <c r="C202" s="18">
        <v>2027</v>
      </c>
      <c r="D202" t="s">
        <v>181</v>
      </c>
      <c r="E202" s="9">
        <v>596148.73084378499</v>
      </c>
      <c r="F202" s="9">
        <v>344517.27146118198</v>
      </c>
      <c r="G202" s="9">
        <v>596148.83233467594</v>
      </c>
      <c r="H202" s="9">
        <v>344517.274659827</v>
      </c>
      <c r="I202" s="21">
        <f t="shared" si="6"/>
        <v>3.1986450194381177E-3</v>
      </c>
      <c r="J202" s="21">
        <f t="shared" si="7"/>
        <v>0.10149089095648378</v>
      </c>
    </row>
    <row r="203" spans="1:10" hidden="1">
      <c r="A203" t="s">
        <v>185</v>
      </c>
      <c r="B203" t="s">
        <v>187</v>
      </c>
      <c r="C203" s="18">
        <v>2027</v>
      </c>
      <c r="D203" t="s">
        <v>184</v>
      </c>
      <c r="E203" s="9">
        <v>423484.93979526003</v>
      </c>
      <c r="F203" s="9">
        <v>211995.48197399901</v>
      </c>
      <c r="G203" s="9">
        <v>423485.10132199898</v>
      </c>
      <c r="H203" s="9">
        <v>211995.48802417101</v>
      </c>
      <c r="I203" s="21">
        <f t="shared" si="6"/>
        <v>6.0501719999592751E-3</v>
      </c>
      <c r="J203" s="21">
        <f t="shared" si="7"/>
        <v>0.16152673895703629</v>
      </c>
    </row>
    <row r="204" spans="1:10" hidden="1">
      <c r="A204" t="s">
        <v>185</v>
      </c>
      <c r="B204" t="s">
        <v>187</v>
      </c>
      <c r="C204" s="18">
        <v>2027</v>
      </c>
      <c r="D204" t="s">
        <v>365</v>
      </c>
      <c r="E204" s="9">
        <v>44384.2018393689</v>
      </c>
      <c r="F204" s="9">
        <v>7080.0570056816796</v>
      </c>
      <c r="G204" s="9">
        <v>44384.2018393689</v>
      </c>
      <c r="H204" s="9">
        <v>7080.0570056816796</v>
      </c>
      <c r="I204" s="21">
        <f t="shared" si="6"/>
        <v>0</v>
      </c>
      <c r="J204" s="21">
        <f t="shared" si="7"/>
        <v>0</v>
      </c>
    </row>
    <row r="205" spans="1:10" hidden="1">
      <c r="A205" t="s">
        <v>185</v>
      </c>
      <c r="B205" t="s">
        <v>187</v>
      </c>
      <c r="C205" s="18">
        <v>2028</v>
      </c>
      <c r="D205" t="s">
        <v>167</v>
      </c>
      <c r="E205" s="9">
        <v>13729.495523638399</v>
      </c>
      <c r="F205" s="9">
        <v>9971.4539988111592</v>
      </c>
      <c r="G205" s="9">
        <v>13729.5005000864</v>
      </c>
      <c r="H205" s="9">
        <v>9971.4547216338906</v>
      </c>
      <c r="I205" s="21">
        <f t="shared" si="6"/>
        <v>7.2282273140444886E-4</v>
      </c>
      <c r="J205" s="21">
        <f t="shared" si="7"/>
        <v>4.9764480008889223E-3</v>
      </c>
    </row>
    <row r="206" spans="1:10" hidden="1">
      <c r="A206" t="s">
        <v>185</v>
      </c>
      <c r="B206" t="s">
        <v>187</v>
      </c>
      <c r="C206" s="18">
        <v>2028</v>
      </c>
      <c r="D206" t="s">
        <v>206</v>
      </c>
      <c r="E206" s="9">
        <v>1069005.0712340199</v>
      </c>
      <c r="F206" s="9">
        <v>153077.86738724401</v>
      </c>
      <c r="G206" s="9">
        <v>1069005.07088018</v>
      </c>
      <c r="H206" s="9">
        <v>153077.86738724401</v>
      </c>
      <c r="I206" s="21">
        <f t="shared" si="6"/>
        <v>0</v>
      </c>
      <c r="J206" s="21">
        <f t="shared" si="7"/>
        <v>-3.5383994691073895E-4</v>
      </c>
    </row>
    <row r="207" spans="1:10" hidden="1">
      <c r="A207" t="s">
        <v>185</v>
      </c>
      <c r="B207" t="s">
        <v>187</v>
      </c>
      <c r="C207" s="18">
        <v>2028</v>
      </c>
      <c r="D207" t="s">
        <v>174</v>
      </c>
      <c r="E207" s="9">
        <v>101797.87040229799</v>
      </c>
      <c r="F207" s="9">
        <v>69019.918619414399</v>
      </c>
      <c r="G207" s="9">
        <v>101797.96761407</v>
      </c>
      <c r="H207" s="9">
        <v>69019.933123164999</v>
      </c>
      <c r="I207" s="21">
        <f t="shared" si="6"/>
        <v>1.4503750600852072E-2</v>
      </c>
      <c r="J207" s="21">
        <f t="shared" si="7"/>
        <v>9.7211772008449771E-2</v>
      </c>
    </row>
    <row r="208" spans="1:10" hidden="1">
      <c r="A208" t="s">
        <v>185</v>
      </c>
      <c r="B208" t="s">
        <v>187</v>
      </c>
      <c r="C208" s="18">
        <v>2028</v>
      </c>
      <c r="D208" t="s">
        <v>178</v>
      </c>
      <c r="E208" s="9">
        <v>354965.33253487101</v>
      </c>
      <c r="F208" s="9">
        <v>325690.61274759698</v>
      </c>
      <c r="G208" s="9">
        <v>354965.53581913299</v>
      </c>
      <c r="H208" s="9">
        <v>325690.68301689299</v>
      </c>
      <c r="I208" s="21">
        <f t="shared" si="6"/>
        <v>7.0269296003971249E-2</v>
      </c>
      <c r="J208" s="21">
        <f t="shared" si="7"/>
        <v>0.20328426198102534</v>
      </c>
    </row>
    <row r="209" spans="1:10" hidden="1">
      <c r="A209" t="s">
        <v>185</v>
      </c>
      <c r="B209" t="s">
        <v>187</v>
      </c>
      <c r="C209" s="18">
        <v>2028</v>
      </c>
      <c r="D209" t="s">
        <v>181</v>
      </c>
      <c r="E209" s="9">
        <v>612031.50405876897</v>
      </c>
      <c r="F209" s="9">
        <v>356073.56191015802</v>
      </c>
      <c r="G209" s="9">
        <v>612031.65944475099</v>
      </c>
      <c r="H209" s="9">
        <v>356073.57143805898</v>
      </c>
      <c r="I209" s="21">
        <f t="shared" si="6"/>
        <v>9.527900954708457E-3</v>
      </c>
      <c r="J209" s="21">
        <f t="shared" si="7"/>
        <v>0.15538598201237619</v>
      </c>
    </row>
    <row r="210" spans="1:10" hidden="1">
      <c r="A210" t="s">
        <v>185</v>
      </c>
      <c r="B210" t="s">
        <v>187</v>
      </c>
      <c r="C210" s="18">
        <v>2028</v>
      </c>
      <c r="D210" t="s">
        <v>184</v>
      </c>
      <c r="E210" s="9">
        <v>437159.50622024701</v>
      </c>
      <c r="F210" s="9">
        <v>221908.941071543</v>
      </c>
      <c r="G210" s="9">
        <v>437159.75519195799</v>
      </c>
      <c r="H210" s="9">
        <v>221908.95856330299</v>
      </c>
      <c r="I210" s="21">
        <f t="shared" si="6"/>
        <v>1.7491759994300082E-2</v>
      </c>
      <c r="J210" s="21">
        <f t="shared" si="7"/>
        <v>0.24897171097109094</v>
      </c>
    </row>
    <row r="211" spans="1:10" hidden="1">
      <c r="A211" t="s">
        <v>185</v>
      </c>
      <c r="B211" t="s">
        <v>187</v>
      </c>
      <c r="C211" s="18">
        <v>2028</v>
      </c>
      <c r="D211" t="s">
        <v>365</v>
      </c>
      <c r="E211" s="9">
        <v>44510.064964814803</v>
      </c>
      <c r="F211" s="9">
        <v>7131.0701635649802</v>
      </c>
      <c r="G211" s="9">
        <v>44510.064962992903</v>
      </c>
      <c r="H211" s="9">
        <v>7131.0701635649802</v>
      </c>
      <c r="I211" s="21">
        <f t="shared" si="6"/>
        <v>0</v>
      </c>
      <c r="J211" s="21">
        <f t="shared" si="7"/>
        <v>-1.8218997865915298E-6</v>
      </c>
    </row>
    <row r="212" spans="1:10" hidden="1">
      <c r="A212" t="s">
        <v>185</v>
      </c>
      <c r="B212" t="s">
        <v>187</v>
      </c>
      <c r="C212" s="18">
        <v>2029</v>
      </c>
      <c r="D212" t="s">
        <v>167</v>
      </c>
      <c r="E212" s="9">
        <v>14181.416802366901</v>
      </c>
      <c r="F212" s="9">
        <v>10301.228204929401</v>
      </c>
      <c r="G212" s="9">
        <v>14181.423637546701</v>
      </c>
      <c r="H212" s="9">
        <v>10301.2295792609</v>
      </c>
      <c r="I212" s="21">
        <f t="shared" si="6"/>
        <v>1.3743314993917011E-3</v>
      </c>
      <c r="J212" s="21">
        <f t="shared" si="7"/>
        <v>6.835179799963953E-3</v>
      </c>
    </row>
    <row r="213" spans="1:10" hidden="1">
      <c r="A213" t="s">
        <v>185</v>
      </c>
      <c r="B213" t="s">
        <v>187</v>
      </c>
      <c r="C213" s="18">
        <v>2029</v>
      </c>
      <c r="D213" t="s">
        <v>206</v>
      </c>
      <c r="E213" s="9">
        <v>1082252.3954960001</v>
      </c>
      <c r="F213" s="9">
        <v>161161.06213915499</v>
      </c>
      <c r="G213" s="9">
        <v>1082252.3942307399</v>
      </c>
      <c r="H213" s="9">
        <v>161161.06213209301</v>
      </c>
      <c r="I213" s="21">
        <f t="shared" si="6"/>
        <v>-7.0619862526655197E-6</v>
      </c>
      <c r="J213" s="21">
        <f t="shared" si="7"/>
        <v>-1.2652601581066847E-3</v>
      </c>
    </row>
    <row r="214" spans="1:10" hidden="1">
      <c r="A214" t="s">
        <v>185</v>
      </c>
      <c r="B214" t="s">
        <v>187</v>
      </c>
      <c r="C214" s="18">
        <v>2029</v>
      </c>
      <c r="D214" t="s">
        <v>174</v>
      </c>
      <c r="E214" s="9">
        <v>105114.559790623</v>
      </c>
      <c r="F214" s="9">
        <v>71042.027034298604</v>
      </c>
      <c r="G214" s="9">
        <v>105114.693344183</v>
      </c>
      <c r="H214" s="9">
        <v>71042.054429439493</v>
      </c>
      <c r="I214" s="21">
        <f t="shared" si="6"/>
        <v>2.7395140888984315E-2</v>
      </c>
      <c r="J214" s="21">
        <f t="shared" si="7"/>
        <v>0.13355356000829488</v>
      </c>
    </row>
    <row r="215" spans="1:10" hidden="1">
      <c r="A215" t="s">
        <v>185</v>
      </c>
      <c r="B215" t="s">
        <v>187</v>
      </c>
      <c r="C215" s="18">
        <v>2029</v>
      </c>
      <c r="D215" t="s">
        <v>178</v>
      </c>
      <c r="E215" s="9">
        <v>363895.926976669</v>
      </c>
      <c r="F215" s="9">
        <v>334292.55609658099</v>
      </c>
      <c r="G215" s="9">
        <v>363896.20424716797</v>
      </c>
      <c r="H215" s="9">
        <v>334292.677138926</v>
      </c>
      <c r="I215" s="21">
        <f t="shared" si="6"/>
        <v>0.12104234501020983</v>
      </c>
      <c r="J215" s="21">
        <f t="shared" si="7"/>
        <v>0.27727049897657707</v>
      </c>
    </row>
    <row r="216" spans="1:10" hidden="1">
      <c r="A216" t="s">
        <v>185</v>
      </c>
      <c r="B216" t="s">
        <v>187</v>
      </c>
      <c r="C216" s="18">
        <v>2029</v>
      </c>
      <c r="D216" t="s">
        <v>181</v>
      </c>
      <c r="E216" s="9">
        <v>627726.12596606801</v>
      </c>
      <c r="F216" s="9">
        <v>367575.20387093001</v>
      </c>
      <c r="G216" s="9">
        <v>627726.33689879405</v>
      </c>
      <c r="H216" s="9">
        <v>367575.22274735</v>
      </c>
      <c r="I216" s="21">
        <f t="shared" si="6"/>
        <v>1.8876419984735548E-2</v>
      </c>
      <c r="J216" s="21">
        <f t="shared" si="7"/>
        <v>0.21093272604048252</v>
      </c>
    </row>
    <row r="217" spans="1:10" hidden="1">
      <c r="A217" t="s">
        <v>185</v>
      </c>
      <c r="B217" t="s">
        <v>187</v>
      </c>
      <c r="C217" s="18">
        <v>2029</v>
      </c>
      <c r="D217" t="s">
        <v>184</v>
      </c>
      <c r="E217" s="9">
        <v>450785.79349700297</v>
      </c>
      <c r="F217" s="9">
        <v>231707.984934226</v>
      </c>
      <c r="G217" s="9">
        <v>450786.13401356898</v>
      </c>
      <c r="H217" s="9">
        <v>231708.01887569</v>
      </c>
      <c r="I217" s="21">
        <f t="shared" si="6"/>
        <v>3.3941464003873989E-2</v>
      </c>
      <c r="J217" s="21">
        <f t="shared" si="7"/>
        <v>0.34051656600786373</v>
      </c>
    </row>
    <row r="218" spans="1:10" hidden="1">
      <c r="A218" t="s">
        <v>185</v>
      </c>
      <c r="B218" t="s">
        <v>187</v>
      </c>
      <c r="C218" s="18">
        <v>2029</v>
      </c>
      <c r="D218" t="s">
        <v>365</v>
      </c>
      <c r="E218" s="9">
        <v>44600.261450156097</v>
      </c>
      <c r="F218" s="9">
        <v>7178.21931599872</v>
      </c>
      <c r="G218" s="9">
        <v>44600.261443595497</v>
      </c>
      <c r="H218" s="9">
        <v>7178.2193159725202</v>
      </c>
      <c r="I218" s="21">
        <f t="shared" si="6"/>
        <v>-2.6199813873972744E-8</v>
      </c>
      <c r="J218" s="21">
        <f t="shared" si="7"/>
        <v>-6.5606000134721398E-6</v>
      </c>
    </row>
    <row r="219" spans="1:10" hidden="1">
      <c r="A219" t="s">
        <v>185</v>
      </c>
      <c r="B219" t="s">
        <v>187</v>
      </c>
      <c r="C219" s="18">
        <v>2030</v>
      </c>
      <c r="D219" t="s">
        <v>167</v>
      </c>
      <c r="E219" s="9">
        <v>14630.9175795143</v>
      </c>
      <c r="F219" s="9">
        <v>10630.2680834071</v>
      </c>
      <c r="G219" s="9">
        <v>14630.9263575645</v>
      </c>
      <c r="H219" s="9">
        <v>10630.2702680602</v>
      </c>
      <c r="I219" s="21">
        <f t="shared" si="6"/>
        <v>2.1846530999027891E-3</v>
      </c>
      <c r="J219" s="21">
        <f t="shared" si="7"/>
        <v>8.7780501999077387E-3</v>
      </c>
    </row>
    <row r="220" spans="1:10" hidden="1">
      <c r="A220" t="s">
        <v>185</v>
      </c>
      <c r="B220" t="s">
        <v>187</v>
      </c>
      <c r="C220" s="18">
        <v>2030</v>
      </c>
      <c r="D220" t="s">
        <v>206</v>
      </c>
      <c r="E220" s="9">
        <v>1094956.8473326301</v>
      </c>
      <c r="F220" s="9">
        <v>169314.83407011299</v>
      </c>
      <c r="G220" s="9">
        <v>1094956.8444496701</v>
      </c>
      <c r="H220" s="9">
        <v>169314.83403803801</v>
      </c>
      <c r="I220" s="21">
        <f t="shared" si="6"/>
        <v>-3.2074982300400734E-5</v>
      </c>
      <c r="J220" s="21">
        <f t="shared" si="7"/>
        <v>-2.8829600196331739E-3</v>
      </c>
    </row>
    <row r="221" spans="1:10" hidden="1">
      <c r="A221" t="s">
        <v>185</v>
      </c>
      <c r="B221" t="s">
        <v>187</v>
      </c>
      <c r="C221" s="18">
        <v>2030</v>
      </c>
      <c r="D221" t="s">
        <v>174</v>
      </c>
      <c r="E221" s="9">
        <v>108393.602045002</v>
      </c>
      <c r="F221" s="9">
        <v>73120.757787420298</v>
      </c>
      <c r="G221" s="9">
        <v>108393.77376611999</v>
      </c>
      <c r="H221" s="9">
        <v>73120.8011068864</v>
      </c>
      <c r="I221" s="21">
        <f t="shared" si="6"/>
        <v>4.3319466101820581E-2</v>
      </c>
      <c r="J221" s="21">
        <f t="shared" si="7"/>
        <v>0.17172111799300183</v>
      </c>
    </row>
    <row r="222" spans="1:10" hidden="1">
      <c r="A222" t="s">
        <v>185</v>
      </c>
      <c r="B222" t="s">
        <v>187</v>
      </c>
      <c r="C222" s="18">
        <v>2030</v>
      </c>
      <c r="D222" t="s">
        <v>178</v>
      </c>
      <c r="E222" s="9">
        <v>372741.44131096097</v>
      </c>
      <c r="F222" s="9">
        <v>342889.45688134799</v>
      </c>
      <c r="G222" s="9">
        <v>372741.79546126397</v>
      </c>
      <c r="H222" s="9">
        <v>342889.63536639401</v>
      </c>
      <c r="I222" s="21">
        <f t="shared" si="6"/>
        <v>0.17848504602443427</v>
      </c>
      <c r="J222" s="21">
        <f t="shared" si="7"/>
        <v>0.35415030299918726</v>
      </c>
    </row>
    <row r="223" spans="1:10" hidden="1">
      <c r="A223" t="s">
        <v>185</v>
      </c>
      <c r="B223" t="s">
        <v>187</v>
      </c>
      <c r="C223" s="18">
        <v>2030</v>
      </c>
      <c r="D223" t="s">
        <v>181</v>
      </c>
      <c r="E223" s="9">
        <v>643153.94344863598</v>
      </c>
      <c r="F223" s="9">
        <v>378940.20016255497</v>
      </c>
      <c r="G223" s="9">
        <v>643154.21130562795</v>
      </c>
      <c r="H223" s="9">
        <v>378940.23126744502</v>
      </c>
      <c r="I223" s="21">
        <f t="shared" si="6"/>
        <v>3.1104890047572553E-2</v>
      </c>
      <c r="J223" s="21">
        <f t="shared" si="7"/>
        <v>0.26785699196625501</v>
      </c>
    </row>
    <row r="224" spans="1:10" hidden="1">
      <c r="A224" t="s">
        <v>185</v>
      </c>
      <c r="B224" t="s">
        <v>187</v>
      </c>
      <c r="C224" s="18">
        <v>2030</v>
      </c>
      <c r="D224" t="s">
        <v>184</v>
      </c>
      <c r="E224" s="9">
        <v>464360.08213803498</v>
      </c>
      <c r="F224" s="9">
        <v>241310.254815808</v>
      </c>
      <c r="G224" s="9">
        <v>464360.51810377202</v>
      </c>
      <c r="H224" s="9">
        <v>241310.309903655</v>
      </c>
      <c r="I224" s="21">
        <f t="shared" si="6"/>
        <v>5.5087846994865686E-2</v>
      </c>
      <c r="J224" s="21">
        <f t="shared" si="7"/>
        <v>0.43596573703689501</v>
      </c>
    </row>
    <row r="225" spans="1:10" hidden="1">
      <c r="A225" t="s">
        <v>185</v>
      </c>
      <c r="B225" t="s">
        <v>187</v>
      </c>
      <c r="C225" s="18">
        <v>2030</v>
      </c>
      <c r="D225" t="s">
        <v>365</v>
      </c>
      <c r="E225" s="9">
        <v>44647.268930347898</v>
      </c>
      <c r="F225" s="9">
        <v>7223.1103148592301</v>
      </c>
      <c r="G225" s="9">
        <v>44647.268915282999</v>
      </c>
      <c r="H225" s="9">
        <v>7223.1103147423601</v>
      </c>
      <c r="I225" s="21">
        <f t="shared" si="6"/>
        <v>-1.1687006917782128E-7</v>
      </c>
      <c r="J225" s="21">
        <f t="shared" si="7"/>
        <v>-1.506489934399724E-5</v>
      </c>
    </row>
    <row r="226" spans="1:10" hidden="1">
      <c r="A226" t="s">
        <v>185</v>
      </c>
      <c r="B226" t="s">
        <v>187</v>
      </c>
      <c r="C226" s="18">
        <v>2031</v>
      </c>
      <c r="D226" t="s">
        <v>167</v>
      </c>
      <c r="E226" s="9">
        <v>15080.3735903043</v>
      </c>
      <c r="F226" s="9">
        <v>10955.422399777501</v>
      </c>
      <c r="G226" s="9">
        <v>15080.3825495532</v>
      </c>
      <c r="H226" s="9">
        <v>10955.4255331558</v>
      </c>
      <c r="I226" s="21">
        <f t="shared" si="6"/>
        <v>3.1333782990259351E-3</v>
      </c>
      <c r="J226" s="21">
        <f t="shared" si="7"/>
        <v>8.9592489002825459E-3</v>
      </c>
    </row>
    <row r="227" spans="1:10" hidden="1">
      <c r="A227" t="s">
        <v>185</v>
      </c>
      <c r="B227" t="s">
        <v>187</v>
      </c>
      <c r="C227" s="18">
        <v>2031</v>
      </c>
      <c r="D227" t="s">
        <v>206</v>
      </c>
      <c r="E227" s="9">
        <v>1107027.6969522301</v>
      </c>
      <c r="F227" s="9">
        <v>177510.90628525999</v>
      </c>
      <c r="G227" s="9">
        <v>1107027.6916289399</v>
      </c>
      <c r="H227" s="9">
        <v>177510.90619666901</v>
      </c>
      <c r="I227" s="21">
        <f t="shared" si="6"/>
        <v>-8.8590983068570495E-5</v>
      </c>
      <c r="J227" s="21">
        <f t="shared" si="7"/>
        <v>-5.3232901263982058E-3</v>
      </c>
    </row>
    <row r="228" spans="1:10" hidden="1">
      <c r="A228" t="s">
        <v>185</v>
      </c>
      <c r="B228" t="s">
        <v>187</v>
      </c>
      <c r="C228" s="18">
        <v>2031</v>
      </c>
      <c r="D228" t="s">
        <v>174</v>
      </c>
      <c r="E228" s="9">
        <v>111632.771548412</v>
      </c>
      <c r="F228" s="9">
        <v>75230.157768504199</v>
      </c>
      <c r="G228" s="9">
        <v>111632.94755435199</v>
      </c>
      <c r="H228" s="9">
        <v>75230.219664338001</v>
      </c>
      <c r="I228" s="21">
        <f t="shared" si="6"/>
        <v>6.1895833801827393E-2</v>
      </c>
      <c r="J228" s="21">
        <f t="shared" si="7"/>
        <v>0.1760059399966849</v>
      </c>
    </row>
    <row r="229" spans="1:10" hidden="1">
      <c r="A229" t="s">
        <v>185</v>
      </c>
      <c r="B229" t="s">
        <v>187</v>
      </c>
      <c r="C229" s="18">
        <v>2031</v>
      </c>
      <c r="D229" t="s">
        <v>178</v>
      </c>
      <c r="E229" s="9">
        <v>381469.90623075602</v>
      </c>
      <c r="F229" s="9">
        <v>351432.27738013299</v>
      </c>
      <c r="G229" s="9">
        <v>381470.26678102103</v>
      </c>
      <c r="H229" s="9">
        <v>351432.51867295097</v>
      </c>
      <c r="I229" s="21">
        <f t="shared" si="6"/>
        <v>0.24129281798377633</v>
      </c>
      <c r="J229" s="21">
        <f t="shared" si="7"/>
        <v>0.36055026500253007</v>
      </c>
    </row>
    <row r="230" spans="1:10" hidden="1">
      <c r="A230" t="s">
        <v>185</v>
      </c>
      <c r="B230" t="s">
        <v>187</v>
      </c>
      <c r="C230" s="18">
        <v>2031</v>
      </c>
      <c r="D230" t="s">
        <v>181</v>
      </c>
      <c r="E230" s="9">
        <v>658281.87963425496</v>
      </c>
      <c r="F230" s="9">
        <v>390180.95696195099</v>
      </c>
      <c r="G230" s="9">
        <v>658282.14926881401</v>
      </c>
      <c r="H230" s="9">
        <v>390181.00302030199</v>
      </c>
      <c r="I230" s="21">
        <f t="shared" si="6"/>
        <v>4.6058350999373943E-2</v>
      </c>
      <c r="J230" s="21">
        <f t="shared" si="7"/>
        <v>0.26963455905206501</v>
      </c>
    </row>
    <row r="231" spans="1:10" hidden="1">
      <c r="A231" t="s">
        <v>185</v>
      </c>
      <c r="B231" t="s">
        <v>187</v>
      </c>
      <c r="C231" s="18">
        <v>2031</v>
      </c>
      <c r="D231" t="s">
        <v>184</v>
      </c>
      <c r="E231" s="9">
        <v>477777.70268341998</v>
      </c>
      <c r="F231" s="9">
        <v>250815.70198608501</v>
      </c>
      <c r="G231" s="9">
        <v>477778.14604748198</v>
      </c>
      <c r="H231" s="9">
        <v>250815.78266259201</v>
      </c>
      <c r="I231" s="21">
        <f t="shared" si="6"/>
        <v>8.0676507001044229E-2</v>
      </c>
      <c r="J231" s="21">
        <f t="shared" si="7"/>
        <v>0.44336406199727207</v>
      </c>
    </row>
    <row r="232" spans="1:10" hidden="1">
      <c r="A232" t="s">
        <v>185</v>
      </c>
      <c r="B232" t="s">
        <v>187</v>
      </c>
      <c r="C232" s="18">
        <v>2031</v>
      </c>
      <c r="D232" t="s">
        <v>365</v>
      </c>
      <c r="E232" s="9">
        <v>44640.347323510803</v>
      </c>
      <c r="F232" s="9">
        <v>7266.7660005243897</v>
      </c>
      <c r="G232" s="9">
        <v>44640.347295477797</v>
      </c>
      <c r="H232" s="9">
        <v>7266.7660002075399</v>
      </c>
      <c r="I232" s="21">
        <f t="shared" si="6"/>
        <v>-3.1684976420365274E-7</v>
      </c>
      <c r="J232" s="21">
        <f t="shared" si="7"/>
        <v>-2.8033005946781486E-5</v>
      </c>
    </row>
    <row r="233" spans="1:10" hidden="1">
      <c r="A233" t="s">
        <v>185</v>
      </c>
      <c r="B233" t="s">
        <v>187</v>
      </c>
      <c r="C233" s="18">
        <v>2032</v>
      </c>
      <c r="D233" t="s">
        <v>167</v>
      </c>
      <c r="E233" s="9">
        <v>15531.2510981289</v>
      </c>
      <c r="F233" s="9">
        <v>11274.4915556327</v>
      </c>
      <c r="G233" s="9">
        <v>15531.2601955666</v>
      </c>
      <c r="H233" s="9">
        <v>11274.495449735199</v>
      </c>
      <c r="I233" s="21">
        <f t="shared" si="6"/>
        <v>3.8941024995438056E-3</v>
      </c>
      <c r="J233" s="21">
        <f t="shared" si="7"/>
        <v>9.0974376998929074E-3</v>
      </c>
    </row>
    <row r="234" spans="1:10" hidden="1">
      <c r="A234" t="s">
        <v>185</v>
      </c>
      <c r="B234" t="s">
        <v>187</v>
      </c>
      <c r="C234" s="18">
        <v>2032</v>
      </c>
      <c r="D234" t="s">
        <v>206</v>
      </c>
      <c r="E234" s="9">
        <v>1118477.3361800699</v>
      </c>
      <c r="F234" s="9">
        <v>185725.999250589</v>
      </c>
      <c r="G234" s="9">
        <v>1118477.3274982399</v>
      </c>
      <c r="H234" s="9">
        <v>185725.99905880101</v>
      </c>
      <c r="I234" s="21">
        <f t="shared" si="6"/>
        <v>-1.9178798538632691E-4</v>
      </c>
      <c r="J234" s="21">
        <f t="shared" si="7"/>
        <v>-8.6818300187587738E-3</v>
      </c>
    </row>
    <row r="235" spans="1:10" hidden="1">
      <c r="A235" t="s">
        <v>185</v>
      </c>
      <c r="B235" t="s">
        <v>187</v>
      </c>
      <c r="C235" s="18">
        <v>2032</v>
      </c>
      <c r="D235" t="s">
        <v>174</v>
      </c>
      <c r="E235" s="9">
        <v>114835.04180203599</v>
      </c>
      <c r="F235" s="9">
        <v>77352.984170678101</v>
      </c>
      <c r="G235" s="9">
        <v>114835.221802653</v>
      </c>
      <c r="H235" s="9">
        <v>77353.061023932896</v>
      </c>
      <c r="I235" s="21">
        <f t="shared" si="6"/>
        <v>7.6853254795423709E-2</v>
      </c>
      <c r="J235" s="21">
        <f t="shared" si="7"/>
        <v>0.18000061700877268</v>
      </c>
    </row>
    <row r="236" spans="1:10" hidden="1">
      <c r="A236" t="s">
        <v>185</v>
      </c>
      <c r="B236" t="s">
        <v>187</v>
      </c>
      <c r="C236" s="18">
        <v>2032</v>
      </c>
      <c r="D236" t="s">
        <v>178</v>
      </c>
      <c r="E236" s="9">
        <v>389998.01027212502</v>
      </c>
      <c r="F236" s="9">
        <v>359834.27164506901</v>
      </c>
      <c r="G236" s="9">
        <v>389998.37668875401</v>
      </c>
      <c r="H236" s="9">
        <v>359834.54685286601</v>
      </c>
      <c r="I236" s="21">
        <f t="shared" si="6"/>
        <v>0.27520779700716957</v>
      </c>
      <c r="J236" s="21">
        <f t="shared" si="7"/>
        <v>0.36641662899637595</v>
      </c>
    </row>
    <row r="237" spans="1:10" hidden="1">
      <c r="A237" t="s">
        <v>185</v>
      </c>
      <c r="B237" t="s">
        <v>187</v>
      </c>
      <c r="C237" s="18">
        <v>2032</v>
      </c>
      <c r="D237" t="s">
        <v>181</v>
      </c>
      <c r="E237" s="9">
        <v>673133.61800463696</v>
      </c>
      <c r="F237" s="9">
        <v>401318.22644840297</v>
      </c>
      <c r="G237" s="9">
        <v>673133.88827326603</v>
      </c>
      <c r="H237" s="9">
        <v>401318.28619347198</v>
      </c>
      <c r="I237" s="21">
        <f t="shared" si="6"/>
        <v>5.9745069011114538E-2</v>
      </c>
      <c r="J237" s="21">
        <f t="shared" si="7"/>
        <v>0.27026862907223403</v>
      </c>
    </row>
    <row r="238" spans="1:10" hidden="1">
      <c r="A238" t="s">
        <v>185</v>
      </c>
      <c r="B238" t="s">
        <v>187</v>
      </c>
      <c r="C238" s="18">
        <v>2032</v>
      </c>
      <c r="D238" t="s">
        <v>184</v>
      </c>
      <c r="E238" s="9">
        <v>490904.253774499</v>
      </c>
      <c r="F238" s="9">
        <v>260346.83475084801</v>
      </c>
      <c r="G238" s="9">
        <v>490904.70344577997</v>
      </c>
      <c r="H238" s="9">
        <v>260346.937343717</v>
      </c>
      <c r="I238" s="21">
        <f t="shared" si="6"/>
        <v>0.10259286899236031</v>
      </c>
      <c r="J238" s="21">
        <f t="shared" si="7"/>
        <v>0.44967128097778186</v>
      </c>
    </row>
    <row r="239" spans="1:10" hidden="1">
      <c r="A239" t="s">
        <v>185</v>
      </c>
      <c r="B239" t="s">
        <v>187</v>
      </c>
      <c r="C239" s="18">
        <v>2032</v>
      </c>
      <c r="D239" t="s">
        <v>365</v>
      </c>
      <c r="E239" s="9">
        <v>44583.245547642597</v>
      </c>
      <c r="F239" s="9">
        <v>7308.6895690134197</v>
      </c>
      <c r="G239" s="9">
        <v>44583.245501595899</v>
      </c>
      <c r="H239" s="9">
        <v>7308.6895683399798</v>
      </c>
      <c r="I239" s="21">
        <f t="shared" si="6"/>
        <v>-6.7343989940127358E-7</v>
      </c>
      <c r="J239" s="21">
        <f t="shared" si="7"/>
        <v>-4.6046698116697371E-5</v>
      </c>
    </row>
    <row r="240" spans="1:10" hidden="1">
      <c r="A240" t="s">
        <v>185</v>
      </c>
      <c r="B240" t="s">
        <v>187</v>
      </c>
      <c r="C240" s="18">
        <v>2033</v>
      </c>
      <c r="D240" t="s">
        <v>167</v>
      </c>
      <c r="E240" s="9">
        <v>15983.708331408099</v>
      </c>
      <c r="F240" s="9">
        <v>11586.929062646699</v>
      </c>
      <c r="G240" s="9">
        <v>15983.7175379286</v>
      </c>
      <c r="H240" s="9">
        <v>11586.9335708044</v>
      </c>
      <c r="I240" s="21">
        <f t="shared" si="6"/>
        <v>4.5081577009113971E-3</v>
      </c>
      <c r="J240" s="21">
        <f t="shared" si="7"/>
        <v>9.2065205008111661E-3</v>
      </c>
    </row>
    <row r="241" spans="1:10" hidden="1">
      <c r="A241" t="s">
        <v>185</v>
      </c>
      <c r="B241" t="s">
        <v>187</v>
      </c>
      <c r="C241" s="18">
        <v>2033</v>
      </c>
      <c r="D241" t="s">
        <v>206</v>
      </c>
      <c r="E241" s="9">
        <v>1129233.4910619799</v>
      </c>
      <c r="F241" s="9">
        <v>193953.22458176699</v>
      </c>
      <c r="G241" s="9">
        <v>1129233.47845058</v>
      </c>
      <c r="H241" s="9">
        <v>193953.224223645</v>
      </c>
      <c r="I241" s="21">
        <f t="shared" si="6"/>
        <v>-3.5812199348583817E-4</v>
      </c>
      <c r="J241" s="21">
        <f t="shared" si="7"/>
        <v>-1.2611399870365858E-2</v>
      </c>
    </row>
    <row r="242" spans="1:10" hidden="1">
      <c r="A242" t="s">
        <v>185</v>
      </c>
      <c r="B242" t="s">
        <v>187</v>
      </c>
      <c r="C242" s="18">
        <v>2033</v>
      </c>
      <c r="D242" t="s">
        <v>174</v>
      </c>
      <c r="E242" s="9">
        <v>117998.554656293</v>
      </c>
      <c r="F242" s="9">
        <v>79480.387073349397</v>
      </c>
      <c r="G242" s="9">
        <v>117998.73843744201</v>
      </c>
      <c r="H242" s="9">
        <v>79480.4761690429</v>
      </c>
      <c r="I242" s="21">
        <f t="shared" si="6"/>
        <v>8.9095693503622897E-2</v>
      </c>
      <c r="J242" s="21">
        <f t="shared" si="7"/>
        <v>0.18378114901133813</v>
      </c>
    </row>
    <row r="243" spans="1:10" hidden="1">
      <c r="A243" t="s">
        <v>185</v>
      </c>
      <c r="B243" t="s">
        <v>187</v>
      </c>
      <c r="C243" s="18">
        <v>2033</v>
      </c>
      <c r="D243" t="s">
        <v>178</v>
      </c>
      <c r="E243" s="9">
        <v>398353.97315717599</v>
      </c>
      <c r="F243" s="9">
        <v>368051.32664195501</v>
      </c>
      <c r="G243" s="9">
        <v>398354.344992358</v>
      </c>
      <c r="H243" s="9">
        <v>368051.62457544298</v>
      </c>
      <c r="I243" s="21">
        <f t="shared" si="6"/>
        <v>0.29793348797829822</v>
      </c>
      <c r="J243" s="21">
        <f t="shared" si="7"/>
        <v>0.37183518201345578</v>
      </c>
    </row>
    <row r="244" spans="1:10" hidden="1">
      <c r="A244" t="s">
        <v>185</v>
      </c>
      <c r="B244" t="s">
        <v>187</v>
      </c>
      <c r="C244" s="18">
        <v>2033</v>
      </c>
      <c r="D244" t="s">
        <v>181</v>
      </c>
      <c r="E244" s="9">
        <v>687634.42940635094</v>
      </c>
      <c r="F244" s="9">
        <v>412348.00345586002</v>
      </c>
      <c r="G244" s="9">
        <v>687634.69954692596</v>
      </c>
      <c r="H244" s="9">
        <v>412348.075678578</v>
      </c>
      <c r="I244" s="21">
        <f t="shared" si="6"/>
        <v>7.2222717979457229E-2</v>
      </c>
      <c r="J244" s="21">
        <f t="shared" si="7"/>
        <v>0.27014057501219213</v>
      </c>
    </row>
    <row r="245" spans="1:10" hidden="1">
      <c r="A245" t="s">
        <v>185</v>
      </c>
      <c r="B245" t="s">
        <v>187</v>
      </c>
      <c r="C245" s="18">
        <v>2033</v>
      </c>
      <c r="D245" t="s">
        <v>184</v>
      </c>
      <c r="E245" s="9">
        <v>503750.65421566501</v>
      </c>
      <c r="F245" s="9">
        <v>269883.28548453603</v>
      </c>
      <c r="G245" s="9">
        <v>503751.109420694</v>
      </c>
      <c r="H245" s="9">
        <v>269883.407599987</v>
      </c>
      <c r="I245" s="21">
        <f t="shared" si="6"/>
        <v>0.12211545096943155</v>
      </c>
      <c r="J245" s="21">
        <f t="shared" si="7"/>
        <v>0.45520502899307758</v>
      </c>
    </row>
    <row r="246" spans="1:10" hidden="1">
      <c r="A246" t="s">
        <v>185</v>
      </c>
      <c r="B246" t="s">
        <v>187</v>
      </c>
      <c r="C246" s="18">
        <v>2033</v>
      </c>
      <c r="D246" t="s">
        <v>365</v>
      </c>
      <c r="E246" s="9">
        <v>44483.683657171998</v>
      </c>
      <c r="F246" s="9">
        <v>7348.0741485561202</v>
      </c>
      <c r="G246" s="9">
        <v>44483.683589841297</v>
      </c>
      <c r="H246" s="9">
        <v>7348.0741473220596</v>
      </c>
      <c r="I246" s="21">
        <f t="shared" si="6"/>
        <v>-1.2340606190264225E-6</v>
      </c>
      <c r="J246" s="21">
        <f t="shared" si="7"/>
        <v>-6.7330700403545052E-5</v>
      </c>
    </row>
    <row r="247" spans="1:10" hidden="1">
      <c r="A247" t="s">
        <v>185</v>
      </c>
      <c r="B247" t="s">
        <v>187</v>
      </c>
      <c r="C247" s="18">
        <v>2034</v>
      </c>
      <c r="D247" t="s">
        <v>167</v>
      </c>
      <c r="E247" s="9">
        <v>16436.921989301401</v>
      </c>
      <c r="F247" s="9">
        <v>11896.3773117281</v>
      </c>
      <c r="G247" s="9">
        <v>16436.9312806497</v>
      </c>
      <c r="H247" s="9">
        <v>11896.382318738601</v>
      </c>
      <c r="I247" s="21">
        <f t="shared" si="6"/>
        <v>5.0070105007762322E-3</v>
      </c>
      <c r="J247" s="21">
        <f t="shared" si="7"/>
        <v>9.2913482985750306E-3</v>
      </c>
    </row>
    <row r="248" spans="1:10" hidden="1">
      <c r="A248" t="s">
        <v>185</v>
      </c>
      <c r="B248" t="s">
        <v>187</v>
      </c>
      <c r="C248" s="18">
        <v>2034</v>
      </c>
      <c r="D248" t="s">
        <v>206</v>
      </c>
      <c r="E248" s="9">
        <v>1139357.0364587</v>
      </c>
      <c r="F248" s="9">
        <v>202147.271041417</v>
      </c>
      <c r="G248" s="9">
        <v>1139357.0195160699</v>
      </c>
      <c r="H248" s="9">
        <v>202147.27044605001</v>
      </c>
      <c r="I248" s="21">
        <f t="shared" si="6"/>
        <v>-5.9536698972806334E-4</v>
      </c>
      <c r="J248" s="21">
        <f t="shared" si="7"/>
        <v>-1.6942630056291819E-2</v>
      </c>
    </row>
    <row r="249" spans="1:10" hidden="1">
      <c r="A249" t="s">
        <v>185</v>
      </c>
      <c r="B249" t="s">
        <v>187</v>
      </c>
      <c r="C249" s="18">
        <v>2034</v>
      </c>
      <c r="D249" t="s">
        <v>174</v>
      </c>
      <c r="E249" s="9">
        <v>121105.28448577601</v>
      </c>
      <c r="F249" s="9">
        <v>81594.848972796593</v>
      </c>
      <c r="G249" s="9">
        <v>121105.471839437</v>
      </c>
      <c r="H249" s="9">
        <v>81594.948233921197</v>
      </c>
      <c r="I249" s="21">
        <f t="shared" si="6"/>
        <v>9.9261124603799544E-2</v>
      </c>
      <c r="J249" s="21">
        <f t="shared" si="7"/>
        <v>0.18735366099281237</v>
      </c>
    </row>
    <row r="250" spans="1:10" hidden="1">
      <c r="A250" t="s">
        <v>185</v>
      </c>
      <c r="B250" t="s">
        <v>187</v>
      </c>
      <c r="C250" s="18">
        <v>2034</v>
      </c>
      <c r="D250" t="s">
        <v>178</v>
      </c>
      <c r="E250" s="9">
        <v>406559.49049448501</v>
      </c>
      <c r="F250" s="9">
        <v>376027.817782839</v>
      </c>
      <c r="G250" s="9">
        <v>406559.86735378799</v>
      </c>
      <c r="H250" s="9">
        <v>376028.13227833499</v>
      </c>
      <c r="I250" s="21">
        <f t="shared" si="6"/>
        <v>0.31449549598619342</v>
      </c>
      <c r="J250" s="21">
        <f t="shared" si="7"/>
        <v>0.37685930298175663</v>
      </c>
    </row>
    <row r="251" spans="1:10" hidden="1">
      <c r="A251" t="s">
        <v>185</v>
      </c>
      <c r="B251" t="s">
        <v>187</v>
      </c>
      <c r="C251" s="18">
        <v>2034</v>
      </c>
      <c r="D251" t="s">
        <v>181</v>
      </c>
      <c r="E251" s="9">
        <v>701691.40797588299</v>
      </c>
      <c r="F251" s="9">
        <v>423259.017008678</v>
      </c>
      <c r="G251" s="9">
        <v>701691.67735876795</v>
      </c>
      <c r="H251" s="9">
        <v>423259.10059080599</v>
      </c>
      <c r="I251" s="21">
        <f t="shared" si="6"/>
        <v>8.3582127990666777E-2</v>
      </c>
      <c r="J251" s="21">
        <f t="shared" si="7"/>
        <v>0.26938288495875895</v>
      </c>
    </row>
    <row r="252" spans="1:10" hidden="1">
      <c r="A252" t="s">
        <v>185</v>
      </c>
      <c r="B252" t="s">
        <v>187</v>
      </c>
      <c r="C252" s="18">
        <v>2034</v>
      </c>
      <c r="D252" t="s">
        <v>184</v>
      </c>
      <c r="E252" s="9">
        <v>516406.07837695797</v>
      </c>
      <c r="F252" s="9">
        <v>279484.84045644099</v>
      </c>
      <c r="G252" s="9">
        <v>516406.53850878001</v>
      </c>
      <c r="H252" s="9">
        <v>279484.98028522899</v>
      </c>
      <c r="I252" s="21">
        <f t="shared" si="6"/>
        <v>0.13982878800015897</v>
      </c>
      <c r="J252" s="21">
        <f t="shared" si="7"/>
        <v>0.46013182203751057</v>
      </c>
    </row>
    <row r="253" spans="1:10" hidden="1">
      <c r="A253" t="s">
        <v>185</v>
      </c>
      <c r="B253" t="s">
        <v>187</v>
      </c>
      <c r="C253" s="18">
        <v>2034</v>
      </c>
      <c r="D253" t="s">
        <v>365</v>
      </c>
      <c r="E253" s="9">
        <v>44355.184541207898</v>
      </c>
      <c r="F253" s="9">
        <v>7385.0409487617499</v>
      </c>
      <c r="G253" s="9">
        <v>44355.184450178996</v>
      </c>
      <c r="H253" s="9">
        <v>7385.0409467521704</v>
      </c>
      <c r="I253" s="21">
        <f t="shared" si="6"/>
        <v>-2.0095794752705842E-6</v>
      </c>
      <c r="J253" s="21">
        <f t="shared" si="7"/>
        <v>-9.1028901806566864E-5</v>
      </c>
    </row>
    <row r="254" spans="1:10" hidden="1">
      <c r="A254" t="s">
        <v>185</v>
      </c>
      <c r="B254" t="s">
        <v>187</v>
      </c>
      <c r="C254" s="18">
        <v>2035</v>
      </c>
      <c r="D254" t="s">
        <v>167</v>
      </c>
      <c r="E254" s="9">
        <v>16892.204782930101</v>
      </c>
      <c r="F254" s="9">
        <v>12203.0523045503</v>
      </c>
      <c r="G254" s="9">
        <v>16892.2141390053</v>
      </c>
      <c r="H254" s="9">
        <v>12203.057717863399</v>
      </c>
      <c r="I254" s="21">
        <f t="shared" si="6"/>
        <v>5.4133130997797707E-3</v>
      </c>
      <c r="J254" s="21">
        <f t="shared" si="7"/>
        <v>9.3560751993209124E-3</v>
      </c>
    </row>
    <row r="255" spans="1:10" hidden="1">
      <c r="A255" t="s">
        <v>185</v>
      </c>
      <c r="B255" t="s">
        <v>187</v>
      </c>
      <c r="C255" s="18">
        <v>2035</v>
      </c>
      <c r="D255" t="s">
        <v>206</v>
      </c>
      <c r="E255" s="9">
        <v>1148972.1873144801</v>
      </c>
      <c r="F255" s="9">
        <v>210290.98143515701</v>
      </c>
      <c r="G255" s="9">
        <v>1148972.16574985</v>
      </c>
      <c r="H255" s="9">
        <v>210290.98052792501</v>
      </c>
      <c r="I255" s="21">
        <f t="shared" si="6"/>
        <v>-9.0723199537023902E-4</v>
      </c>
      <c r="J255" s="21">
        <f t="shared" si="7"/>
        <v>-2.1564630093052983E-2</v>
      </c>
    </row>
    <row r="256" spans="1:10" hidden="1">
      <c r="A256" t="s">
        <v>185</v>
      </c>
      <c r="B256" t="s">
        <v>187</v>
      </c>
      <c r="C256" s="18">
        <v>2035</v>
      </c>
      <c r="D256" t="s">
        <v>174</v>
      </c>
      <c r="E256" s="9">
        <v>124148.016465387</v>
      </c>
      <c r="F256" s="9">
        <v>83695.010062195099</v>
      </c>
      <c r="G256" s="9">
        <v>124148.20719584401</v>
      </c>
      <c r="H256" s="9">
        <v>83695.117872879797</v>
      </c>
      <c r="I256" s="21">
        <f t="shared" si="6"/>
        <v>0.10781068469805177</v>
      </c>
      <c r="J256" s="21">
        <f t="shared" si="7"/>
        <v>0.1907304570049746</v>
      </c>
    </row>
    <row r="257" spans="1:10" hidden="1">
      <c r="A257" t="s">
        <v>185</v>
      </c>
      <c r="B257" t="s">
        <v>187</v>
      </c>
      <c r="C257" s="18">
        <v>2035</v>
      </c>
      <c r="D257" t="s">
        <v>178</v>
      </c>
      <c r="E257" s="9">
        <v>414532.77916287299</v>
      </c>
      <c r="F257" s="9">
        <v>383788.43524664303</v>
      </c>
      <c r="G257" s="9">
        <v>414533.16060314502</v>
      </c>
      <c r="H257" s="9">
        <v>383788.76252667198</v>
      </c>
      <c r="I257" s="21">
        <f t="shared" si="6"/>
        <v>0.32728002895601094</v>
      </c>
      <c r="J257" s="21">
        <f t="shared" si="7"/>
        <v>0.38144027203088626</v>
      </c>
    </row>
    <row r="258" spans="1:10" hidden="1">
      <c r="A258" t="s">
        <v>185</v>
      </c>
      <c r="B258" t="s">
        <v>187</v>
      </c>
      <c r="C258" s="18">
        <v>2035</v>
      </c>
      <c r="D258" t="s">
        <v>181</v>
      </c>
      <c r="E258" s="9">
        <v>715331.52069684805</v>
      </c>
      <c r="F258" s="9">
        <v>434081.93762356701</v>
      </c>
      <c r="G258" s="9">
        <v>715331.78882210201</v>
      </c>
      <c r="H258" s="9">
        <v>434082.03155119502</v>
      </c>
      <c r="I258" s="21">
        <f t="shared" ref="I258:I321" si="8">H258-F258</f>
        <v>9.3927628011442721E-2</v>
      </c>
      <c r="J258" s="21">
        <f t="shared" ref="J258:J321" si="9">G258-E258</f>
        <v>0.26812525396235287</v>
      </c>
    </row>
    <row r="259" spans="1:10" hidden="1">
      <c r="A259" t="s">
        <v>185</v>
      </c>
      <c r="B259" t="s">
        <v>187</v>
      </c>
      <c r="C259" s="18">
        <v>2035</v>
      </c>
      <c r="D259" t="s">
        <v>184</v>
      </c>
      <c r="E259" s="9">
        <v>528817.90741782996</v>
      </c>
      <c r="F259" s="9">
        <v>289150.64638078498</v>
      </c>
      <c r="G259" s="9">
        <v>528818.37188395299</v>
      </c>
      <c r="H259" s="9">
        <v>289150.80243598297</v>
      </c>
      <c r="I259" s="21">
        <f t="shared" si="8"/>
        <v>0.15605519799282774</v>
      </c>
      <c r="J259" s="21">
        <f t="shared" si="9"/>
        <v>0.46446612302679569</v>
      </c>
    </row>
    <row r="260" spans="1:10" hidden="1">
      <c r="A260" t="s">
        <v>185</v>
      </c>
      <c r="B260" t="s">
        <v>187</v>
      </c>
      <c r="C260" s="18">
        <v>2035</v>
      </c>
      <c r="D260" t="s">
        <v>365</v>
      </c>
      <c r="E260" s="9">
        <v>44206.707423294698</v>
      </c>
      <c r="F260" s="9">
        <v>7419.9788581887196</v>
      </c>
      <c r="G260" s="9">
        <v>44206.707306712102</v>
      </c>
      <c r="H260" s="9">
        <v>7419.9788551932097</v>
      </c>
      <c r="I260" s="21">
        <f t="shared" si="8"/>
        <v>-2.9955099307699129E-6</v>
      </c>
      <c r="J260" s="21">
        <f t="shared" si="9"/>
        <v>-1.1658259609248489E-4</v>
      </c>
    </row>
    <row r="261" spans="1:10" hidden="1">
      <c r="A261" t="s">
        <v>185</v>
      </c>
      <c r="B261" t="s">
        <v>187</v>
      </c>
      <c r="C261" s="18">
        <v>2036</v>
      </c>
      <c r="D261" t="s">
        <v>167</v>
      </c>
      <c r="E261" s="9">
        <v>17350.6452229647</v>
      </c>
      <c r="F261" s="9">
        <v>12506.8963589501</v>
      </c>
      <c r="G261" s="9">
        <v>17350.6546269342</v>
      </c>
      <c r="H261" s="9">
        <v>12506.9021026876</v>
      </c>
      <c r="I261" s="21">
        <f t="shared" si="8"/>
        <v>5.7437374998698942E-3</v>
      </c>
      <c r="J261" s="21">
        <f t="shared" si="9"/>
        <v>9.4039694995444734E-3</v>
      </c>
    </row>
    <row r="262" spans="1:10" hidden="1">
      <c r="A262" t="s">
        <v>185</v>
      </c>
      <c r="B262" t="s">
        <v>187</v>
      </c>
      <c r="C262" s="18">
        <v>2036</v>
      </c>
      <c r="D262" t="s">
        <v>206</v>
      </c>
      <c r="E262" s="9">
        <v>1158266.16415687</v>
      </c>
      <c r="F262" s="9">
        <v>218370.68887072499</v>
      </c>
      <c r="G262" s="9">
        <v>1158266.1377582899</v>
      </c>
      <c r="H262" s="9">
        <v>218370.687575925</v>
      </c>
      <c r="I262" s="21">
        <f t="shared" si="8"/>
        <v>-1.2947999930474907E-3</v>
      </c>
      <c r="J262" s="21">
        <f t="shared" si="9"/>
        <v>-2.6398580055683851E-2</v>
      </c>
    </row>
    <row r="263" spans="1:10" hidden="1">
      <c r="A263" t="s">
        <v>185</v>
      </c>
      <c r="B263" t="s">
        <v>187</v>
      </c>
      <c r="C263" s="18">
        <v>2036</v>
      </c>
      <c r="D263" t="s">
        <v>174</v>
      </c>
      <c r="E263" s="9">
        <v>127138.25713849399</v>
      </c>
      <c r="F263" s="9">
        <v>85765.449674395</v>
      </c>
      <c r="G263" s="9">
        <v>127138.451085333</v>
      </c>
      <c r="H263" s="9">
        <v>85765.564735317093</v>
      </c>
      <c r="I263" s="21">
        <f t="shared" si="8"/>
        <v>0.11506092209310737</v>
      </c>
      <c r="J263" s="21">
        <f t="shared" si="9"/>
        <v>0.1939468390046386</v>
      </c>
    </row>
    <row r="264" spans="1:10" hidden="1">
      <c r="A264" t="s">
        <v>185</v>
      </c>
      <c r="B264" t="s">
        <v>187</v>
      </c>
      <c r="C264" s="18">
        <v>2036</v>
      </c>
      <c r="D264" t="s">
        <v>178</v>
      </c>
      <c r="E264" s="9">
        <v>422232.27435319801</v>
      </c>
      <c r="F264" s="9">
        <v>391285.61824458197</v>
      </c>
      <c r="G264" s="9">
        <v>422232.65992213303</v>
      </c>
      <c r="H264" s="9">
        <v>391285.95573958702</v>
      </c>
      <c r="I264" s="21">
        <f t="shared" si="8"/>
        <v>0.3374950050492771</v>
      </c>
      <c r="J264" s="21">
        <f t="shared" si="9"/>
        <v>0.38556893501663581</v>
      </c>
    </row>
    <row r="265" spans="1:10" hidden="1">
      <c r="A265" t="s">
        <v>185</v>
      </c>
      <c r="B265" t="s">
        <v>187</v>
      </c>
      <c r="C265" s="18">
        <v>2036</v>
      </c>
      <c r="D265" t="s">
        <v>181</v>
      </c>
      <c r="E265" s="9">
        <v>728531.34371131205</v>
      </c>
      <c r="F265" s="9">
        <v>444747.804221745</v>
      </c>
      <c r="G265" s="9">
        <v>728531.610160843</v>
      </c>
      <c r="H265" s="9">
        <v>444747.90756616899</v>
      </c>
      <c r="I265" s="21">
        <f t="shared" si="8"/>
        <v>0.10334442398743704</v>
      </c>
      <c r="J265" s="21">
        <f t="shared" si="9"/>
        <v>0.26644953095819801</v>
      </c>
    </row>
    <row r="266" spans="1:10" hidden="1">
      <c r="A266" t="s">
        <v>185</v>
      </c>
      <c r="B266" t="s">
        <v>187</v>
      </c>
      <c r="C266" s="18">
        <v>2036</v>
      </c>
      <c r="D266" t="s">
        <v>184</v>
      </c>
      <c r="E266" s="9">
        <v>541051.81245790503</v>
      </c>
      <c r="F266" s="9">
        <v>298879.44030338002</v>
      </c>
      <c r="G266" s="9">
        <v>541052.28077363002</v>
      </c>
      <c r="H266" s="9">
        <v>298879.61130973301</v>
      </c>
      <c r="I266" s="21">
        <f t="shared" si="8"/>
        <v>0.17100635298993438</v>
      </c>
      <c r="J266" s="21">
        <f t="shared" si="9"/>
        <v>0.46831572498194873</v>
      </c>
    </row>
    <row r="267" spans="1:10" hidden="1">
      <c r="A267" t="s">
        <v>185</v>
      </c>
      <c r="B267" t="s">
        <v>187</v>
      </c>
      <c r="C267" s="18">
        <v>2036</v>
      </c>
      <c r="D267" t="s">
        <v>365</v>
      </c>
      <c r="E267" s="9">
        <v>44049.998521847498</v>
      </c>
      <c r="F267" s="9">
        <v>7453.3351313305302</v>
      </c>
      <c r="G267" s="9">
        <v>44049.998378272197</v>
      </c>
      <c r="H267" s="9">
        <v>7453.3351271514002</v>
      </c>
      <c r="I267" s="21">
        <f t="shared" si="8"/>
        <v>-4.1791299736360088E-6</v>
      </c>
      <c r="J267" s="21">
        <f t="shared" si="9"/>
        <v>-1.4357530017150566E-4</v>
      </c>
    </row>
    <row r="268" spans="1:10" hidden="1">
      <c r="A268" t="s">
        <v>185</v>
      </c>
      <c r="B268" t="s">
        <v>187</v>
      </c>
      <c r="C268" s="18">
        <v>2037</v>
      </c>
      <c r="D268" t="s">
        <v>167</v>
      </c>
      <c r="E268" s="9">
        <v>17812.494090764099</v>
      </c>
      <c r="F268" s="9">
        <v>12807.495256701201</v>
      </c>
      <c r="G268" s="9">
        <v>17812.5035281772</v>
      </c>
      <c r="H268" s="9">
        <v>12807.501268399201</v>
      </c>
      <c r="I268" s="21">
        <f t="shared" si="8"/>
        <v>6.0116980002931086E-3</v>
      </c>
      <c r="J268" s="21">
        <f t="shared" si="9"/>
        <v>9.4374131003860384E-3</v>
      </c>
    </row>
    <row r="269" spans="1:10" hidden="1">
      <c r="A269" t="s">
        <v>185</v>
      </c>
      <c r="B269" t="s">
        <v>187</v>
      </c>
      <c r="C269" s="18">
        <v>2037</v>
      </c>
      <c r="D269" t="s">
        <v>206</v>
      </c>
      <c r="E269" s="9">
        <v>1167364.69679226</v>
      </c>
      <c r="F269" s="9">
        <v>226373.36738399899</v>
      </c>
      <c r="G269" s="9">
        <v>1167364.6654137501</v>
      </c>
      <c r="H269" s="9">
        <v>226373.365626062</v>
      </c>
      <c r="I269" s="21">
        <f t="shared" si="8"/>
        <v>-1.7579369887243956E-3</v>
      </c>
      <c r="J269" s="21">
        <f t="shared" si="9"/>
        <v>-3.1378509942442179E-2</v>
      </c>
    </row>
    <row r="270" spans="1:10" hidden="1">
      <c r="A270" t="s">
        <v>185</v>
      </c>
      <c r="B270" t="s">
        <v>187</v>
      </c>
      <c r="C270" s="18">
        <v>2037</v>
      </c>
      <c r="D270" t="s">
        <v>174</v>
      </c>
      <c r="E270" s="9">
        <v>130091.915924885</v>
      </c>
      <c r="F270" s="9">
        <v>87785.752662591607</v>
      </c>
      <c r="G270" s="9">
        <v>130092.112965313</v>
      </c>
      <c r="H270" s="9">
        <v>87785.873914228694</v>
      </c>
      <c r="I270" s="21">
        <f t="shared" si="8"/>
        <v>0.12125163708697073</v>
      </c>
      <c r="J270" s="21">
        <f t="shared" si="9"/>
        <v>0.19704042800003663</v>
      </c>
    </row>
    <row r="271" spans="1:10" hidden="1">
      <c r="A271" t="s">
        <v>185</v>
      </c>
      <c r="B271" t="s">
        <v>187</v>
      </c>
      <c r="C271" s="18">
        <v>2037</v>
      </c>
      <c r="D271" t="s">
        <v>178</v>
      </c>
      <c r="E271" s="9">
        <v>429674.29003197799</v>
      </c>
      <c r="F271" s="9">
        <v>398473.46751707402</v>
      </c>
      <c r="G271" s="9">
        <v>429674.679324948</v>
      </c>
      <c r="H271" s="9">
        <v>398473.81338660797</v>
      </c>
      <c r="I271" s="21">
        <f t="shared" si="8"/>
        <v>0.34586953395046294</v>
      </c>
      <c r="J271" s="21">
        <f t="shared" si="9"/>
        <v>0.38929297000868246</v>
      </c>
    </row>
    <row r="272" spans="1:10" hidden="1">
      <c r="A272" t="s">
        <v>185</v>
      </c>
      <c r="B272" t="s">
        <v>187</v>
      </c>
      <c r="C272" s="18">
        <v>2037</v>
      </c>
      <c r="D272" t="s">
        <v>181</v>
      </c>
      <c r="E272" s="9">
        <v>741261.16283609101</v>
      </c>
      <c r="F272" s="9">
        <v>455168.07266344602</v>
      </c>
      <c r="G272" s="9">
        <v>741261.42723499297</v>
      </c>
      <c r="H272" s="9">
        <v>455168.18452875799</v>
      </c>
      <c r="I272" s="21">
        <f t="shared" si="8"/>
        <v>0.11186531197745353</v>
      </c>
      <c r="J272" s="21">
        <f t="shared" si="9"/>
        <v>0.2643989019561559</v>
      </c>
    </row>
    <row r="273" spans="1:10" hidden="1">
      <c r="A273" t="s">
        <v>185</v>
      </c>
      <c r="B273" t="s">
        <v>187</v>
      </c>
      <c r="C273" s="18">
        <v>2037</v>
      </c>
      <c r="D273" t="s">
        <v>184</v>
      </c>
      <c r="E273" s="9">
        <v>553258.04590069805</v>
      </c>
      <c r="F273" s="9">
        <v>308665.85870907397</v>
      </c>
      <c r="G273" s="9">
        <v>553258.51776135701</v>
      </c>
      <c r="H273" s="9">
        <v>308666.04356230202</v>
      </c>
      <c r="I273" s="21">
        <f t="shared" si="8"/>
        <v>0.18485322804190218</v>
      </c>
      <c r="J273" s="21">
        <f t="shared" si="9"/>
        <v>0.47186065895948559</v>
      </c>
    </row>
    <row r="274" spans="1:10" hidden="1">
      <c r="A274" t="s">
        <v>185</v>
      </c>
      <c r="B274" t="s">
        <v>187</v>
      </c>
      <c r="C274" s="18">
        <v>2037</v>
      </c>
      <c r="D274" t="s">
        <v>365</v>
      </c>
      <c r="E274" s="9">
        <v>43886.4968114433</v>
      </c>
      <c r="F274" s="9">
        <v>7485.6394641571896</v>
      </c>
      <c r="G274" s="9">
        <v>43886.496639761303</v>
      </c>
      <c r="H274" s="9">
        <v>7485.6394586101196</v>
      </c>
      <c r="I274" s="21">
        <f t="shared" si="8"/>
        <v>-5.5470700317528099E-6</v>
      </c>
      <c r="J274" s="21">
        <f t="shared" si="9"/>
        <v>-1.716819970170036E-4</v>
      </c>
    </row>
    <row r="275" spans="1:10" hidden="1">
      <c r="A275" t="s">
        <v>185</v>
      </c>
      <c r="B275" t="s">
        <v>187</v>
      </c>
      <c r="C275" s="18">
        <v>2038</v>
      </c>
      <c r="D275" t="s">
        <v>167</v>
      </c>
      <c r="E275" s="9">
        <v>18278.6100738434</v>
      </c>
      <c r="F275" s="9">
        <v>13108.252454236799</v>
      </c>
      <c r="G275" s="9">
        <v>18278.619531582299</v>
      </c>
      <c r="H275" s="9">
        <v>13108.258682167399</v>
      </c>
      <c r="I275" s="21">
        <f t="shared" si="8"/>
        <v>6.2279306002892554E-3</v>
      </c>
      <c r="J275" s="21">
        <f t="shared" si="9"/>
        <v>9.457738899072865E-3</v>
      </c>
    </row>
    <row r="276" spans="1:10" hidden="1">
      <c r="A276" t="s">
        <v>185</v>
      </c>
      <c r="B276" t="s">
        <v>187</v>
      </c>
      <c r="C276" s="18">
        <v>2038</v>
      </c>
      <c r="D276" t="s">
        <v>206</v>
      </c>
      <c r="E276" s="9">
        <v>1176286.2665101299</v>
      </c>
      <c r="F276" s="9">
        <v>234286.30469879601</v>
      </c>
      <c r="G276" s="9">
        <v>1176286.23006217</v>
      </c>
      <c r="H276" s="9">
        <v>234286.30240329501</v>
      </c>
      <c r="I276" s="21">
        <f t="shared" si="8"/>
        <v>-2.2955010063014925E-3</v>
      </c>
      <c r="J276" s="21">
        <f t="shared" si="9"/>
        <v>-3.6447959952056408E-2</v>
      </c>
    </row>
    <row r="277" spans="1:10" hidden="1">
      <c r="A277" t="s">
        <v>185</v>
      </c>
      <c r="B277" t="s">
        <v>187</v>
      </c>
      <c r="C277" s="18">
        <v>2038</v>
      </c>
      <c r="D277" t="s">
        <v>174</v>
      </c>
      <c r="E277" s="9">
        <v>133004.57135906999</v>
      </c>
      <c r="F277" s="9">
        <v>89762.781907176701</v>
      </c>
      <c r="G277" s="9">
        <v>133004.77137127001</v>
      </c>
      <c r="H277" s="9">
        <v>89762.908504627194</v>
      </c>
      <c r="I277" s="21">
        <f t="shared" si="8"/>
        <v>0.12659745049313642</v>
      </c>
      <c r="J277" s="21">
        <f t="shared" si="9"/>
        <v>0.20001220001722686</v>
      </c>
    </row>
    <row r="278" spans="1:10" hidden="1">
      <c r="A278" t="s">
        <v>185</v>
      </c>
      <c r="B278" t="s">
        <v>187</v>
      </c>
      <c r="C278" s="18">
        <v>2038</v>
      </c>
      <c r="D278" t="s">
        <v>178</v>
      </c>
      <c r="E278" s="9">
        <v>436877.96689503</v>
      </c>
      <c r="F278" s="9">
        <v>405384.60487353202</v>
      </c>
      <c r="G278" s="9">
        <v>436878.35953831702</v>
      </c>
      <c r="H278" s="9">
        <v>405384.95777232101</v>
      </c>
      <c r="I278" s="21">
        <f t="shared" si="8"/>
        <v>0.35289878898765892</v>
      </c>
      <c r="J278" s="21">
        <f t="shared" si="9"/>
        <v>0.3926432870212011</v>
      </c>
    </row>
    <row r="279" spans="1:10" hidden="1">
      <c r="A279" t="s">
        <v>185</v>
      </c>
      <c r="B279" t="s">
        <v>187</v>
      </c>
      <c r="C279" s="18">
        <v>2038</v>
      </c>
      <c r="D279" t="s">
        <v>181</v>
      </c>
      <c r="E279" s="9">
        <v>753560.56015014602</v>
      </c>
      <c r="F279" s="9">
        <v>465342.79833532299</v>
      </c>
      <c r="G279" s="9">
        <v>753560.82214679301</v>
      </c>
      <c r="H279" s="9">
        <v>465342.91786371003</v>
      </c>
      <c r="I279" s="21">
        <f t="shared" si="8"/>
        <v>0.11952838703291491</v>
      </c>
      <c r="J279" s="21">
        <f t="shared" si="9"/>
        <v>0.26199664699379355</v>
      </c>
    </row>
    <row r="280" spans="1:10" hidden="1">
      <c r="A280" t="s">
        <v>185</v>
      </c>
      <c r="B280" t="s">
        <v>187</v>
      </c>
      <c r="C280" s="18">
        <v>2038</v>
      </c>
      <c r="D280" t="s">
        <v>184</v>
      </c>
      <c r="E280" s="9">
        <v>565403.28372371395</v>
      </c>
      <c r="F280" s="9">
        <v>318460.82454462402</v>
      </c>
      <c r="G280" s="9">
        <v>565403.75879938505</v>
      </c>
      <c r="H280" s="9">
        <v>318461.02224812203</v>
      </c>
      <c r="I280" s="21">
        <f t="shared" si="8"/>
        <v>0.19770349800819531</v>
      </c>
      <c r="J280" s="21">
        <f t="shared" si="9"/>
        <v>0.47507567110005766</v>
      </c>
    </row>
    <row r="281" spans="1:10" hidden="1">
      <c r="A281" t="s">
        <v>185</v>
      </c>
      <c r="B281" t="s">
        <v>187</v>
      </c>
      <c r="C281" s="18">
        <v>2038</v>
      </c>
      <c r="D281" t="s">
        <v>365</v>
      </c>
      <c r="E281" s="9">
        <v>43730.745051309503</v>
      </c>
      <c r="F281" s="9">
        <v>7517.7703603551699</v>
      </c>
      <c r="G281" s="9">
        <v>43730.744850638199</v>
      </c>
      <c r="H281" s="9">
        <v>7517.77035327065</v>
      </c>
      <c r="I281" s="21">
        <f t="shared" si="8"/>
        <v>-7.0845198933966458E-6</v>
      </c>
      <c r="J281" s="21">
        <f t="shared" si="9"/>
        <v>-2.0067130390089005E-4</v>
      </c>
    </row>
    <row r="282" spans="1:10" hidden="1">
      <c r="A282" t="s">
        <v>185</v>
      </c>
      <c r="B282" t="s">
        <v>187</v>
      </c>
      <c r="C282" s="18">
        <v>2039</v>
      </c>
      <c r="D282" t="s">
        <v>167</v>
      </c>
      <c r="E282" s="9">
        <v>18752.081031211001</v>
      </c>
      <c r="F282" s="9">
        <v>13404.663219322099</v>
      </c>
      <c r="G282" s="9">
        <v>18752.090499402999</v>
      </c>
      <c r="H282" s="9">
        <v>13404.669620275599</v>
      </c>
      <c r="I282" s="21">
        <f t="shared" si="8"/>
        <v>6.4009534999058815E-3</v>
      </c>
      <c r="J282" s="21">
        <f t="shared" si="9"/>
        <v>9.4681919981667306E-3</v>
      </c>
    </row>
    <row r="283" spans="1:10" hidden="1">
      <c r="A283" t="s">
        <v>185</v>
      </c>
      <c r="B283" t="s">
        <v>187</v>
      </c>
      <c r="C283" s="18">
        <v>2039</v>
      </c>
      <c r="D283" t="s">
        <v>206</v>
      </c>
      <c r="E283" s="9">
        <v>1184738.4334051199</v>
      </c>
      <c r="F283" s="9">
        <v>242132.194058522</v>
      </c>
      <c r="G283" s="9">
        <v>1184738.3918449101</v>
      </c>
      <c r="H283" s="9">
        <v>242132.19115316399</v>
      </c>
      <c r="I283" s="21">
        <f t="shared" si="8"/>
        <v>-2.9053580074105412E-3</v>
      </c>
      <c r="J283" s="21">
        <f t="shared" si="9"/>
        <v>-4.1560209821909666E-2</v>
      </c>
    </row>
    <row r="284" spans="1:10" hidden="1">
      <c r="A284" t="s">
        <v>185</v>
      </c>
      <c r="B284" t="s">
        <v>187</v>
      </c>
      <c r="C284" s="18">
        <v>2039</v>
      </c>
      <c r="D284" t="s">
        <v>174</v>
      </c>
      <c r="E284" s="9">
        <v>135871.928500754</v>
      </c>
      <c r="F284" s="9">
        <v>91716.235071913994</v>
      </c>
      <c r="G284" s="9">
        <v>135872.13136763001</v>
      </c>
      <c r="H284" s="9">
        <v>91716.366353602294</v>
      </c>
      <c r="I284" s="21">
        <f t="shared" si="8"/>
        <v>0.1312816883000778</v>
      </c>
      <c r="J284" s="21">
        <f t="shared" si="9"/>
        <v>0.20286687600309961</v>
      </c>
    </row>
    <row r="285" spans="1:10" hidden="1">
      <c r="A285" t="s">
        <v>185</v>
      </c>
      <c r="B285" t="s">
        <v>187</v>
      </c>
      <c r="C285" s="18">
        <v>2039</v>
      </c>
      <c r="D285" t="s">
        <v>178</v>
      </c>
      <c r="E285" s="9">
        <v>443905.58503186703</v>
      </c>
      <c r="F285" s="9">
        <v>412119.85455746501</v>
      </c>
      <c r="G285" s="9">
        <v>443905.980748337</v>
      </c>
      <c r="H285" s="9">
        <v>412120.21350488003</v>
      </c>
      <c r="I285" s="21">
        <f t="shared" si="8"/>
        <v>0.35894741502124816</v>
      </c>
      <c r="J285" s="21">
        <f t="shared" si="9"/>
        <v>0.39571646996773779</v>
      </c>
    </row>
    <row r="286" spans="1:10" hidden="1">
      <c r="A286" t="s">
        <v>185</v>
      </c>
      <c r="B286" t="s">
        <v>187</v>
      </c>
      <c r="C286" s="18">
        <v>2039</v>
      </c>
      <c r="D286" t="s">
        <v>181</v>
      </c>
      <c r="E286" s="9">
        <v>765528.20849365799</v>
      </c>
      <c r="F286" s="9">
        <v>475269.66116554401</v>
      </c>
      <c r="G286" s="9">
        <v>765528.46783885697</v>
      </c>
      <c r="H286" s="9">
        <v>475269.78752891801</v>
      </c>
      <c r="I286" s="21">
        <f t="shared" si="8"/>
        <v>0.12636337400181219</v>
      </c>
      <c r="J286" s="21">
        <f t="shared" si="9"/>
        <v>0.25934519898146391</v>
      </c>
    </row>
    <row r="287" spans="1:10" hidden="1">
      <c r="A287" t="s">
        <v>185</v>
      </c>
      <c r="B287" t="s">
        <v>187</v>
      </c>
      <c r="C287" s="18">
        <v>2039</v>
      </c>
      <c r="D287" t="s">
        <v>184</v>
      </c>
      <c r="E287" s="9">
        <v>577414.03644369601</v>
      </c>
      <c r="F287" s="9">
        <v>328246.19163135497</v>
      </c>
      <c r="G287" s="9">
        <v>577414.514396235</v>
      </c>
      <c r="H287" s="9">
        <v>328246.40127636801</v>
      </c>
      <c r="I287" s="21">
        <f t="shared" si="8"/>
        <v>0.20964501303387806</v>
      </c>
      <c r="J287" s="21">
        <f t="shared" si="9"/>
        <v>0.47795253898948431</v>
      </c>
    </row>
    <row r="288" spans="1:10" hidden="1">
      <c r="A288" t="s">
        <v>185</v>
      </c>
      <c r="B288" t="s">
        <v>187</v>
      </c>
      <c r="C288" s="18">
        <v>2039</v>
      </c>
      <c r="D288" t="s">
        <v>365</v>
      </c>
      <c r="E288" s="9">
        <v>43588.845687032997</v>
      </c>
      <c r="F288" s="9">
        <v>7547.55986964165</v>
      </c>
      <c r="G288" s="9">
        <v>43588.845456636998</v>
      </c>
      <c r="H288" s="9">
        <v>7547.5598608641003</v>
      </c>
      <c r="I288" s="21">
        <f t="shared" si="8"/>
        <v>-8.7775497377151623E-6</v>
      </c>
      <c r="J288" s="21">
        <f t="shared" si="9"/>
        <v>-2.3039599909679964E-4</v>
      </c>
    </row>
    <row r="289" spans="1:10" hidden="1">
      <c r="A289" t="s">
        <v>185</v>
      </c>
      <c r="B289" t="s">
        <v>187</v>
      </c>
      <c r="C289" s="18">
        <v>2040</v>
      </c>
      <c r="D289" t="s">
        <v>167</v>
      </c>
      <c r="E289" s="9">
        <v>19235.7270721608</v>
      </c>
      <c r="F289" s="9">
        <v>13698.965629013301</v>
      </c>
      <c r="G289" s="9">
        <v>19235.736542927301</v>
      </c>
      <c r="H289" s="9">
        <v>13698.9721681132</v>
      </c>
      <c r="I289" s="21">
        <f t="shared" si="8"/>
        <v>6.5390998988732463E-3</v>
      </c>
      <c r="J289" s="21">
        <f t="shared" si="9"/>
        <v>9.4707665011810604E-3</v>
      </c>
    </row>
    <row r="290" spans="1:10" hidden="1">
      <c r="A290" t="s">
        <v>185</v>
      </c>
      <c r="B290" t="s">
        <v>187</v>
      </c>
      <c r="C290" s="18">
        <v>2040</v>
      </c>
      <c r="D290" t="s">
        <v>206</v>
      </c>
      <c r="E290" s="9">
        <v>1192634.47674551</v>
      </c>
      <c r="F290" s="9">
        <v>249894.48241255499</v>
      </c>
      <c r="G290" s="9">
        <v>1192634.43006365</v>
      </c>
      <c r="H290" s="9">
        <v>249894.478827588</v>
      </c>
      <c r="I290" s="21">
        <f t="shared" si="8"/>
        <v>-3.5849669948220253E-3</v>
      </c>
      <c r="J290" s="21">
        <f t="shared" si="9"/>
        <v>-4.6681859996169806E-2</v>
      </c>
    </row>
    <row r="291" spans="1:10" hidden="1">
      <c r="A291" t="s">
        <v>185</v>
      </c>
      <c r="B291" t="s">
        <v>187</v>
      </c>
      <c r="C291" s="18">
        <v>2040</v>
      </c>
      <c r="D291" t="s">
        <v>174</v>
      </c>
      <c r="E291" s="9">
        <v>138689.591005305</v>
      </c>
      <c r="F291" s="9">
        <v>93636.761342126905</v>
      </c>
      <c r="G291" s="9">
        <v>138689.796610277</v>
      </c>
      <c r="H291" s="9">
        <v>93636.896760059302</v>
      </c>
      <c r="I291" s="21">
        <f t="shared" si="8"/>
        <v>0.13541793239710387</v>
      </c>
      <c r="J291" s="21">
        <f t="shared" si="9"/>
        <v>0.20560497199767269</v>
      </c>
    </row>
    <row r="292" spans="1:10" hidden="1">
      <c r="A292" t="s">
        <v>185</v>
      </c>
      <c r="B292" t="s">
        <v>187</v>
      </c>
      <c r="C292" s="18">
        <v>2040</v>
      </c>
      <c r="D292" t="s">
        <v>178</v>
      </c>
      <c r="E292" s="9">
        <v>450841.36598288</v>
      </c>
      <c r="F292" s="9">
        <v>418620.54477523902</v>
      </c>
      <c r="G292" s="9">
        <v>450841.764596063</v>
      </c>
      <c r="H292" s="9">
        <v>418620.90894817398</v>
      </c>
      <c r="I292" s="21">
        <f t="shared" si="8"/>
        <v>0.3641729349619709</v>
      </c>
      <c r="J292" s="21">
        <f t="shared" si="9"/>
        <v>0.3986131830024533</v>
      </c>
    </row>
    <row r="293" spans="1:10" hidden="1">
      <c r="A293" t="s">
        <v>185</v>
      </c>
      <c r="B293" t="s">
        <v>187</v>
      </c>
      <c r="C293" s="18">
        <v>2040</v>
      </c>
      <c r="D293" t="s">
        <v>181</v>
      </c>
      <c r="E293" s="9">
        <v>777088.24025359203</v>
      </c>
      <c r="F293" s="9">
        <v>484946.97300955199</v>
      </c>
      <c r="G293" s="9">
        <v>777088.49670209095</v>
      </c>
      <c r="H293" s="9">
        <v>484947.105425179</v>
      </c>
      <c r="I293" s="21">
        <f t="shared" si="8"/>
        <v>0.13241562701296061</v>
      </c>
      <c r="J293" s="21">
        <f t="shared" si="9"/>
        <v>0.25644849892705679</v>
      </c>
    </row>
    <row r="294" spans="1:10" hidden="1">
      <c r="A294" t="s">
        <v>185</v>
      </c>
      <c r="B294" t="s">
        <v>187</v>
      </c>
      <c r="C294" s="18">
        <v>2040</v>
      </c>
      <c r="D294" t="s">
        <v>184</v>
      </c>
      <c r="E294" s="9">
        <v>589359.25325539801</v>
      </c>
      <c r="F294" s="9">
        <v>338038.78967680002</v>
      </c>
      <c r="G294" s="9">
        <v>589359.73383284197</v>
      </c>
      <c r="H294" s="9">
        <v>338039.01043044601</v>
      </c>
      <c r="I294" s="21">
        <f t="shared" si="8"/>
        <v>0.22075364599004388</v>
      </c>
      <c r="J294" s="21">
        <f t="shared" si="9"/>
        <v>0.48057744395919144</v>
      </c>
    </row>
    <row r="295" spans="1:10" hidden="1">
      <c r="A295" t="s">
        <v>185</v>
      </c>
      <c r="B295" t="s">
        <v>187</v>
      </c>
      <c r="C295" s="18">
        <v>2040</v>
      </c>
      <c r="D295" t="s">
        <v>365</v>
      </c>
      <c r="E295" s="9">
        <v>43464.859942636896</v>
      </c>
      <c r="F295" s="9">
        <v>7573.72557144041</v>
      </c>
      <c r="G295" s="9">
        <v>43464.859681883601</v>
      </c>
      <c r="H295" s="9">
        <v>7573.7255608269897</v>
      </c>
      <c r="I295" s="21">
        <f t="shared" si="8"/>
        <v>-1.0613420272420626E-5</v>
      </c>
      <c r="J295" s="21">
        <f t="shared" si="9"/>
        <v>-2.607532951515168E-4</v>
      </c>
    </row>
    <row r="296" spans="1:10" hidden="1">
      <c r="A296" t="s">
        <v>185</v>
      </c>
      <c r="B296" t="s">
        <v>187</v>
      </c>
      <c r="C296" s="18">
        <v>2041</v>
      </c>
      <c r="D296" t="s">
        <v>167</v>
      </c>
      <c r="E296" s="9">
        <v>19727.274021522499</v>
      </c>
      <c r="F296" s="9">
        <v>13991.600041379899</v>
      </c>
      <c r="G296" s="9">
        <v>19727.283486384</v>
      </c>
      <c r="H296" s="9">
        <v>13991.606690282801</v>
      </c>
      <c r="I296" s="21">
        <f t="shared" si="8"/>
        <v>6.6489029013609979E-3</v>
      </c>
      <c r="J296" s="21">
        <f t="shared" si="9"/>
        <v>9.4648615013284143E-3</v>
      </c>
    </row>
    <row r="297" spans="1:10" hidden="1">
      <c r="A297" t="s">
        <v>185</v>
      </c>
      <c r="B297" t="s">
        <v>187</v>
      </c>
      <c r="C297" s="18">
        <v>2041</v>
      </c>
      <c r="D297" t="s">
        <v>206</v>
      </c>
      <c r="E297" s="9">
        <v>1199988.22765335</v>
      </c>
      <c r="F297" s="9">
        <v>257599.04833527101</v>
      </c>
      <c r="G297" s="9">
        <v>1199988.17586749</v>
      </c>
      <c r="H297" s="9">
        <v>257599.044002988</v>
      </c>
      <c r="I297" s="21">
        <f t="shared" si="8"/>
        <v>-4.3322830169927329E-3</v>
      </c>
      <c r="J297" s="21">
        <f t="shared" si="9"/>
        <v>-5.1785859977826476E-2</v>
      </c>
    </row>
    <row r="298" spans="1:10" hidden="1">
      <c r="A298" t="s">
        <v>185</v>
      </c>
      <c r="B298" t="s">
        <v>187</v>
      </c>
      <c r="C298" s="18">
        <v>2041</v>
      </c>
      <c r="D298" t="s">
        <v>174</v>
      </c>
      <c r="E298" s="9">
        <v>141475.36259469099</v>
      </c>
      <c r="F298" s="9">
        <v>95526.867269173294</v>
      </c>
      <c r="G298" s="9">
        <v>141475.570851386</v>
      </c>
      <c r="H298" s="9">
        <v>95527.0063786807</v>
      </c>
      <c r="I298" s="21">
        <f t="shared" si="8"/>
        <v>0.13910950740682893</v>
      </c>
      <c r="J298" s="21">
        <f t="shared" si="9"/>
        <v>0.20825669501209632</v>
      </c>
    </row>
    <row r="299" spans="1:10" hidden="1">
      <c r="A299" t="s">
        <v>185</v>
      </c>
      <c r="B299" t="s">
        <v>187</v>
      </c>
      <c r="C299" s="18">
        <v>2041</v>
      </c>
      <c r="D299" t="s">
        <v>178</v>
      </c>
      <c r="E299" s="9">
        <v>457697.726774076</v>
      </c>
      <c r="F299" s="9">
        <v>425005.40838411701</v>
      </c>
      <c r="G299" s="9">
        <v>457698.12813480198</v>
      </c>
      <c r="H299" s="9">
        <v>425005.77720965003</v>
      </c>
      <c r="I299" s="21">
        <f t="shared" si="8"/>
        <v>0.36882553301984444</v>
      </c>
      <c r="J299" s="21">
        <f t="shared" si="9"/>
        <v>0.40136072598397732</v>
      </c>
    </row>
    <row r="300" spans="1:10" hidden="1">
      <c r="A300" t="s">
        <v>185</v>
      </c>
      <c r="B300" t="s">
        <v>187</v>
      </c>
      <c r="C300" s="18">
        <v>2041</v>
      </c>
      <c r="D300" t="s">
        <v>181</v>
      </c>
      <c r="E300" s="9">
        <v>788292.98942904104</v>
      </c>
      <c r="F300" s="9">
        <v>494390.73551671801</v>
      </c>
      <c r="G300" s="9">
        <v>788293.24275668897</v>
      </c>
      <c r="H300" s="9">
        <v>494390.87324825901</v>
      </c>
      <c r="I300" s="21">
        <f t="shared" si="8"/>
        <v>0.1377315410063602</v>
      </c>
      <c r="J300" s="21">
        <f t="shared" si="9"/>
        <v>0.25332764792256057</v>
      </c>
    </row>
    <row r="301" spans="1:10" hidden="1">
      <c r="A301" t="s">
        <v>185</v>
      </c>
      <c r="B301" t="s">
        <v>187</v>
      </c>
      <c r="C301" s="18">
        <v>2041</v>
      </c>
      <c r="D301" t="s">
        <v>184</v>
      </c>
      <c r="E301" s="9">
        <v>601154.85803789704</v>
      </c>
      <c r="F301" s="9">
        <v>347924.53517347103</v>
      </c>
      <c r="G301" s="9">
        <v>601155.34094696096</v>
      </c>
      <c r="H301" s="9">
        <v>347924.76632707799</v>
      </c>
      <c r="I301" s="21">
        <f t="shared" si="8"/>
        <v>0.23115360696101561</v>
      </c>
      <c r="J301" s="21">
        <f t="shared" si="9"/>
        <v>0.4829090639250353</v>
      </c>
    </row>
    <row r="302" spans="1:10" hidden="1">
      <c r="A302" t="s">
        <v>185</v>
      </c>
      <c r="B302" t="s">
        <v>187</v>
      </c>
      <c r="C302" s="18">
        <v>2041</v>
      </c>
      <c r="D302" t="s">
        <v>365</v>
      </c>
      <c r="E302" s="9">
        <v>43360.935967203703</v>
      </c>
      <c r="F302" s="9">
        <v>7595.9953464566397</v>
      </c>
      <c r="G302" s="9">
        <v>43360.9356755525</v>
      </c>
      <c r="H302" s="9">
        <v>7595.9953338682099</v>
      </c>
      <c r="I302" s="21">
        <f t="shared" si="8"/>
        <v>-1.2588429854076821E-5</v>
      </c>
      <c r="J302" s="21">
        <f t="shared" si="9"/>
        <v>-2.9165120213292539E-4</v>
      </c>
    </row>
    <row r="303" spans="1:10" hidden="1">
      <c r="A303" t="s">
        <v>185</v>
      </c>
      <c r="B303" t="s">
        <v>187</v>
      </c>
      <c r="C303" s="18">
        <v>2042</v>
      </c>
      <c r="D303" t="s">
        <v>167</v>
      </c>
      <c r="E303" s="9">
        <v>20222.258951252399</v>
      </c>
      <c r="F303" s="9">
        <v>14284.6101733537</v>
      </c>
      <c r="G303" s="9">
        <v>20222.268399164699</v>
      </c>
      <c r="H303" s="9">
        <v>14284.6169088399</v>
      </c>
      <c r="I303" s="21">
        <f t="shared" si="8"/>
        <v>6.7354862003412563E-3</v>
      </c>
      <c r="J303" s="21">
        <f t="shared" si="9"/>
        <v>9.4479122999473475E-3</v>
      </c>
    </row>
    <row r="304" spans="1:10" hidden="1">
      <c r="A304" t="s">
        <v>185</v>
      </c>
      <c r="B304" t="s">
        <v>187</v>
      </c>
      <c r="C304" s="18">
        <v>2042</v>
      </c>
      <c r="D304" t="s">
        <v>206</v>
      </c>
      <c r="E304" s="9">
        <v>1206799.64615328</v>
      </c>
      <c r="F304" s="9">
        <v>265289.41426231398</v>
      </c>
      <c r="G304" s="9">
        <v>1206799.58929471</v>
      </c>
      <c r="H304" s="9">
        <v>265289.409116733</v>
      </c>
      <c r="I304" s="21">
        <f t="shared" si="8"/>
        <v>-5.1455809734761715E-3</v>
      </c>
      <c r="J304" s="21">
        <f t="shared" si="9"/>
        <v>-5.6858570082113147E-2</v>
      </c>
    </row>
    <row r="305" spans="1:10" hidden="1">
      <c r="A305" t="s">
        <v>185</v>
      </c>
      <c r="B305" t="s">
        <v>187</v>
      </c>
      <c r="C305" s="18">
        <v>2042</v>
      </c>
      <c r="D305" t="s">
        <v>174</v>
      </c>
      <c r="E305" s="9">
        <v>144247.85607987101</v>
      </c>
      <c r="F305" s="9">
        <v>97406.014518637501</v>
      </c>
      <c r="G305" s="9">
        <v>144248.066926011</v>
      </c>
      <c r="H305" s="9">
        <v>97406.156977096296</v>
      </c>
      <c r="I305" s="21">
        <f t="shared" si="8"/>
        <v>0.14245845879486296</v>
      </c>
      <c r="J305" s="21">
        <f t="shared" si="9"/>
        <v>0.21084613999119028</v>
      </c>
    </row>
    <row r="306" spans="1:10" hidden="1">
      <c r="A306" t="s">
        <v>185</v>
      </c>
      <c r="B306" t="s">
        <v>187</v>
      </c>
      <c r="C306" s="18">
        <v>2042</v>
      </c>
      <c r="D306" t="s">
        <v>178</v>
      </c>
      <c r="E306" s="9">
        <v>464486.63501770498</v>
      </c>
      <c r="F306" s="9">
        <v>431396.66989706602</v>
      </c>
      <c r="G306" s="9">
        <v>464487.03899019101</v>
      </c>
      <c r="H306" s="9">
        <v>431397.042999706</v>
      </c>
      <c r="I306" s="21">
        <f t="shared" si="8"/>
        <v>0.37310263997642323</v>
      </c>
      <c r="J306" s="21">
        <f t="shared" si="9"/>
        <v>0.40397248603403568</v>
      </c>
    </row>
    <row r="307" spans="1:10" hidden="1">
      <c r="A307" t="s">
        <v>185</v>
      </c>
      <c r="B307" t="s">
        <v>187</v>
      </c>
      <c r="C307" s="18">
        <v>2042</v>
      </c>
      <c r="D307" t="s">
        <v>181</v>
      </c>
      <c r="E307" s="9">
        <v>799225.24914252199</v>
      </c>
      <c r="F307" s="9">
        <v>503603.66145510599</v>
      </c>
      <c r="G307" s="9">
        <v>799225.499121645</v>
      </c>
      <c r="H307" s="9">
        <v>503603.80380956898</v>
      </c>
      <c r="I307" s="21">
        <f t="shared" si="8"/>
        <v>0.14235446299426258</v>
      </c>
      <c r="J307" s="21">
        <f t="shared" si="9"/>
        <v>0.24997912300750613</v>
      </c>
    </row>
    <row r="308" spans="1:10" hidden="1">
      <c r="A308" t="s">
        <v>185</v>
      </c>
      <c r="B308" t="s">
        <v>187</v>
      </c>
      <c r="C308" s="18">
        <v>2042</v>
      </c>
      <c r="D308" t="s">
        <v>184</v>
      </c>
      <c r="E308" s="9">
        <v>612663.69218229596</v>
      </c>
      <c r="F308" s="9">
        <v>357930.69857178302</v>
      </c>
      <c r="G308" s="9">
        <v>612664.177038008</v>
      </c>
      <c r="H308" s="9">
        <v>357930.93950443697</v>
      </c>
      <c r="I308" s="21">
        <f t="shared" si="8"/>
        <v>0.24093265394913033</v>
      </c>
      <c r="J308" s="21">
        <f t="shared" si="9"/>
        <v>0.48485571204219013</v>
      </c>
    </row>
    <row r="309" spans="1:10" hidden="1">
      <c r="A309" t="s">
        <v>185</v>
      </c>
      <c r="B309" t="s">
        <v>187</v>
      </c>
      <c r="C309" s="18">
        <v>2042</v>
      </c>
      <c r="D309" t="s">
        <v>365</v>
      </c>
      <c r="E309" s="9">
        <v>43278.728804632301</v>
      </c>
      <c r="F309" s="9">
        <v>7616.5928182533398</v>
      </c>
      <c r="G309" s="9">
        <v>43278.728481607301</v>
      </c>
      <c r="H309" s="9">
        <v>7616.5928035502902</v>
      </c>
      <c r="I309" s="21">
        <f t="shared" si="8"/>
        <v>-1.4703049600939266E-5</v>
      </c>
      <c r="J309" s="21">
        <f t="shared" si="9"/>
        <v>-3.2302500039804727E-4</v>
      </c>
    </row>
    <row r="310" spans="1:10" hidden="1">
      <c r="A310" t="s">
        <v>185</v>
      </c>
      <c r="B310" t="s">
        <v>187</v>
      </c>
      <c r="C310" s="18">
        <v>2043</v>
      </c>
      <c r="D310" t="s">
        <v>167</v>
      </c>
      <c r="E310" s="9">
        <v>20720.538786407</v>
      </c>
      <c r="F310" s="9">
        <v>14572.8763511814</v>
      </c>
      <c r="G310" s="9">
        <v>20720.548205455299</v>
      </c>
      <c r="H310" s="9">
        <v>14572.883153271399</v>
      </c>
      <c r="I310" s="21">
        <f t="shared" si="8"/>
        <v>6.8020899998373352E-3</v>
      </c>
      <c r="J310" s="21">
        <f t="shared" si="9"/>
        <v>9.4190482996054925E-3</v>
      </c>
    </row>
    <row r="311" spans="1:10" hidden="1">
      <c r="A311" t="s">
        <v>185</v>
      </c>
      <c r="B311" t="s">
        <v>187</v>
      </c>
      <c r="C311" s="18">
        <v>2043</v>
      </c>
      <c r="D311" t="s">
        <v>206</v>
      </c>
      <c r="E311" s="9">
        <v>1213049.3228593899</v>
      </c>
      <c r="F311" s="9">
        <v>272950.44144139101</v>
      </c>
      <c r="G311" s="9">
        <v>1213049.26096591</v>
      </c>
      <c r="H311" s="9">
        <v>272950.43541917799</v>
      </c>
      <c r="I311" s="21">
        <f t="shared" si="8"/>
        <v>-6.022213026881218E-3</v>
      </c>
      <c r="J311" s="21">
        <f t="shared" si="9"/>
        <v>-6.1893479898571968E-2</v>
      </c>
    </row>
    <row r="312" spans="1:10" hidden="1">
      <c r="A312" t="s">
        <v>185</v>
      </c>
      <c r="B312" t="s">
        <v>187</v>
      </c>
      <c r="C312" s="18">
        <v>2043</v>
      </c>
      <c r="D312" t="s">
        <v>174</v>
      </c>
      <c r="E312" s="9">
        <v>146993.600857301</v>
      </c>
      <c r="F312" s="9">
        <v>99271.2456531098</v>
      </c>
      <c r="G312" s="9">
        <v>146993.81420820701</v>
      </c>
      <c r="H312" s="9">
        <v>99271.391168072907</v>
      </c>
      <c r="I312" s="21">
        <f t="shared" si="8"/>
        <v>0.14551496310741641</v>
      </c>
      <c r="J312" s="21">
        <f t="shared" si="9"/>
        <v>0.21335090600769036</v>
      </c>
    </row>
    <row r="313" spans="1:10" hidden="1">
      <c r="A313" t="s">
        <v>185</v>
      </c>
      <c r="B313" t="s">
        <v>187</v>
      </c>
      <c r="C313" s="18">
        <v>2043</v>
      </c>
      <c r="D313" t="s">
        <v>178</v>
      </c>
      <c r="E313" s="9">
        <v>471154.43317847903</v>
      </c>
      <c r="F313" s="9">
        <v>437679.61150367599</v>
      </c>
      <c r="G313" s="9">
        <v>471154.83958066901</v>
      </c>
      <c r="H313" s="9">
        <v>437679.98847184202</v>
      </c>
      <c r="I313" s="21">
        <f t="shared" si="8"/>
        <v>0.37696816603420302</v>
      </c>
      <c r="J313" s="21">
        <f t="shared" si="9"/>
        <v>0.406402189983055</v>
      </c>
    </row>
    <row r="314" spans="1:10" hidden="1">
      <c r="A314" t="s">
        <v>185</v>
      </c>
      <c r="B314" t="s">
        <v>187</v>
      </c>
      <c r="C314" s="18">
        <v>2043</v>
      </c>
      <c r="D314" t="s">
        <v>181</v>
      </c>
      <c r="E314" s="9">
        <v>810014.52639161295</v>
      </c>
      <c r="F314" s="9">
        <v>512610.30284461001</v>
      </c>
      <c r="G314" s="9">
        <v>810014.77283431904</v>
      </c>
      <c r="H314" s="9">
        <v>512610.44917931297</v>
      </c>
      <c r="I314" s="21">
        <f t="shared" si="8"/>
        <v>0.1463347029639408</v>
      </c>
      <c r="J314" s="21">
        <f t="shared" si="9"/>
        <v>0.24644270609132946</v>
      </c>
    </row>
    <row r="315" spans="1:10" hidden="1">
      <c r="A315" t="s">
        <v>185</v>
      </c>
      <c r="B315" t="s">
        <v>187</v>
      </c>
      <c r="C315" s="18">
        <v>2043</v>
      </c>
      <c r="D315" t="s">
        <v>184</v>
      </c>
      <c r="E315" s="9">
        <v>623952.86999983201</v>
      </c>
      <c r="F315" s="9">
        <v>367958.80917976203</v>
      </c>
      <c r="G315" s="9">
        <v>623953.35649413895</v>
      </c>
      <c r="H315" s="9">
        <v>367959.059248153</v>
      </c>
      <c r="I315" s="21">
        <f t="shared" si="8"/>
        <v>0.25006839097477496</v>
      </c>
      <c r="J315" s="21">
        <f t="shared" si="9"/>
        <v>0.48649430694058537</v>
      </c>
    </row>
    <row r="316" spans="1:10" hidden="1">
      <c r="A316" t="s">
        <v>185</v>
      </c>
      <c r="B316" t="s">
        <v>187</v>
      </c>
      <c r="C316" s="18">
        <v>2043</v>
      </c>
      <c r="D316" t="s">
        <v>365</v>
      </c>
      <c r="E316" s="9">
        <v>43232.138899028803</v>
      </c>
      <c r="F316" s="9">
        <v>7634.6381148667897</v>
      </c>
      <c r="G316" s="9">
        <v>43232.1385441846</v>
      </c>
      <c r="H316" s="9">
        <v>7634.6380979097503</v>
      </c>
      <c r="I316" s="21">
        <f t="shared" si="8"/>
        <v>-1.6957039406406693E-5</v>
      </c>
      <c r="J316" s="21">
        <f t="shared" si="9"/>
        <v>-3.54844203684479E-4</v>
      </c>
    </row>
    <row r="317" spans="1:10" hidden="1">
      <c r="A317" t="s">
        <v>185</v>
      </c>
      <c r="B317" t="s">
        <v>187</v>
      </c>
      <c r="C317" s="18">
        <v>2044</v>
      </c>
      <c r="D317" t="s">
        <v>167</v>
      </c>
      <c r="E317" s="9">
        <v>21220.237994773801</v>
      </c>
      <c r="F317" s="9">
        <v>14861.4247190592</v>
      </c>
      <c r="G317" s="9">
        <v>21220.2473713984</v>
      </c>
      <c r="H317" s="9">
        <v>14861.4315691186</v>
      </c>
      <c r="I317" s="21">
        <f t="shared" si="8"/>
        <v>6.8500594006764004E-3</v>
      </c>
      <c r="J317" s="21">
        <f t="shared" si="9"/>
        <v>9.3766245990991592E-3</v>
      </c>
    </row>
    <row r="318" spans="1:10" hidden="1">
      <c r="A318" t="s">
        <v>185</v>
      </c>
      <c r="B318" t="s">
        <v>187</v>
      </c>
      <c r="C318" s="18">
        <v>2044</v>
      </c>
      <c r="D318" t="s">
        <v>206</v>
      </c>
      <c r="E318" s="9">
        <v>1218988.5338906599</v>
      </c>
      <c r="F318" s="9">
        <v>280506.44849453599</v>
      </c>
      <c r="G318" s="9">
        <v>1218988.4670045001</v>
      </c>
      <c r="H318" s="9">
        <v>280506.44153550803</v>
      </c>
      <c r="I318" s="21">
        <f t="shared" si="8"/>
        <v>-6.9590279599651694E-3</v>
      </c>
      <c r="J318" s="21">
        <f t="shared" si="9"/>
        <v>-6.6886159824207425E-2</v>
      </c>
    </row>
    <row r="319" spans="1:10" hidden="1">
      <c r="A319" t="s">
        <v>185</v>
      </c>
      <c r="B319" t="s">
        <v>187</v>
      </c>
      <c r="C319" s="18">
        <v>2044</v>
      </c>
      <c r="D319" t="s">
        <v>174</v>
      </c>
      <c r="E319" s="9">
        <v>149695.99822259901</v>
      </c>
      <c r="F319" s="9">
        <v>101112.141779732</v>
      </c>
      <c r="G319" s="9">
        <v>149696.21396730101</v>
      </c>
      <c r="H319" s="9">
        <v>101112.290089553</v>
      </c>
      <c r="I319" s="21">
        <f t="shared" si="8"/>
        <v>0.14830982100102119</v>
      </c>
      <c r="J319" s="21">
        <f t="shared" si="9"/>
        <v>0.21574470199993812</v>
      </c>
    </row>
    <row r="320" spans="1:10" hidden="1">
      <c r="A320" t="s">
        <v>185</v>
      </c>
      <c r="B320" t="s">
        <v>187</v>
      </c>
      <c r="C320" s="18">
        <v>2044</v>
      </c>
      <c r="D320" t="s">
        <v>178</v>
      </c>
      <c r="E320" s="9">
        <v>477580.90628719598</v>
      </c>
      <c r="F320" s="9">
        <v>443800.25677479402</v>
      </c>
      <c r="G320" s="9">
        <v>477581.31483664498</v>
      </c>
      <c r="H320" s="9">
        <v>443800.63719739497</v>
      </c>
      <c r="I320" s="21">
        <f t="shared" si="8"/>
        <v>0.38042260095244274</v>
      </c>
      <c r="J320" s="21">
        <f t="shared" si="9"/>
        <v>0.40854944899911061</v>
      </c>
    </row>
    <row r="321" spans="1:10" hidden="1">
      <c r="A321" t="s">
        <v>185</v>
      </c>
      <c r="B321" t="s">
        <v>187</v>
      </c>
      <c r="C321" s="18">
        <v>2044</v>
      </c>
      <c r="D321" t="s">
        <v>181</v>
      </c>
      <c r="E321" s="9">
        <v>820742.127380508</v>
      </c>
      <c r="F321" s="9">
        <v>521420.02060648001</v>
      </c>
      <c r="G321" s="9">
        <v>820742.37012193399</v>
      </c>
      <c r="H321" s="9">
        <v>521420.17033099697</v>
      </c>
      <c r="I321" s="21">
        <f t="shared" si="8"/>
        <v>0.14972451695939526</v>
      </c>
      <c r="J321" s="21">
        <f t="shared" si="9"/>
        <v>0.24274142598733306</v>
      </c>
    </row>
    <row r="322" spans="1:10" hidden="1">
      <c r="A322" t="s">
        <v>185</v>
      </c>
      <c r="B322" t="s">
        <v>187</v>
      </c>
      <c r="C322" s="18">
        <v>2044</v>
      </c>
      <c r="D322" t="s">
        <v>184</v>
      </c>
      <c r="E322" s="9">
        <v>635024.058618729</v>
      </c>
      <c r="F322" s="9">
        <v>377918.33134519198</v>
      </c>
      <c r="G322" s="9">
        <v>635024.54646764905</v>
      </c>
      <c r="H322" s="9">
        <v>377918.58989895799</v>
      </c>
      <c r="I322" s="21">
        <f t="shared" ref="I322:I385" si="10">H322-F322</f>
        <v>0.25855376600520685</v>
      </c>
      <c r="J322" s="21">
        <f t="shared" ref="J322:J385" si="11">G322-E322</f>
        <v>0.48784892004914582</v>
      </c>
    </row>
    <row r="323" spans="1:10" hidden="1">
      <c r="A323" t="s">
        <v>185</v>
      </c>
      <c r="B323" t="s">
        <v>187</v>
      </c>
      <c r="C323" s="18">
        <v>2044</v>
      </c>
      <c r="D323" t="s">
        <v>365</v>
      </c>
      <c r="E323" s="9">
        <v>43202.630425908203</v>
      </c>
      <c r="F323" s="9">
        <v>7652.7218450864302</v>
      </c>
      <c r="G323" s="9">
        <v>43202.630038859497</v>
      </c>
      <c r="H323" s="9">
        <v>7652.7218257366803</v>
      </c>
      <c r="I323" s="21">
        <f t="shared" si="10"/>
        <v>-1.9349749891262036E-5</v>
      </c>
      <c r="J323" s="21">
        <f t="shared" si="11"/>
        <v>-3.8704870530636981E-4</v>
      </c>
    </row>
    <row r="324" spans="1:10" hidden="1">
      <c r="A324" t="s">
        <v>185</v>
      </c>
      <c r="B324" t="s">
        <v>187</v>
      </c>
      <c r="C324" s="18">
        <v>2045</v>
      </c>
      <c r="D324" t="s">
        <v>167</v>
      </c>
      <c r="E324" s="9">
        <v>21717.607202465799</v>
      </c>
      <c r="F324" s="9">
        <v>15148.2910761531</v>
      </c>
      <c r="G324" s="9">
        <v>21717.616521529701</v>
      </c>
      <c r="H324" s="9">
        <v>15148.297956242301</v>
      </c>
      <c r="I324" s="21">
        <f t="shared" si="10"/>
        <v>6.8800892004219349E-3</v>
      </c>
      <c r="J324" s="21">
        <f t="shared" si="11"/>
        <v>9.3190639017848298E-3</v>
      </c>
    </row>
    <row r="325" spans="1:10" hidden="1">
      <c r="A325" t="s">
        <v>185</v>
      </c>
      <c r="B325" t="s">
        <v>187</v>
      </c>
      <c r="C325" s="18">
        <v>2045</v>
      </c>
      <c r="D325" t="s">
        <v>206</v>
      </c>
      <c r="E325" s="9">
        <v>1224669.0382698399</v>
      </c>
      <c r="F325" s="9">
        <v>287925.05117562797</v>
      </c>
      <c r="G325" s="9">
        <v>1224668.96644768</v>
      </c>
      <c r="H325" s="9">
        <v>287925.04322278401</v>
      </c>
      <c r="I325" s="21">
        <f t="shared" si="10"/>
        <v>-7.952843967359513E-3</v>
      </c>
      <c r="J325" s="21">
        <f t="shared" si="11"/>
        <v>-7.1822159923613071E-2</v>
      </c>
    </row>
    <row r="326" spans="1:10" hidden="1">
      <c r="A326" t="s">
        <v>185</v>
      </c>
      <c r="B326" t="s">
        <v>187</v>
      </c>
      <c r="C326" s="18">
        <v>2045</v>
      </c>
      <c r="D326" t="s">
        <v>174</v>
      </c>
      <c r="E326" s="9">
        <v>152337.83481230601</v>
      </c>
      <c r="F326" s="9">
        <v>102935.164096415</v>
      </c>
      <c r="G326" s="9">
        <v>152338.05281588601</v>
      </c>
      <c r="H326" s="9">
        <v>102935.314985138</v>
      </c>
      <c r="I326" s="21">
        <f t="shared" si="10"/>
        <v>0.15088872300111689</v>
      </c>
      <c r="J326" s="21">
        <f t="shared" si="11"/>
        <v>0.21800357999745756</v>
      </c>
    </row>
    <row r="327" spans="1:10" hidden="1">
      <c r="A327" t="s">
        <v>185</v>
      </c>
      <c r="B327" t="s">
        <v>187</v>
      </c>
      <c r="C327" s="18">
        <v>2045</v>
      </c>
      <c r="D327" t="s">
        <v>178</v>
      </c>
      <c r="E327" s="9">
        <v>483723.105732308</v>
      </c>
      <c r="F327" s="9">
        <v>449717.17458136898</v>
      </c>
      <c r="G327" s="9">
        <v>483723.51612219802</v>
      </c>
      <c r="H327" s="9">
        <v>449717.558047709</v>
      </c>
      <c r="I327" s="21">
        <f t="shared" si="10"/>
        <v>0.38346634001936764</v>
      </c>
      <c r="J327" s="21">
        <f t="shared" si="11"/>
        <v>0.41038989002117887</v>
      </c>
    </row>
    <row r="328" spans="1:10" hidden="1">
      <c r="A328" t="s">
        <v>185</v>
      </c>
      <c r="B328" t="s">
        <v>187</v>
      </c>
      <c r="C328" s="18">
        <v>2045</v>
      </c>
      <c r="D328" t="s">
        <v>181</v>
      </c>
      <c r="E328" s="9">
        <v>831469.97121322702</v>
      </c>
      <c r="F328" s="9">
        <v>529994.07441296498</v>
      </c>
      <c r="G328" s="9">
        <v>831470.21009817696</v>
      </c>
      <c r="H328" s="9">
        <v>529994.22695920803</v>
      </c>
      <c r="I328" s="21">
        <f t="shared" si="10"/>
        <v>0.15254624304361641</v>
      </c>
      <c r="J328" s="21">
        <f t="shared" si="11"/>
        <v>0.23888494994025677</v>
      </c>
    </row>
    <row r="329" spans="1:10" hidden="1">
      <c r="A329" t="s">
        <v>185</v>
      </c>
      <c r="B329" t="s">
        <v>187</v>
      </c>
      <c r="C329" s="18">
        <v>2045</v>
      </c>
      <c r="D329" t="s">
        <v>184</v>
      </c>
      <c r="E329" s="9">
        <v>645729.95887478802</v>
      </c>
      <c r="F329" s="9">
        <v>387750.412392664</v>
      </c>
      <c r="G329" s="9">
        <v>645730.44769895996</v>
      </c>
      <c r="H329" s="9">
        <v>387750.67878189799</v>
      </c>
      <c r="I329" s="21">
        <f t="shared" si="10"/>
        <v>0.26638923399150372</v>
      </c>
      <c r="J329" s="21">
        <f t="shared" si="11"/>
        <v>0.48882417194545269</v>
      </c>
    </row>
    <row r="330" spans="1:10" hidden="1">
      <c r="A330" t="s">
        <v>185</v>
      </c>
      <c r="B330" t="s">
        <v>187</v>
      </c>
      <c r="C330" s="18">
        <v>2045</v>
      </c>
      <c r="D330" t="s">
        <v>365</v>
      </c>
      <c r="E330" s="9">
        <v>43190.604170879596</v>
      </c>
      <c r="F330" s="9">
        <v>7672.0682486629403</v>
      </c>
      <c r="G330" s="9">
        <v>43190.603751316099</v>
      </c>
      <c r="H330" s="9">
        <v>7672.0682267846396</v>
      </c>
      <c r="I330" s="21">
        <f t="shared" si="10"/>
        <v>-2.1878300685784779E-5</v>
      </c>
      <c r="J330" s="21">
        <f t="shared" si="11"/>
        <v>-4.1956349741667509E-4</v>
      </c>
    </row>
    <row r="331" spans="1:10" hidden="1">
      <c r="A331" t="s">
        <v>185</v>
      </c>
      <c r="B331" t="s">
        <v>187</v>
      </c>
      <c r="C331" s="18">
        <v>2046</v>
      </c>
      <c r="D331" t="s">
        <v>167</v>
      </c>
      <c r="E331" s="9">
        <v>22210.965276062401</v>
      </c>
      <c r="F331" s="9">
        <v>15436.884967071201</v>
      </c>
      <c r="G331" s="9">
        <v>22210.974521910699</v>
      </c>
      <c r="H331" s="9">
        <v>15436.8918612077</v>
      </c>
      <c r="I331" s="21">
        <f t="shared" si="10"/>
        <v>6.8941364988859277E-3</v>
      </c>
      <c r="J331" s="21">
        <f t="shared" si="11"/>
        <v>9.245848297723569E-3</v>
      </c>
    </row>
    <row r="332" spans="1:10" hidden="1">
      <c r="A332" t="s">
        <v>185</v>
      </c>
      <c r="B332" t="s">
        <v>187</v>
      </c>
      <c r="C332" s="18">
        <v>2046</v>
      </c>
      <c r="D332" t="s">
        <v>206</v>
      </c>
      <c r="E332" s="9">
        <v>1230125.1454650699</v>
      </c>
      <c r="F332" s="9">
        <v>295165.88621029397</v>
      </c>
      <c r="G332" s="9">
        <v>1230125.0687766999</v>
      </c>
      <c r="H332" s="9">
        <v>295165.87720880198</v>
      </c>
      <c r="I332" s="21">
        <f t="shared" si="10"/>
        <v>-9.0014919987879694E-3</v>
      </c>
      <c r="J332" s="21">
        <f t="shared" si="11"/>
        <v>-7.6688369968906045E-2</v>
      </c>
    </row>
    <row r="333" spans="1:10" hidden="1">
      <c r="A333" t="s">
        <v>185</v>
      </c>
      <c r="B333" t="s">
        <v>187</v>
      </c>
      <c r="C333" s="18">
        <v>2046</v>
      </c>
      <c r="D333" t="s">
        <v>174</v>
      </c>
      <c r="E333" s="9">
        <v>154918.96507215701</v>
      </c>
      <c r="F333" s="9">
        <v>104730.980719264</v>
      </c>
      <c r="G333" s="9">
        <v>154919.18519988199</v>
      </c>
      <c r="H333" s="9">
        <v>104731.13398431199</v>
      </c>
      <c r="I333" s="21">
        <f t="shared" si="10"/>
        <v>0.1532650479930453</v>
      </c>
      <c r="J333" s="21">
        <f t="shared" si="11"/>
        <v>0.22012772498419508</v>
      </c>
    </row>
    <row r="334" spans="1:10" hidden="1">
      <c r="A334" t="s">
        <v>185</v>
      </c>
      <c r="B334" t="s">
        <v>187</v>
      </c>
      <c r="C334" s="18">
        <v>2046</v>
      </c>
      <c r="D334" t="s">
        <v>178</v>
      </c>
      <c r="E334" s="9">
        <v>489559.15757910901</v>
      </c>
      <c r="F334" s="9">
        <v>455309.693990056</v>
      </c>
      <c r="G334" s="9">
        <v>489559.56948849699</v>
      </c>
      <c r="H334" s="9">
        <v>455310.080020589</v>
      </c>
      <c r="I334" s="21">
        <f t="shared" si="10"/>
        <v>0.38603053300175816</v>
      </c>
      <c r="J334" s="21">
        <f t="shared" si="11"/>
        <v>0.41190938797080889</v>
      </c>
    </row>
    <row r="335" spans="1:10" hidden="1">
      <c r="A335" t="s">
        <v>185</v>
      </c>
      <c r="B335" t="s">
        <v>187</v>
      </c>
      <c r="C335" s="18">
        <v>2046</v>
      </c>
      <c r="D335" t="s">
        <v>181</v>
      </c>
      <c r="E335" s="9">
        <v>842021.97630914103</v>
      </c>
      <c r="F335" s="9">
        <v>538440.01339551294</v>
      </c>
      <c r="G335" s="9">
        <v>842022.211146035</v>
      </c>
      <c r="H335" s="9">
        <v>538440.16822828504</v>
      </c>
      <c r="I335" s="21">
        <f t="shared" si="10"/>
        <v>0.15483277209568769</v>
      </c>
      <c r="J335" s="21">
        <f t="shared" si="11"/>
        <v>0.2348368939710781</v>
      </c>
    </row>
    <row r="336" spans="1:10" hidden="1">
      <c r="A336" t="s">
        <v>185</v>
      </c>
      <c r="B336" t="s">
        <v>187</v>
      </c>
      <c r="C336" s="18">
        <v>2046</v>
      </c>
      <c r="D336" t="s">
        <v>184</v>
      </c>
      <c r="E336" s="9">
        <v>656022.71446380496</v>
      </c>
      <c r="F336" s="9">
        <v>397431.67700801598</v>
      </c>
      <c r="G336" s="9">
        <v>656023.20384824695</v>
      </c>
      <c r="H336" s="9">
        <v>397431.95060261199</v>
      </c>
      <c r="I336" s="21">
        <f t="shared" si="10"/>
        <v>0.27359459601575509</v>
      </c>
      <c r="J336" s="21">
        <f t="shared" si="11"/>
        <v>0.48938444198574871</v>
      </c>
    </row>
    <row r="337" spans="1:10" hidden="1">
      <c r="A337" t="s">
        <v>185</v>
      </c>
      <c r="B337" t="s">
        <v>187</v>
      </c>
      <c r="C337" s="18">
        <v>2046</v>
      </c>
      <c r="D337" t="s">
        <v>365</v>
      </c>
      <c r="E337" s="9">
        <v>43196.310775523198</v>
      </c>
      <c r="F337" s="9">
        <v>7693.5570731892303</v>
      </c>
      <c r="G337" s="9">
        <v>43196.310323112302</v>
      </c>
      <c r="H337" s="9">
        <v>7693.5570486562501</v>
      </c>
      <c r="I337" s="21">
        <f t="shared" si="10"/>
        <v>-2.4532980205549393E-5</v>
      </c>
      <c r="J337" s="21">
        <f t="shared" si="11"/>
        <v>-4.5241089537739754E-4</v>
      </c>
    </row>
    <row r="338" spans="1:10" hidden="1">
      <c r="A338" t="s">
        <v>185</v>
      </c>
      <c r="B338" t="s">
        <v>187</v>
      </c>
      <c r="C338" s="18">
        <v>2047</v>
      </c>
      <c r="D338" t="s">
        <v>167</v>
      </c>
      <c r="E338" s="9">
        <v>22699.653805531601</v>
      </c>
      <c r="F338" s="9">
        <v>15728.4786011086</v>
      </c>
      <c r="G338" s="9">
        <v>22699.6629629007</v>
      </c>
      <c r="H338" s="9">
        <v>15728.485494730299</v>
      </c>
      <c r="I338" s="21">
        <f t="shared" si="10"/>
        <v>6.8936216994188726E-3</v>
      </c>
      <c r="J338" s="21">
        <f t="shared" si="11"/>
        <v>9.157369098829804E-3</v>
      </c>
    </row>
    <row r="339" spans="1:10" hidden="1">
      <c r="A339" t="s">
        <v>185</v>
      </c>
      <c r="B339" t="s">
        <v>187</v>
      </c>
      <c r="C339" s="18">
        <v>2047</v>
      </c>
      <c r="D339" t="s">
        <v>206</v>
      </c>
      <c r="E339" s="9">
        <v>1235274.74668467</v>
      </c>
      <c r="F339" s="9">
        <v>302180.56041647203</v>
      </c>
      <c r="G339" s="9">
        <v>1235274.66521773</v>
      </c>
      <c r="H339" s="9">
        <v>302180.55031250097</v>
      </c>
      <c r="I339" s="21">
        <f t="shared" si="10"/>
        <v>-1.0103971057105809E-2</v>
      </c>
      <c r="J339" s="21">
        <f t="shared" si="11"/>
        <v>-8.1466939998790622E-2</v>
      </c>
    </row>
    <row r="340" spans="1:10" hidden="1">
      <c r="A340" t="s">
        <v>185</v>
      </c>
      <c r="B340" t="s">
        <v>187</v>
      </c>
      <c r="C340" s="18">
        <v>2047</v>
      </c>
      <c r="D340" t="s">
        <v>174</v>
      </c>
      <c r="E340" s="9">
        <v>157435.71522970701</v>
      </c>
      <c r="F340" s="9">
        <v>106487.52231401599</v>
      </c>
      <c r="G340" s="9">
        <v>157435.937342911</v>
      </c>
      <c r="H340" s="9">
        <v>106487.67776034201</v>
      </c>
      <c r="I340" s="21">
        <f t="shared" si="10"/>
        <v>0.1554463260108605</v>
      </c>
      <c r="J340" s="21">
        <f t="shared" si="11"/>
        <v>0.22211320398491807</v>
      </c>
    </row>
    <row r="341" spans="1:10" hidden="1">
      <c r="A341" t="s">
        <v>185</v>
      </c>
      <c r="B341" t="s">
        <v>187</v>
      </c>
      <c r="C341" s="18">
        <v>2047</v>
      </c>
      <c r="D341" t="s">
        <v>178</v>
      </c>
      <c r="E341" s="9">
        <v>495046.91860264901</v>
      </c>
      <c r="F341" s="9">
        <v>460539.03963287303</v>
      </c>
      <c r="G341" s="9">
        <v>495047.33168069902</v>
      </c>
      <c r="H341" s="9">
        <v>460539.427749469</v>
      </c>
      <c r="I341" s="21">
        <f t="shared" si="10"/>
        <v>0.38811659597558901</v>
      </c>
      <c r="J341" s="21">
        <f t="shared" si="11"/>
        <v>0.41307805001270026</v>
      </c>
    </row>
    <row r="342" spans="1:10" hidden="1">
      <c r="A342" t="s">
        <v>185</v>
      </c>
      <c r="B342" t="s">
        <v>187</v>
      </c>
      <c r="C342" s="18">
        <v>2047</v>
      </c>
      <c r="D342" t="s">
        <v>181</v>
      </c>
      <c r="E342" s="9">
        <v>852356.80625826097</v>
      </c>
      <c r="F342" s="9">
        <v>546892.72811463801</v>
      </c>
      <c r="G342" s="9">
        <v>852357.03689663101</v>
      </c>
      <c r="H342" s="9">
        <v>546892.884748123</v>
      </c>
      <c r="I342" s="21">
        <f t="shared" si="10"/>
        <v>0.15663348499219865</v>
      </c>
      <c r="J342" s="21">
        <f t="shared" si="11"/>
        <v>0.23063837003428489</v>
      </c>
    </row>
    <row r="343" spans="1:10" hidden="1">
      <c r="A343" t="s">
        <v>185</v>
      </c>
      <c r="B343" t="s">
        <v>187</v>
      </c>
      <c r="C343" s="18">
        <v>2047</v>
      </c>
      <c r="D343" t="s">
        <v>184</v>
      </c>
      <c r="E343" s="9">
        <v>665960.04096527305</v>
      </c>
      <c r="F343" s="9">
        <v>406938.02969843399</v>
      </c>
      <c r="G343" s="9">
        <v>665960.53053760703</v>
      </c>
      <c r="H343" s="9">
        <v>406938.30985862098</v>
      </c>
      <c r="I343" s="21">
        <f t="shared" si="10"/>
        <v>0.28016018698690459</v>
      </c>
      <c r="J343" s="21">
        <f t="shared" si="11"/>
        <v>0.48957233398687094</v>
      </c>
    </row>
    <row r="344" spans="1:10" hidden="1">
      <c r="A344" t="s">
        <v>185</v>
      </c>
      <c r="B344" t="s">
        <v>187</v>
      </c>
      <c r="C344" s="18">
        <v>2047</v>
      </c>
      <c r="D344" t="s">
        <v>365</v>
      </c>
      <c r="E344" s="9">
        <v>43217.6346779577</v>
      </c>
      <c r="F344" s="9">
        <v>7716.26455238375</v>
      </c>
      <c r="G344" s="9">
        <v>43217.634192350401</v>
      </c>
      <c r="H344" s="9">
        <v>7716.2645250788601</v>
      </c>
      <c r="I344" s="21">
        <f t="shared" si="10"/>
        <v>-2.730488995439373E-5</v>
      </c>
      <c r="J344" s="21">
        <f t="shared" si="11"/>
        <v>-4.8560729919699952E-4</v>
      </c>
    </row>
    <row r="345" spans="1:10" hidden="1">
      <c r="A345" t="s">
        <v>185</v>
      </c>
      <c r="B345" t="s">
        <v>187</v>
      </c>
      <c r="C345" s="18">
        <v>2048</v>
      </c>
      <c r="D345" t="s">
        <v>167</v>
      </c>
      <c r="E345" s="9">
        <v>23179.7684767557</v>
      </c>
      <c r="F345" s="9">
        <v>16025.211880729699</v>
      </c>
      <c r="G345" s="9">
        <v>23179.777529823201</v>
      </c>
      <c r="H345" s="9">
        <v>16025.2187605858</v>
      </c>
      <c r="I345" s="21">
        <f t="shared" si="10"/>
        <v>6.8798561005678494E-3</v>
      </c>
      <c r="J345" s="21">
        <f t="shared" si="11"/>
        <v>9.0530675006448291E-3</v>
      </c>
    </row>
    <row r="346" spans="1:10" hidden="1">
      <c r="A346" t="s">
        <v>185</v>
      </c>
      <c r="B346" t="s">
        <v>187</v>
      </c>
      <c r="C346" s="18">
        <v>2048</v>
      </c>
      <c r="D346" t="s">
        <v>206</v>
      </c>
      <c r="E346" s="9">
        <v>1240209.1899067501</v>
      </c>
      <c r="F346" s="9">
        <v>308964.321633327</v>
      </c>
      <c r="G346" s="9">
        <v>1240209.10376068</v>
      </c>
      <c r="H346" s="9">
        <v>308964.31037728197</v>
      </c>
      <c r="I346" s="21">
        <f t="shared" si="10"/>
        <v>-1.1256045021582395E-2</v>
      </c>
      <c r="J346" s="21">
        <f t="shared" si="11"/>
        <v>-8.6146070156246424E-2</v>
      </c>
    </row>
    <row r="347" spans="1:10" hidden="1">
      <c r="A347" t="s">
        <v>185</v>
      </c>
      <c r="B347" t="s">
        <v>187</v>
      </c>
      <c r="C347" s="18">
        <v>2048</v>
      </c>
      <c r="D347" t="s">
        <v>174</v>
      </c>
      <c r="E347" s="9">
        <v>159876.84560618899</v>
      </c>
      <c r="F347" s="9">
        <v>108205.151917568</v>
      </c>
      <c r="G347" s="9">
        <v>159877.06955740901</v>
      </c>
      <c r="H347" s="9">
        <v>108205.309376064</v>
      </c>
      <c r="I347" s="21">
        <f t="shared" si="10"/>
        <v>0.15745849600352813</v>
      </c>
      <c r="J347" s="21">
        <f t="shared" si="11"/>
        <v>0.22395122001762502</v>
      </c>
    </row>
    <row r="348" spans="1:10" hidden="1">
      <c r="A348" t="s">
        <v>185</v>
      </c>
      <c r="B348" t="s">
        <v>187</v>
      </c>
      <c r="C348" s="18">
        <v>2048</v>
      </c>
      <c r="D348" t="s">
        <v>178</v>
      </c>
      <c r="E348" s="9">
        <v>500251.54970034002</v>
      </c>
      <c r="F348" s="9">
        <v>465558.08909955702</v>
      </c>
      <c r="G348" s="9">
        <v>500251.96367663803</v>
      </c>
      <c r="H348" s="9">
        <v>465558.478994868</v>
      </c>
      <c r="I348" s="21">
        <f t="shared" si="10"/>
        <v>0.38989531097467989</v>
      </c>
      <c r="J348" s="21">
        <f t="shared" si="11"/>
        <v>0.41397629800485447</v>
      </c>
    </row>
    <row r="349" spans="1:10" hidden="1">
      <c r="A349" t="s">
        <v>185</v>
      </c>
      <c r="B349" t="s">
        <v>187</v>
      </c>
      <c r="C349" s="18">
        <v>2048</v>
      </c>
      <c r="D349" t="s">
        <v>181</v>
      </c>
      <c r="E349" s="9">
        <v>862420.97137584898</v>
      </c>
      <c r="F349" s="9">
        <v>555219.09631528903</v>
      </c>
      <c r="G349" s="9">
        <v>862421.19766606798</v>
      </c>
      <c r="H349" s="9">
        <v>555219.25427407597</v>
      </c>
      <c r="I349" s="21">
        <f t="shared" si="10"/>
        <v>0.15795878693461418</v>
      </c>
      <c r="J349" s="21">
        <f t="shared" si="11"/>
        <v>0.22629021899774671</v>
      </c>
    </row>
    <row r="350" spans="1:10" hidden="1">
      <c r="A350" t="s">
        <v>185</v>
      </c>
      <c r="B350" t="s">
        <v>187</v>
      </c>
      <c r="C350" s="18">
        <v>2048</v>
      </c>
      <c r="D350" t="s">
        <v>184</v>
      </c>
      <c r="E350" s="9">
        <v>675537.57771425298</v>
      </c>
      <c r="F350" s="9">
        <v>416220.85957451898</v>
      </c>
      <c r="G350" s="9">
        <v>675538.06713143899</v>
      </c>
      <c r="H350" s="9">
        <v>416221.14564351598</v>
      </c>
      <c r="I350" s="21">
        <f t="shared" si="10"/>
        <v>0.28606899699661881</v>
      </c>
      <c r="J350" s="21">
        <f t="shared" si="11"/>
        <v>0.48941718600690365</v>
      </c>
    </row>
    <row r="351" spans="1:10" hidden="1">
      <c r="A351" t="s">
        <v>185</v>
      </c>
      <c r="B351" t="s">
        <v>187</v>
      </c>
      <c r="C351" s="18">
        <v>2048</v>
      </c>
      <c r="D351" t="s">
        <v>365</v>
      </c>
      <c r="E351" s="9">
        <v>43247.117087271501</v>
      </c>
      <c r="F351" s="9">
        <v>7740.9682625007999</v>
      </c>
      <c r="G351" s="9">
        <v>43247.116568268502</v>
      </c>
      <c r="H351" s="9">
        <v>7740.9682323091401</v>
      </c>
      <c r="I351" s="21">
        <f t="shared" si="10"/>
        <v>-3.0191659789124969E-5</v>
      </c>
      <c r="J351" s="21">
        <f t="shared" si="11"/>
        <v>-5.190029987716116E-4</v>
      </c>
    </row>
    <row r="352" spans="1:10" hidden="1">
      <c r="A352" t="s">
        <v>185</v>
      </c>
      <c r="B352" t="s">
        <v>187</v>
      </c>
      <c r="C352" s="18">
        <v>2049</v>
      </c>
      <c r="D352" t="s">
        <v>167</v>
      </c>
      <c r="E352" s="9">
        <v>23650.352549222102</v>
      </c>
      <c r="F352" s="9">
        <v>16322.6046619766</v>
      </c>
      <c r="G352" s="9">
        <v>23650.361484044901</v>
      </c>
      <c r="H352" s="9">
        <v>16322.61151708</v>
      </c>
      <c r="I352" s="21">
        <f t="shared" si="10"/>
        <v>6.8551034000847721E-3</v>
      </c>
      <c r="J352" s="21">
        <f t="shared" si="11"/>
        <v>8.9348227993468754E-3</v>
      </c>
    </row>
    <row r="353" spans="1:10" hidden="1">
      <c r="A353" t="s">
        <v>185</v>
      </c>
      <c r="B353" t="s">
        <v>187</v>
      </c>
      <c r="C353" s="18">
        <v>2049</v>
      </c>
      <c r="D353" t="s">
        <v>206</v>
      </c>
      <c r="E353" s="9">
        <v>1244958.4670322</v>
      </c>
      <c r="F353" s="9">
        <v>315528.667027755</v>
      </c>
      <c r="G353" s="9">
        <v>1244958.37630862</v>
      </c>
      <c r="H353" s="9">
        <v>315528.65457465599</v>
      </c>
      <c r="I353" s="21">
        <f t="shared" si="10"/>
        <v>-1.2453099014237523E-2</v>
      </c>
      <c r="J353" s="21">
        <f t="shared" si="11"/>
        <v>-9.0723579982295632E-2</v>
      </c>
    </row>
    <row r="354" spans="1:10" hidden="1">
      <c r="A354" t="s">
        <v>185</v>
      </c>
      <c r="B354" t="s">
        <v>187</v>
      </c>
      <c r="C354" s="18">
        <v>2049</v>
      </c>
      <c r="D354" t="s">
        <v>174</v>
      </c>
      <c r="E354" s="9">
        <v>162237.90904186401</v>
      </c>
      <c r="F354" s="9">
        <v>109882.211828573</v>
      </c>
      <c r="G354" s="9">
        <v>162238.134685625</v>
      </c>
      <c r="H354" s="9">
        <v>109882.371148655</v>
      </c>
      <c r="I354" s="21">
        <f t="shared" si="10"/>
        <v>0.1593200820061611</v>
      </c>
      <c r="J354" s="21">
        <f t="shared" si="11"/>
        <v>0.22564376099035144</v>
      </c>
    </row>
    <row r="355" spans="1:10" hidden="1">
      <c r="A355" t="s">
        <v>185</v>
      </c>
      <c r="B355" t="s">
        <v>187</v>
      </c>
      <c r="C355" s="18">
        <v>2049</v>
      </c>
      <c r="D355" t="s">
        <v>178</v>
      </c>
      <c r="E355" s="9">
        <v>505215.48584777699</v>
      </c>
      <c r="F355" s="9">
        <v>470383.48874148499</v>
      </c>
      <c r="G355" s="9">
        <v>505215.90050813899</v>
      </c>
      <c r="H355" s="9">
        <v>470383.880162835</v>
      </c>
      <c r="I355" s="21">
        <f t="shared" si="10"/>
        <v>0.39142135001020506</v>
      </c>
      <c r="J355" s="21">
        <f t="shared" si="11"/>
        <v>0.41466036200290546</v>
      </c>
    </row>
    <row r="356" spans="1:10" hidden="1">
      <c r="A356" t="s">
        <v>185</v>
      </c>
      <c r="B356" t="s">
        <v>187</v>
      </c>
      <c r="C356" s="18">
        <v>2049</v>
      </c>
      <c r="D356" t="s">
        <v>181</v>
      </c>
      <c r="E356" s="9">
        <v>872039.19081069797</v>
      </c>
      <c r="F356" s="9">
        <v>563337.60676995805</v>
      </c>
      <c r="G356" s="9">
        <v>872039.41256190802</v>
      </c>
      <c r="H356" s="9">
        <v>563337.76559367101</v>
      </c>
      <c r="I356" s="21">
        <f t="shared" si="10"/>
        <v>0.15882371296174824</v>
      </c>
      <c r="J356" s="21">
        <f t="shared" si="11"/>
        <v>0.2217512100469321</v>
      </c>
    </row>
    <row r="357" spans="1:10" hidden="1">
      <c r="A357" t="s">
        <v>185</v>
      </c>
      <c r="B357" t="s">
        <v>187</v>
      </c>
      <c r="C357" s="18">
        <v>2049</v>
      </c>
      <c r="D357" t="s">
        <v>184</v>
      </c>
      <c r="E357" s="9">
        <v>684799.03025740897</v>
      </c>
      <c r="F357" s="9">
        <v>425211.00350390602</v>
      </c>
      <c r="G357" s="9">
        <v>684799.51924341801</v>
      </c>
      <c r="H357" s="9">
        <v>425211.29480666103</v>
      </c>
      <c r="I357" s="21">
        <f t="shared" si="10"/>
        <v>0.29130275500938296</v>
      </c>
      <c r="J357" s="21">
        <f t="shared" si="11"/>
        <v>0.48898600903339684</v>
      </c>
    </row>
    <row r="358" spans="1:10" hidden="1">
      <c r="A358" t="s">
        <v>185</v>
      </c>
      <c r="B358" t="s">
        <v>187</v>
      </c>
      <c r="C358" s="18">
        <v>2049</v>
      </c>
      <c r="D358" t="s">
        <v>365</v>
      </c>
      <c r="E358" s="9">
        <v>43287.694670565201</v>
      </c>
      <c r="F358" s="9">
        <v>7764.4250909222101</v>
      </c>
      <c r="G358" s="9">
        <v>43287.694118175197</v>
      </c>
      <c r="H358" s="9">
        <v>7764.4250577338198</v>
      </c>
      <c r="I358" s="21">
        <f t="shared" si="10"/>
        <v>-3.3188390261784662E-5</v>
      </c>
      <c r="J358" s="21">
        <f t="shared" si="11"/>
        <v>-5.5239000357687473E-4</v>
      </c>
    </row>
    <row r="359" spans="1:10" hidden="1">
      <c r="A359" t="s">
        <v>185</v>
      </c>
      <c r="B359" t="s">
        <v>187</v>
      </c>
      <c r="C359" s="18">
        <v>2050</v>
      </c>
      <c r="D359" t="s">
        <v>167</v>
      </c>
      <c r="E359" s="9">
        <v>24110.421822153101</v>
      </c>
      <c r="F359" s="9">
        <v>16618.916889029599</v>
      </c>
      <c r="G359" s="9">
        <v>24110.4306261692</v>
      </c>
      <c r="H359" s="9">
        <v>16618.923709126098</v>
      </c>
      <c r="I359" s="21">
        <f t="shared" si="10"/>
        <v>6.8200964997231495E-3</v>
      </c>
      <c r="J359" s="21">
        <f t="shared" si="11"/>
        <v>8.8040160990203731E-3</v>
      </c>
    </row>
    <row r="360" spans="1:10" hidden="1">
      <c r="A360" t="s">
        <v>185</v>
      </c>
      <c r="B360" t="s">
        <v>187</v>
      </c>
      <c r="C360" s="18">
        <v>2050</v>
      </c>
      <c r="D360" t="s">
        <v>206</v>
      </c>
      <c r="E360" s="9">
        <v>1249575.0764955201</v>
      </c>
      <c r="F360" s="9">
        <v>321866.15911457501</v>
      </c>
      <c r="G360" s="9">
        <v>1249574.9812984299</v>
      </c>
      <c r="H360" s="9">
        <v>321866.14542390499</v>
      </c>
      <c r="I360" s="21">
        <f t="shared" si="10"/>
        <v>-1.3690670020878315E-2</v>
      </c>
      <c r="J360" s="21">
        <f t="shared" si="11"/>
        <v>-9.5197090180590749E-2</v>
      </c>
    </row>
    <row r="361" spans="1:10" hidden="1">
      <c r="A361" t="s">
        <v>185</v>
      </c>
      <c r="B361" t="s">
        <v>187</v>
      </c>
      <c r="C361" s="18">
        <v>2050</v>
      </c>
      <c r="D361" t="s">
        <v>174</v>
      </c>
      <c r="E361" s="9">
        <v>164526.722389342</v>
      </c>
      <c r="F361" s="9">
        <v>111496.099038627</v>
      </c>
      <c r="G361" s="9">
        <v>164526.94959842</v>
      </c>
      <c r="H361" s="9">
        <v>111496.260054028</v>
      </c>
      <c r="I361" s="21">
        <f t="shared" si="10"/>
        <v>0.16101540099771228</v>
      </c>
      <c r="J361" s="21">
        <f t="shared" si="11"/>
        <v>0.22720907800248824</v>
      </c>
    </row>
    <row r="362" spans="1:10" hidden="1">
      <c r="A362" t="s">
        <v>185</v>
      </c>
      <c r="B362" t="s">
        <v>187</v>
      </c>
      <c r="C362" s="18">
        <v>2050</v>
      </c>
      <c r="D362" t="s">
        <v>178</v>
      </c>
      <c r="E362" s="9">
        <v>509923.37952483998</v>
      </c>
      <c r="F362" s="9">
        <v>474892.86194109899</v>
      </c>
      <c r="G362" s="9">
        <v>509923.79465326603</v>
      </c>
      <c r="H362" s="9">
        <v>474893.25455494301</v>
      </c>
      <c r="I362" s="21">
        <f t="shared" si="10"/>
        <v>0.39261384401470423</v>
      </c>
      <c r="J362" s="21">
        <f t="shared" si="11"/>
        <v>0.41512842604424804</v>
      </c>
    </row>
    <row r="363" spans="1:10" hidden="1">
      <c r="A363" t="s">
        <v>185</v>
      </c>
      <c r="B363" t="s">
        <v>187</v>
      </c>
      <c r="C363" s="18">
        <v>2050</v>
      </c>
      <c r="D363" t="s">
        <v>181</v>
      </c>
      <c r="E363" s="9">
        <v>881219.99311795901</v>
      </c>
      <c r="F363" s="9">
        <v>571304.97137521999</v>
      </c>
      <c r="G363" s="9">
        <v>881220.21017861494</v>
      </c>
      <c r="H363" s="9">
        <v>571305.13066545594</v>
      </c>
      <c r="I363" s="21">
        <f t="shared" si="10"/>
        <v>0.15929023595526814</v>
      </c>
      <c r="J363" s="21">
        <f t="shared" si="11"/>
        <v>0.2170606559375301</v>
      </c>
    </row>
    <row r="364" spans="1:10" hidden="1">
      <c r="A364" t="s">
        <v>185</v>
      </c>
      <c r="B364" t="s">
        <v>187</v>
      </c>
      <c r="C364" s="18">
        <v>2050</v>
      </c>
      <c r="D364" t="s">
        <v>184</v>
      </c>
      <c r="E364" s="9">
        <v>693832.88743421203</v>
      </c>
      <c r="F364" s="9">
        <v>433927.82093434298</v>
      </c>
      <c r="G364" s="9">
        <v>693833.37581002596</v>
      </c>
      <c r="H364" s="9">
        <v>433928.11684243701</v>
      </c>
      <c r="I364" s="21">
        <f t="shared" si="10"/>
        <v>0.29590809403453022</v>
      </c>
      <c r="J364" s="21">
        <f t="shared" si="11"/>
        <v>0.48837581393308938</v>
      </c>
    </row>
    <row r="365" spans="1:10" hidden="1">
      <c r="A365" t="s">
        <v>185</v>
      </c>
      <c r="B365" t="s">
        <v>187</v>
      </c>
      <c r="C365" s="18">
        <v>2050</v>
      </c>
      <c r="D365" t="s">
        <v>365</v>
      </c>
      <c r="E365" s="9">
        <v>43337.334657473497</v>
      </c>
      <c r="F365" s="9">
        <v>7785.5925525318999</v>
      </c>
      <c r="G365" s="9">
        <v>43337.334071848098</v>
      </c>
      <c r="H365" s="9">
        <v>7785.5925162465101</v>
      </c>
      <c r="I365" s="21">
        <f t="shared" si="10"/>
        <v>-3.6285389796830714E-5</v>
      </c>
      <c r="J365" s="21">
        <f t="shared" si="11"/>
        <v>-5.8562539925333112E-4</v>
      </c>
    </row>
    <row r="366" spans="1:10">
      <c r="A366" t="s">
        <v>193</v>
      </c>
      <c r="B366" t="s">
        <v>195</v>
      </c>
      <c r="C366" s="18">
        <v>2025</v>
      </c>
      <c r="D366" t="s">
        <v>167</v>
      </c>
      <c r="E366" s="9">
        <v>12347.3896757033</v>
      </c>
      <c r="F366" s="9">
        <v>8975.3084972287597</v>
      </c>
      <c r="G366" s="9">
        <v>12347.3896757033</v>
      </c>
      <c r="H366" s="9">
        <v>8975.3084972287597</v>
      </c>
      <c r="I366" s="21">
        <f t="shared" si="10"/>
        <v>0</v>
      </c>
      <c r="J366" s="21">
        <f t="shared" si="11"/>
        <v>0</v>
      </c>
    </row>
    <row r="367" spans="1:10">
      <c r="A367" t="s">
        <v>193</v>
      </c>
      <c r="B367" t="s">
        <v>195</v>
      </c>
      <c r="C367" s="18">
        <v>2025</v>
      </c>
      <c r="D367" t="s">
        <v>206</v>
      </c>
      <c r="E367" s="9">
        <v>1026043.97207164</v>
      </c>
      <c r="F367" s="9">
        <v>129403.02283067199</v>
      </c>
      <c r="G367" s="9">
        <v>1026043.97207164</v>
      </c>
      <c r="H367" s="9">
        <v>129403.02283067199</v>
      </c>
      <c r="I367" s="21">
        <f t="shared" si="10"/>
        <v>0</v>
      </c>
      <c r="J367" s="21">
        <f t="shared" si="11"/>
        <v>0</v>
      </c>
    </row>
    <row r="368" spans="1:10">
      <c r="A368" t="s">
        <v>193</v>
      </c>
      <c r="B368" t="s">
        <v>195</v>
      </c>
      <c r="C368" s="18">
        <v>2025</v>
      </c>
      <c r="D368" t="s">
        <v>174</v>
      </c>
      <c r="E368" s="9">
        <v>91684.509014274605</v>
      </c>
      <c r="F368" s="9">
        <v>63318.751825202096</v>
      </c>
      <c r="G368" s="9">
        <v>91684.509014274605</v>
      </c>
      <c r="H368" s="9">
        <v>63318.751825202096</v>
      </c>
      <c r="I368" s="21">
        <f t="shared" si="10"/>
        <v>0</v>
      </c>
      <c r="J368" s="21">
        <f t="shared" si="11"/>
        <v>0</v>
      </c>
    </row>
    <row r="369" spans="1:10">
      <c r="A369" t="s">
        <v>193</v>
      </c>
      <c r="B369" t="s">
        <v>195</v>
      </c>
      <c r="C369" s="18">
        <v>2025</v>
      </c>
      <c r="D369" t="s">
        <v>178</v>
      </c>
      <c r="E369" s="9">
        <v>327817.99211152899</v>
      </c>
      <c r="F369" s="9">
        <v>300216.82861998002</v>
      </c>
      <c r="G369" s="9">
        <v>327817.99211152899</v>
      </c>
      <c r="H369" s="9">
        <v>300216.82861998002</v>
      </c>
      <c r="I369" s="21">
        <f t="shared" si="10"/>
        <v>0</v>
      </c>
      <c r="J369" s="21">
        <f t="shared" si="11"/>
        <v>0</v>
      </c>
    </row>
    <row r="370" spans="1:10">
      <c r="A370" t="s">
        <v>193</v>
      </c>
      <c r="B370" t="s">
        <v>195</v>
      </c>
      <c r="C370" s="18">
        <v>2025</v>
      </c>
      <c r="D370" t="s">
        <v>181</v>
      </c>
      <c r="E370" s="9">
        <v>563964.12892884796</v>
      </c>
      <c r="F370" s="9">
        <v>321188.16298793198</v>
      </c>
      <c r="G370" s="9">
        <v>563964.12892884796</v>
      </c>
      <c r="H370" s="9">
        <v>321188.16298793198</v>
      </c>
      <c r="I370" s="21">
        <f t="shared" si="10"/>
        <v>0</v>
      </c>
      <c r="J370" s="21">
        <f t="shared" si="11"/>
        <v>0</v>
      </c>
    </row>
    <row r="371" spans="1:10">
      <c r="A371" t="s">
        <v>193</v>
      </c>
      <c r="B371" t="s">
        <v>195</v>
      </c>
      <c r="C371" s="18">
        <v>2025</v>
      </c>
      <c r="D371" t="s">
        <v>184</v>
      </c>
      <c r="E371" s="9">
        <v>396205.91279756802</v>
      </c>
      <c r="F371" s="9">
        <v>191954.71357959701</v>
      </c>
      <c r="G371" s="9">
        <v>396205.91279756802</v>
      </c>
      <c r="H371" s="9">
        <v>191954.71357959701</v>
      </c>
      <c r="I371" s="21">
        <f t="shared" si="10"/>
        <v>0</v>
      </c>
      <c r="J371" s="21">
        <f t="shared" si="11"/>
        <v>0</v>
      </c>
    </row>
    <row r="372" spans="1:10">
      <c r="A372" t="s">
        <v>193</v>
      </c>
      <c r="B372" t="s">
        <v>195</v>
      </c>
      <c r="C372" s="18">
        <v>2025</v>
      </c>
      <c r="D372" t="s">
        <v>365</v>
      </c>
      <c r="E372" s="9">
        <v>44024.855784556101</v>
      </c>
      <c r="F372" s="9">
        <v>6961.0286695127397</v>
      </c>
      <c r="G372" s="9">
        <v>44024.855784556101</v>
      </c>
      <c r="H372" s="9">
        <v>6961.0286695127397</v>
      </c>
      <c r="I372" s="21">
        <f t="shared" si="10"/>
        <v>0</v>
      </c>
      <c r="J372" s="21">
        <f t="shared" si="11"/>
        <v>0</v>
      </c>
    </row>
    <row r="373" spans="1:10">
      <c r="A373" t="s">
        <v>193</v>
      </c>
      <c r="B373" t="s">
        <v>195</v>
      </c>
      <c r="C373" s="18">
        <v>2026</v>
      </c>
      <c r="D373" t="s">
        <v>167</v>
      </c>
      <c r="E373" s="9">
        <v>12812.507871628</v>
      </c>
      <c r="F373" s="9">
        <v>9308.2642091095495</v>
      </c>
      <c r="G373" s="9">
        <v>12812.507871628</v>
      </c>
      <c r="H373" s="9">
        <v>9308.2642091095495</v>
      </c>
      <c r="I373" s="21">
        <f t="shared" si="10"/>
        <v>0</v>
      </c>
      <c r="J373" s="21">
        <f t="shared" si="11"/>
        <v>0</v>
      </c>
    </row>
    <row r="374" spans="1:10">
      <c r="A374" t="s">
        <v>193</v>
      </c>
      <c r="B374" t="s">
        <v>195</v>
      </c>
      <c r="C374" s="18">
        <v>2026</v>
      </c>
      <c r="D374" t="s">
        <v>206</v>
      </c>
      <c r="E374" s="9">
        <v>1040956.74283153</v>
      </c>
      <c r="F374" s="9">
        <v>137191.89613692299</v>
      </c>
      <c r="G374" s="9">
        <v>1040956.74283153</v>
      </c>
      <c r="H374" s="9">
        <v>137191.89613692299</v>
      </c>
      <c r="I374" s="21">
        <f t="shared" si="10"/>
        <v>0</v>
      </c>
      <c r="J374" s="21">
        <f t="shared" si="11"/>
        <v>0</v>
      </c>
    </row>
    <row r="375" spans="1:10">
      <c r="A375" t="s">
        <v>193</v>
      </c>
      <c r="B375" t="s">
        <v>195</v>
      </c>
      <c r="C375" s="18">
        <v>2026</v>
      </c>
      <c r="D375" t="s">
        <v>174</v>
      </c>
      <c r="E375" s="9">
        <v>93538.556781641397</v>
      </c>
      <c r="F375" s="9">
        <v>65164.470413401701</v>
      </c>
      <c r="G375" s="9">
        <v>95077.183303526501</v>
      </c>
      <c r="H375" s="9">
        <v>65164.470413401701</v>
      </c>
      <c r="I375" s="21">
        <f t="shared" si="10"/>
        <v>0</v>
      </c>
      <c r="J375" s="21">
        <f t="shared" si="11"/>
        <v>1538.626521885104</v>
      </c>
    </row>
    <row r="376" spans="1:10">
      <c r="A376" t="s">
        <v>193</v>
      </c>
      <c r="B376" t="s">
        <v>195</v>
      </c>
      <c r="C376" s="18">
        <v>2026</v>
      </c>
      <c r="D376" t="s">
        <v>178</v>
      </c>
      <c r="E376" s="9">
        <v>331423.79521685297</v>
      </c>
      <c r="F376" s="9">
        <v>308606.943045308</v>
      </c>
      <c r="G376" s="9">
        <v>336875.42349560501</v>
      </c>
      <c r="H376" s="9">
        <v>308606.943045308</v>
      </c>
      <c r="I376" s="21">
        <f t="shared" si="10"/>
        <v>0</v>
      </c>
      <c r="J376" s="21">
        <f t="shared" si="11"/>
        <v>5451.6282787520322</v>
      </c>
    </row>
    <row r="377" spans="1:10">
      <c r="A377" t="s">
        <v>193</v>
      </c>
      <c r="B377" t="s">
        <v>195</v>
      </c>
      <c r="C377" s="18">
        <v>2026</v>
      </c>
      <c r="D377" t="s">
        <v>181</v>
      </c>
      <c r="E377" s="9">
        <v>570723.64285194804</v>
      </c>
      <c r="F377" s="9">
        <v>332896.18576831103</v>
      </c>
      <c r="G377" s="9">
        <v>580111.54195764905</v>
      </c>
      <c r="H377" s="9">
        <v>332896.18576831103</v>
      </c>
      <c r="I377" s="21">
        <f t="shared" si="10"/>
        <v>0</v>
      </c>
      <c r="J377" s="21">
        <f t="shared" si="11"/>
        <v>9387.8991057010135</v>
      </c>
    </row>
    <row r="378" spans="1:10">
      <c r="A378" t="s">
        <v>193</v>
      </c>
      <c r="B378" t="s">
        <v>195</v>
      </c>
      <c r="C378" s="18">
        <v>2026</v>
      </c>
      <c r="D378" t="s">
        <v>184</v>
      </c>
      <c r="E378" s="9">
        <v>403197.62846700801</v>
      </c>
      <c r="F378" s="9">
        <v>202008.19978323701</v>
      </c>
      <c r="G378" s="9">
        <v>409829.87281699001</v>
      </c>
      <c r="H378" s="9">
        <v>202008.19978323701</v>
      </c>
      <c r="I378" s="21">
        <f t="shared" si="10"/>
        <v>0</v>
      </c>
      <c r="J378" s="21">
        <f t="shared" si="11"/>
        <v>6632.2443499820074</v>
      </c>
    </row>
    <row r="379" spans="1:10">
      <c r="A379" t="s">
        <v>193</v>
      </c>
      <c r="B379" t="s">
        <v>195</v>
      </c>
      <c r="C379" s="18">
        <v>2026</v>
      </c>
      <c r="D379" t="s">
        <v>365</v>
      </c>
      <c r="E379" s="9">
        <v>44219.170751765298</v>
      </c>
      <c r="F379" s="9">
        <v>7023.7712687228704</v>
      </c>
      <c r="G379" s="9">
        <v>44219.170751765298</v>
      </c>
      <c r="H379" s="9">
        <v>7023.7712687228704</v>
      </c>
      <c r="I379" s="21">
        <f t="shared" si="10"/>
        <v>0</v>
      </c>
      <c r="J379" s="21">
        <f t="shared" si="11"/>
        <v>0</v>
      </c>
    </row>
    <row r="380" spans="1:10">
      <c r="A380" t="s">
        <v>193</v>
      </c>
      <c r="B380" t="s">
        <v>195</v>
      </c>
      <c r="C380" s="18">
        <v>2027</v>
      </c>
      <c r="D380" t="s">
        <v>167</v>
      </c>
      <c r="E380" s="9">
        <v>13273.481772584</v>
      </c>
      <c r="F380" s="9">
        <v>9640.7153077701696</v>
      </c>
      <c r="G380" s="9">
        <v>13273.481772584</v>
      </c>
      <c r="H380" s="9">
        <v>9640.7153077701696</v>
      </c>
      <c r="I380" s="21">
        <f t="shared" si="10"/>
        <v>0</v>
      </c>
      <c r="J380" s="21">
        <f t="shared" si="11"/>
        <v>0</v>
      </c>
    </row>
    <row r="381" spans="1:10">
      <c r="A381" t="s">
        <v>193</v>
      </c>
      <c r="B381" t="s">
        <v>195</v>
      </c>
      <c r="C381" s="18">
        <v>2027</v>
      </c>
      <c r="D381" t="s">
        <v>206</v>
      </c>
      <c r="E381" s="9">
        <v>1055255.40879996</v>
      </c>
      <c r="F381" s="9">
        <v>145087.13077641799</v>
      </c>
      <c r="G381" s="9">
        <v>1055255.40879996</v>
      </c>
      <c r="H381" s="9">
        <v>145087.13077641799</v>
      </c>
      <c r="I381" s="21">
        <f t="shared" si="10"/>
        <v>0</v>
      </c>
      <c r="J381" s="21">
        <f t="shared" si="11"/>
        <v>0</v>
      </c>
    </row>
    <row r="382" spans="1:10">
      <c r="A382" t="s">
        <v>193</v>
      </c>
      <c r="B382" t="s">
        <v>195</v>
      </c>
      <c r="C382" s="18">
        <v>2027</v>
      </c>
      <c r="D382" t="s">
        <v>174</v>
      </c>
      <c r="E382" s="9">
        <v>95290.948661348593</v>
      </c>
      <c r="F382" s="9">
        <v>66807.415813749903</v>
      </c>
      <c r="G382" s="9">
        <v>98448.827883966893</v>
      </c>
      <c r="H382" s="9">
        <v>67068.016908610196</v>
      </c>
      <c r="I382" s="21">
        <f t="shared" si="10"/>
        <v>260.60109486029251</v>
      </c>
      <c r="J382" s="21">
        <f t="shared" si="11"/>
        <v>3157.8792226182995</v>
      </c>
    </row>
    <row r="383" spans="1:10">
      <c r="A383" t="s">
        <v>193</v>
      </c>
      <c r="B383" t="s">
        <v>195</v>
      </c>
      <c r="C383" s="18">
        <v>2027</v>
      </c>
      <c r="D383" t="s">
        <v>178</v>
      </c>
      <c r="E383" s="9">
        <v>334851.069216698</v>
      </c>
      <c r="F383" s="9">
        <v>314757.465009632</v>
      </c>
      <c r="G383" s="9">
        <v>345936.70671640302</v>
      </c>
      <c r="H383" s="9">
        <v>317119.55355255498</v>
      </c>
      <c r="I383" s="21">
        <f t="shared" si="10"/>
        <v>2362.088542922982</v>
      </c>
      <c r="J383" s="21">
        <f t="shared" si="11"/>
        <v>11085.637499705015</v>
      </c>
    </row>
    <row r="384" spans="1:10">
      <c r="A384" t="s">
        <v>193</v>
      </c>
      <c r="B384" t="s">
        <v>195</v>
      </c>
      <c r="C384" s="18">
        <v>2027</v>
      </c>
      <c r="D384" t="s">
        <v>181</v>
      </c>
      <c r="E384" s="9">
        <v>577076.337341042</v>
      </c>
      <c r="F384" s="9">
        <v>343911.68738806201</v>
      </c>
      <c r="G384" s="9">
        <v>596148.83233467594</v>
      </c>
      <c r="H384" s="9">
        <v>344517.274659827</v>
      </c>
      <c r="I384" s="21">
        <f t="shared" si="10"/>
        <v>605.58727176499087</v>
      </c>
      <c r="J384" s="21">
        <f t="shared" si="11"/>
        <v>19072.49499363394</v>
      </c>
    </row>
    <row r="385" spans="1:10">
      <c r="A385" t="s">
        <v>193</v>
      </c>
      <c r="B385" t="s">
        <v>195</v>
      </c>
      <c r="C385" s="18">
        <v>2027</v>
      </c>
      <c r="D385" t="s">
        <v>184</v>
      </c>
      <c r="E385" s="9">
        <v>409941.06461077399</v>
      </c>
      <c r="F385" s="9">
        <v>211492.525824207</v>
      </c>
      <c r="G385" s="9">
        <v>423485.10132199898</v>
      </c>
      <c r="H385" s="9">
        <v>211995.48802417101</v>
      </c>
      <c r="I385" s="21">
        <f t="shared" si="10"/>
        <v>502.9621999640076</v>
      </c>
      <c r="J385" s="21">
        <f t="shared" si="11"/>
        <v>13544.036711224995</v>
      </c>
    </row>
    <row r="386" spans="1:10">
      <c r="A386" t="s">
        <v>193</v>
      </c>
      <c r="B386" t="s">
        <v>195</v>
      </c>
      <c r="C386" s="18">
        <v>2027</v>
      </c>
      <c r="D386" t="s">
        <v>365</v>
      </c>
      <c r="E386" s="9">
        <v>44384.2018393689</v>
      </c>
      <c r="F386" s="9">
        <v>7080.0570056816796</v>
      </c>
      <c r="G386" s="9">
        <v>44384.2018393689</v>
      </c>
      <c r="H386" s="9">
        <v>7080.0570056816796</v>
      </c>
      <c r="I386" s="21">
        <f t="shared" ref="I386:I449" si="12">H386-F386</f>
        <v>0</v>
      </c>
      <c r="J386" s="21">
        <f t="shared" ref="J386:J449" si="13">G386-E386</f>
        <v>0</v>
      </c>
    </row>
    <row r="387" spans="1:10">
      <c r="A387" t="s">
        <v>193</v>
      </c>
      <c r="B387" t="s">
        <v>195</v>
      </c>
      <c r="C387" s="18">
        <v>2028</v>
      </c>
      <c r="D387" t="s">
        <v>167</v>
      </c>
      <c r="E387" s="9">
        <v>13730.7630657097</v>
      </c>
      <c r="F387" s="9">
        <v>9971.4547216338906</v>
      </c>
      <c r="G387" s="9">
        <v>13729.5005000864</v>
      </c>
      <c r="H387" s="9">
        <v>9971.4547216338906</v>
      </c>
      <c r="I387" s="21">
        <f t="shared" si="12"/>
        <v>0</v>
      </c>
      <c r="J387" s="21">
        <f t="shared" si="13"/>
        <v>-1.2625656232994515</v>
      </c>
    </row>
    <row r="388" spans="1:10">
      <c r="A388" t="s">
        <v>193</v>
      </c>
      <c r="B388" t="s">
        <v>195</v>
      </c>
      <c r="C388" s="18">
        <v>2028</v>
      </c>
      <c r="D388" t="s">
        <v>206</v>
      </c>
      <c r="E388" s="9">
        <v>1069035.61612167</v>
      </c>
      <c r="F388" s="9">
        <v>153077.86738724401</v>
      </c>
      <c r="G388" s="9">
        <v>1069005.07088018</v>
      </c>
      <c r="H388" s="9">
        <v>153077.86738724401</v>
      </c>
      <c r="I388" s="21">
        <f t="shared" si="12"/>
        <v>0</v>
      </c>
      <c r="J388" s="21">
        <f t="shared" si="13"/>
        <v>-30.545241490006447</v>
      </c>
    </row>
    <row r="389" spans="1:10">
      <c r="A389" t="s">
        <v>193</v>
      </c>
      <c r="B389" t="s">
        <v>195</v>
      </c>
      <c r="C389" s="18">
        <v>2028</v>
      </c>
      <c r="D389" t="s">
        <v>174</v>
      </c>
      <c r="E389" s="9">
        <v>96950.393092734594</v>
      </c>
      <c r="F389" s="9">
        <v>68289.8012183479</v>
      </c>
      <c r="G389" s="9">
        <v>101797.96761407</v>
      </c>
      <c r="H389" s="9">
        <v>69019.933123164999</v>
      </c>
      <c r="I389" s="21">
        <f t="shared" si="12"/>
        <v>730.13190481709898</v>
      </c>
      <c r="J389" s="21">
        <f t="shared" si="13"/>
        <v>4847.5745213354094</v>
      </c>
    </row>
    <row r="390" spans="1:10">
      <c r="A390" t="s">
        <v>193</v>
      </c>
      <c r="B390" t="s">
        <v>195</v>
      </c>
      <c r="C390" s="18">
        <v>2028</v>
      </c>
      <c r="D390" t="s">
        <v>178</v>
      </c>
      <c r="E390" s="9">
        <v>338077.450958681</v>
      </c>
      <c r="F390" s="9">
        <v>319889.03409445798</v>
      </c>
      <c r="G390" s="9">
        <v>354965.53581913299</v>
      </c>
      <c r="H390" s="9">
        <v>325690.68301689299</v>
      </c>
      <c r="I390" s="21">
        <f t="shared" si="12"/>
        <v>5801.648922435008</v>
      </c>
      <c r="J390" s="21">
        <f t="shared" si="13"/>
        <v>16888.084860451985</v>
      </c>
    </row>
    <row r="391" spans="1:10">
      <c r="A391" t="s">
        <v>193</v>
      </c>
      <c r="B391" t="s">
        <v>195</v>
      </c>
      <c r="C391" s="18">
        <v>2028</v>
      </c>
      <c r="D391" t="s">
        <v>181</v>
      </c>
      <c r="E391" s="9">
        <v>583024.399538339</v>
      </c>
      <c r="F391" s="9">
        <v>354280.12122716202</v>
      </c>
      <c r="G391" s="9">
        <v>612031.65944475099</v>
      </c>
      <c r="H391" s="9">
        <v>356073.57143805898</v>
      </c>
      <c r="I391" s="21">
        <f t="shared" si="12"/>
        <v>1793.4502108969609</v>
      </c>
      <c r="J391" s="21">
        <f t="shared" si="13"/>
        <v>29007.259906411986</v>
      </c>
    </row>
    <row r="392" spans="1:10">
      <c r="A392" t="s">
        <v>193</v>
      </c>
      <c r="B392" t="s">
        <v>195</v>
      </c>
      <c r="C392" s="18">
        <v>2028</v>
      </c>
      <c r="D392" t="s">
        <v>184</v>
      </c>
      <c r="E392" s="9">
        <v>416458.00610597403</v>
      </c>
      <c r="F392" s="9">
        <v>220463.18816275499</v>
      </c>
      <c r="G392" s="9">
        <v>437159.75519195799</v>
      </c>
      <c r="H392" s="9">
        <v>221908.95856330299</v>
      </c>
      <c r="I392" s="21">
        <f t="shared" si="12"/>
        <v>1445.7704005480045</v>
      </c>
      <c r="J392" s="21">
        <f t="shared" si="13"/>
        <v>20701.74908598396</v>
      </c>
    </row>
    <row r="393" spans="1:10">
      <c r="A393" t="s">
        <v>193</v>
      </c>
      <c r="B393" t="s">
        <v>195</v>
      </c>
      <c r="C393" s="18">
        <v>2028</v>
      </c>
      <c r="D393" t="s">
        <v>365</v>
      </c>
      <c r="E393" s="9">
        <v>44510.229851839104</v>
      </c>
      <c r="F393" s="9">
        <v>7131.0701635649802</v>
      </c>
      <c r="G393" s="9">
        <v>44510.064962992903</v>
      </c>
      <c r="H393" s="9">
        <v>7131.0701635649802</v>
      </c>
      <c r="I393" s="21">
        <f t="shared" si="12"/>
        <v>0</v>
      </c>
      <c r="J393" s="21">
        <f t="shared" si="13"/>
        <v>-0.16488884620048339</v>
      </c>
    </row>
    <row r="394" spans="1:10">
      <c r="A394" t="s">
        <v>193</v>
      </c>
      <c r="B394" t="s">
        <v>195</v>
      </c>
      <c r="C394" s="18">
        <v>2029</v>
      </c>
      <c r="D394" t="s">
        <v>167</v>
      </c>
      <c r="E394" s="9">
        <v>14185.9818245241</v>
      </c>
      <c r="F394" s="9">
        <v>10301.468963605699</v>
      </c>
      <c r="G394" s="9">
        <v>14181.423637546701</v>
      </c>
      <c r="H394" s="9">
        <v>10301.2295792609</v>
      </c>
      <c r="I394" s="21">
        <f t="shared" si="12"/>
        <v>-0.23938434479896387</v>
      </c>
      <c r="J394" s="21">
        <f t="shared" si="13"/>
        <v>-4.5581869773996004</v>
      </c>
    </row>
    <row r="395" spans="1:10">
      <c r="A395" t="s">
        <v>193</v>
      </c>
      <c r="B395" t="s">
        <v>195</v>
      </c>
      <c r="C395" s="18">
        <v>2029</v>
      </c>
      <c r="D395" t="s">
        <v>206</v>
      </c>
      <c r="E395" s="9">
        <v>1082361.8513157701</v>
      </c>
      <c r="F395" s="9">
        <v>161161.67209453401</v>
      </c>
      <c r="G395" s="9">
        <v>1082252.3942307399</v>
      </c>
      <c r="H395" s="9">
        <v>161161.06213209301</v>
      </c>
      <c r="I395" s="21">
        <f t="shared" si="12"/>
        <v>-0.60996244099806063</v>
      </c>
      <c r="J395" s="21">
        <f t="shared" si="13"/>
        <v>-109.45708503015339</v>
      </c>
    </row>
    <row r="396" spans="1:10">
      <c r="A396" t="s">
        <v>193</v>
      </c>
      <c r="B396" t="s">
        <v>195</v>
      </c>
      <c r="C396" s="18">
        <v>2029</v>
      </c>
      <c r="D396" t="s">
        <v>174</v>
      </c>
      <c r="E396" s="9">
        <v>98514.672392417895</v>
      </c>
      <c r="F396" s="9">
        <v>69671.736506331596</v>
      </c>
      <c r="G396" s="9">
        <v>105114.693344183</v>
      </c>
      <c r="H396" s="9">
        <v>71042.054429439493</v>
      </c>
      <c r="I396" s="21">
        <f t="shared" si="12"/>
        <v>1370.3179231078975</v>
      </c>
      <c r="J396" s="21">
        <f t="shared" si="13"/>
        <v>6600.0209517651092</v>
      </c>
    </row>
    <row r="397" spans="1:10">
      <c r="A397" t="s">
        <v>193</v>
      </c>
      <c r="B397" t="s">
        <v>195</v>
      </c>
      <c r="C397" s="18">
        <v>2029</v>
      </c>
      <c r="D397" t="s">
        <v>178</v>
      </c>
      <c r="E397" s="9">
        <v>341053.93336554698</v>
      </c>
      <c r="F397" s="9">
        <v>324366.47421705298</v>
      </c>
      <c r="G397" s="9">
        <v>363896.20424716797</v>
      </c>
      <c r="H397" s="9">
        <v>334292.677138926</v>
      </c>
      <c r="I397" s="21">
        <f t="shared" si="12"/>
        <v>9926.2029218730167</v>
      </c>
      <c r="J397" s="21">
        <f t="shared" si="13"/>
        <v>22842.270881620992</v>
      </c>
    </row>
    <row r="398" spans="1:10">
      <c r="A398" t="s">
        <v>193</v>
      </c>
      <c r="B398" t="s">
        <v>195</v>
      </c>
      <c r="C398" s="18">
        <v>2029</v>
      </c>
      <c r="D398" t="s">
        <v>181</v>
      </c>
      <c r="E398" s="9">
        <v>588566.76995852904</v>
      </c>
      <c r="F398" s="9">
        <v>364038.63177017902</v>
      </c>
      <c r="G398" s="9">
        <v>627726.33689879405</v>
      </c>
      <c r="H398" s="9">
        <v>367575.22274735</v>
      </c>
      <c r="I398" s="21">
        <f t="shared" si="12"/>
        <v>3536.5909771709703</v>
      </c>
      <c r="J398" s="21">
        <f t="shared" si="13"/>
        <v>39159.566940265009</v>
      </c>
    </row>
    <row r="399" spans="1:10">
      <c r="A399" t="s">
        <v>193</v>
      </c>
      <c r="B399" t="s">
        <v>195</v>
      </c>
      <c r="C399" s="18">
        <v>2029</v>
      </c>
      <c r="D399" t="s">
        <v>184</v>
      </c>
      <c r="E399" s="9">
        <v>422704.747199509</v>
      </c>
      <c r="F399" s="9">
        <v>228918.854735367</v>
      </c>
      <c r="G399" s="9">
        <v>450786.13401356898</v>
      </c>
      <c r="H399" s="9">
        <v>231708.01887569</v>
      </c>
      <c r="I399" s="21">
        <f t="shared" si="12"/>
        <v>2789.1641403230024</v>
      </c>
      <c r="J399" s="21">
        <f t="shared" si="13"/>
        <v>28081.386814059981</v>
      </c>
    </row>
    <row r="400" spans="1:10">
      <c r="A400" t="s">
        <v>193</v>
      </c>
      <c r="B400" t="s">
        <v>195</v>
      </c>
      <c r="C400" s="18">
        <v>2029</v>
      </c>
      <c r="D400" t="s">
        <v>365</v>
      </c>
      <c r="E400" s="9">
        <v>44600.857187732101</v>
      </c>
      <c r="F400" s="9">
        <v>7178.2216327821297</v>
      </c>
      <c r="G400" s="9">
        <v>44600.261443595497</v>
      </c>
      <c r="H400" s="9">
        <v>7178.2193159725202</v>
      </c>
      <c r="I400" s="21">
        <f t="shared" si="12"/>
        <v>-2.3168096095105284E-3</v>
      </c>
      <c r="J400" s="21">
        <f t="shared" si="13"/>
        <v>-0.59574413660448045</v>
      </c>
    </row>
    <row r="401" spans="1:10">
      <c r="A401" t="s">
        <v>193</v>
      </c>
      <c r="B401" t="s">
        <v>195</v>
      </c>
      <c r="C401" s="18">
        <v>2030</v>
      </c>
      <c r="D401" t="s">
        <v>167</v>
      </c>
      <c r="E401" s="9">
        <v>14641.4611157541</v>
      </c>
      <c r="F401" s="9">
        <v>10631.3053950214</v>
      </c>
      <c r="G401" s="9">
        <v>14630.9263575645</v>
      </c>
      <c r="H401" s="9">
        <v>10630.2702680602</v>
      </c>
      <c r="I401" s="21">
        <f t="shared" si="12"/>
        <v>-1.0351269612001488</v>
      </c>
      <c r="J401" s="21">
        <f t="shared" si="13"/>
        <v>-10.534758189600325</v>
      </c>
    </row>
    <row r="402" spans="1:10">
      <c r="A402" t="s">
        <v>193</v>
      </c>
      <c r="B402" t="s">
        <v>195</v>
      </c>
      <c r="C402" s="18">
        <v>2030</v>
      </c>
      <c r="D402" t="s">
        <v>206</v>
      </c>
      <c r="E402" s="9">
        <v>1095206.68075512</v>
      </c>
      <c r="F402" s="9">
        <v>169317.606035854</v>
      </c>
      <c r="G402" s="9">
        <v>1094956.8444496701</v>
      </c>
      <c r="H402" s="9">
        <v>169314.83403803801</v>
      </c>
      <c r="I402" s="21">
        <f t="shared" si="12"/>
        <v>-2.7719978159875609</v>
      </c>
      <c r="J402" s="21">
        <f t="shared" si="13"/>
        <v>-249.83630544994958</v>
      </c>
    </row>
    <row r="403" spans="1:10">
      <c r="A403" t="s">
        <v>193</v>
      </c>
      <c r="B403" t="s">
        <v>195</v>
      </c>
      <c r="C403" s="18">
        <v>2030</v>
      </c>
      <c r="D403" t="s">
        <v>174</v>
      </c>
      <c r="E403" s="9">
        <v>99985.367576627003</v>
      </c>
      <c r="F403" s="9">
        <v>70968.569298905204</v>
      </c>
      <c r="G403" s="9">
        <v>108393.77376611999</v>
      </c>
      <c r="H403" s="9">
        <v>73120.8011068864</v>
      </c>
      <c r="I403" s="21">
        <f t="shared" si="12"/>
        <v>2152.2318079811957</v>
      </c>
      <c r="J403" s="21">
        <f t="shared" si="13"/>
        <v>8408.406189492991</v>
      </c>
    </row>
    <row r="404" spans="1:10">
      <c r="A404" t="s">
        <v>193</v>
      </c>
      <c r="B404" t="s">
        <v>195</v>
      </c>
      <c r="C404" s="18">
        <v>2030</v>
      </c>
      <c r="D404" t="s">
        <v>178</v>
      </c>
      <c r="E404" s="9">
        <v>343806.96442943398</v>
      </c>
      <c r="F404" s="9">
        <v>328353.28053000203</v>
      </c>
      <c r="G404" s="9">
        <v>372741.79546126397</v>
      </c>
      <c r="H404" s="9">
        <v>342889.63536639401</v>
      </c>
      <c r="I404" s="21">
        <f t="shared" si="12"/>
        <v>14536.354836391984</v>
      </c>
      <c r="J404" s="21">
        <f t="shared" si="13"/>
        <v>28934.831031829992</v>
      </c>
    </row>
    <row r="405" spans="1:10">
      <c r="A405" t="s">
        <v>193</v>
      </c>
      <c r="B405" t="s">
        <v>195</v>
      </c>
      <c r="C405" s="18">
        <v>2030</v>
      </c>
      <c r="D405" t="s">
        <v>181</v>
      </c>
      <c r="E405" s="9">
        <v>593657.00740848097</v>
      </c>
      <c r="F405" s="9">
        <v>373134.67909154098</v>
      </c>
      <c r="G405" s="9">
        <v>643154.21130562795</v>
      </c>
      <c r="H405" s="9">
        <v>378940.23126744502</v>
      </c>
      <c r="I405" s="21">
        <f t="shared" si="12"/>
        <v>5805.5521759040421</v>
      </c>
      <c r="J405" s="21">
        <f t="shared" si="13"/>
        <v>49497.203897146974</v>
      </c>
    </row>
    <row r="406" spans="1:10">
      <c r="A406" t="s">
        <v>193</v>
      </c>
      <c r="B406" t="s">
        <v>195</v>
      </c>
      <c r="C406" s="18">
        <v>2030</v>
      </c>
      <c r="D406" t="s">
        <v>184</v>
      </c>
      <c r="E406" s="9">
        <v>428696.73918556498</v>
      </c>
      <c r="F406" s="9">
        <v>236809.590347274</v>
      </c>
      <c r="G406" s="9">
        <v>464360.51810377202</v>
      </c>
      <c r="H406" s="9">
        <v>241310.309903655</v>
      </c>
      <c r="I406" s="21">
        <f t="shared" si="12"/>
        <v>4500.7195563809946</v>
      </c>
      <c r="J406" s="21">
        <f t="shared" si="13"/>
        <v>35663.778918207041</v>
      </c>
    </row>
    <row r="407" spans="1:10">
      <c r="A407" t="s">
        <v>193</v>
      </c>
      <c r="B407" t="s">
        <v>195</v>
      </c>
      <c r="C407" s="18">
        <v>2030</v>
      </c>
      <c r="D407" t="s">
        <v>365</v>
      </c>
      <c r="E407" s="9">
        <v>44648.639269017702</v>
      </c>
      <c r="F407" s="9">
        <v>7223.1206484085296</v>
      </c>
      <c r="G407" s="9">
        <v>44647.268915282999</v>
      </c>
      <c r="H407" s="9">
        <v>7223.1103147423601</v>
      </c>
      <c r="I407" s="21">
        <f t="shared" si="12"/>
        <v>-1.0333666169572098E-2</v>
      </c>
      <c r="J407" s="21">
        <f t="shared" si="13"/>
        <v>-1.3703537347028032</v>
      </c>
    </row>
    <row r="408" spans="1:10">
      <c r="A408" t="s">
        <v>193</v>
      </c>
      <c r="B408" t="s">
        <v>195</v>
      </c>
      <c r="C408" s="18">
        <v>2031</v>
      </c>
      <c r="D408" t="s">
        <v>167</v>
      </c>
      <c r="E408" s="9">
        <v>15100.143637860099</v>
      </c>
      <c r="F408" s="9">
        <v>10958.1603656882</v>
      </c>
      <c r="G408" s="9">
        <v>15080.3825495532</v>
      </c>
      <c r="H408" s="9">
        <v>10955.4255331558</v>
      </c>
      <c r="I408" s="21">
        <f t="shared" si="12"/>
        <v>-2.7348325324001053</v>
      </c>
      <c r="J408" s="21">
        <f t="shared" si="13"/>
        <v>-19.761088306899182</v>
      </c>
    </row>
    <row r="409" spans="1:10">
      <c r="A409" t="s">
        <v>193</v>
      </c>
      <c r="B409" t="s">
        <v>195</v>
      </c>
      <c r="C409" s="18">
        <v>2031</v>
      </c>
      <c r="D409" t="s">
        <v>206</v>
      </c>
      <c r="E409" s="9">
        <v>1107489.64788195</v>
      </c>
      <c r="F409" s="9">
        <v>177518.564741151</v>
      </c>
      <c r="G409" s="9">
        <v>1107027.6916289399</v>
      </c>
      <c r="H409" s="9">
        <v>177510.90619666901</v>
      </c>
      <c r="I409" s="21">
        <f t="shared" si="12"/>
        <v>-7.6585444819938857</v>
      </c>
      <c r="J409" s="21">
        <f t="shared" si="13"/>
        <v>-461.95625301008113</v>
      </c>
    </row>
    <row r="410" spans="1:10">
      <c r="A410" t="s">
        <v>193</v>
      </c>
      <c r="B410" t="s">
        <v>195</v>
      </c>
      <c r="C410" s="18">
        <v>2031</v>
      </c>
      <c r="D410" t="s">
        <v>174</v>
      </c>
      <c r="E410" s="9">
        <v>103033.676304166</v>
      </c>
      <c r="F410" s="9">
        <v>72176.759856825898</v>
      </c>
      <c r="G410" s="9">
        <v>111632.94755435199</v>
      </c>
      <c r="H410" s="9">
        <v>75230.219664338001</v>
      </c>
      <c r="I410" s="21">
        <f t="shared" si="12"/>
        <v>3053.459807512103</v>
      </c>
      <c r="J410" s="21">
        <f t="shared" si="13"/>
        <v>8599.2712501859933</v>
      </c>
    </row>
    <row r="411" spans="1:10">
      <c r="A411" t="s">
        <v>193</v>
      </c>
      <c r="B411" t="s">
        <v>195</v>
      </c>
      <c r="C411" s="18">
        <v>2031</v>
      </c>
      <c r="D411" t="s">
        <v>178</v>
      </c>
      <c r="E411" s="9">
        <v>352016.77783094399</v>
      </c>
      <c r="F411" s="9">
        <v>331917.375995307</v>
      </c>
      <c r="G411" s="9">
        <v>381470.26678102103</v>
      </c>
      <c r="H411" s="9">
        <v>351432.51867295097</v>
      </c>
      <c r="I411" s="21">
        <f t="shared" si="12"/>
        <v>19515.142677643977</v>
      </c>
      <c r="J411" s="21">
        <f t="shared" si="13"/>
        <v>29453.488950077037</v>
      </c>
    </row>
    <row r="412" spans="1:10">
      <c r="A412" t="s">
        <v>193</v>
      </c>
      <c r="B412" t="s">
        <v>195</v>
      </c>
      <c r="C412" s="18">
        <v>2031</v>
      </c>
      <c r="D412" t="s">
        <v>181</v>
      </c>
      <c r="E412" s="9">
        <v>608131.757329304</v>
      </c>
      <c r="F412" s="9">
        <v>381611.19484088401</v>
      </c>
      <c r="G412" s="9">
        <v>658282.14926881401</v>
      </c>
      <c r="H412" s="9">
        <v>390181.00302030199</v>
      </c>
      <c r="I412" s="21">
        <f t="shared" si="12"/>
        <v>8569.8081794179743</v>
      </c>
      <c r="J412" s="21">
        <f t="shared" si="13"/>
        <v>50150.391939510009</v>
      </c>
    </row>
    <row r="413" spans="1:10">
      <c r="A413" t="s">
        <v>193</v>
      </c>
      <c r="B413" t="s">
        <v>195</v>
      </c>
      <c r="C413" s="18">
        <v>2031</v>
      </c>
      <c r="D413" t="s">
        <v>184</v>
      </c>
      <c r="E413" s="9">
        <v>441499.95627097401</v>
      </c>
      <c r="F413" s="9">
        <v>244262.25084771001</v>
      </c>
      <c r="G413" s="9">
        <v>477778.14604748198</v>
      </c>
      <c r="H413" s="9">
        <v>250815.78266259201</v>
      </c>
      <c r="I413" s="21">
        <f t="shared" si="12"/>
        <v>6553.5318148820079</v>
      </c>
      <c r="J413" s="21">
        <f t="shared" si="13"/>
        <v>36278.189776507963</v>
      </c>
    </row>
    <row r="414" spans="1:10">
      <c r="A414" t="s">
        <v>193</v>
      </c>
      <c r="B414" t="s">
        <v>195</v>
      </c>
      <c r="C414" s="18">
        <v>2031</v>
      </c>
      <c r="D414" t="s">
        <v>365</v>
      </c>
      <c r="E414" s="9">
        <v>44642.898774034104</v>
      </c>
      <c r="F414" s="9">
        <v>7266.79400136612</v>
      </c>
      <c r="G414" s="9">
        <v>44640.347295477797</v>
      </c>
      <c r="H414" s="9">
        <v>7266.7660002075399</v>
      </c>
      <c r="I414" s="21">
        <f t="shared" si="12"/>
        <v>-2.8001158580082119E-2</v>
      </c>
      <c r="J414" s="21">
        <f t="shared" si="13"/>
        <v>-2.5514785563063924</v>
      </c>
    </row>
    <row r="415" spans="1:10">
      <c r="A415" t="s">
        <v>193</v>
      </c>
      <c r="B415" t="s">
        <v>195</v>
      </c>
      <c r="C415" s="18">
        <v>2032</v>
      </c>
      <c r="D415" t="s">
        <v>167</v>
      </c>
      <c r="E415" s="9">
        <v>15564.0260985324</v>
      </c>
      <c r="F415" s="9">
        <v>11280.1804704885</v>
      </c>
      <c r="G415" s="9">
        <v>15531.2601955666</v>
      </c>
      <c r="H415" s="9">
        <v>11274.495449735199</v>
      </c>
      <c r="I415" s="21">
        <f t="shared" si="12"/>
        <v>-5.6850207533007051</v>
      </c>
      <c r="J415" s="21">
        <f t="shared" si="13"/>
        <v>-32.765902965800706</v>
      </c>
    </row>
    <row r="416" spans="1:10">
      <c r="A416" t="s">
        <v>193</v>
      </c>
      <c r="B416" t="s">
        <v>195</v>
      </c>
      <c r="C416" s="18">
        <v>2032</v>
      </c>
      <c r="D416" t="s">
        <v>206</v>
      </c>
      <c r="E416" s="9">
        <v>1119231.28775902</v>
      </c>
      <c r="F416" s="9">
        <v>185742.57702854101</v>
      </c>
      <c r="G416" s="9">
        <v>1118477.3274982399</v>
      </c>
      <c r="H416" s="9">
        <v>185725.99905880101</v>
      </c>
      <c r="I416" s="21">
        <f t="shared" si="12"/>
        <v>-16.577969739999389</v>
      </c>
      <c r="J416" s="21">
        <f t="shared" si="13"/>
        <v>-753.96026078006253</v>
      </c>
    </row>
    <row r="417" spans="1:10">
      <c r="A417" t="s">
        <v>193</v>
      </c>
      <c r="B417" t="s">
        <v>195</v>
      </c>
      <c r="C417" s="18">
        <v>2032</v>
      </c>
      <c r="D417" t="s">
        <v>174</v>
      </c>
      <c r="E417" s="9">
        <v>106067.61630045201</v>
      </c>
      <c r="F417" s="9">
        <v>73576.061508834304</v>
      </c>
      <c r="G417" s="9">
        <v>114835.221802653</v>
      </c>
      <c r="H417" s="9">
        <v>77353.061023932896</v>
      </c>
      <c r="I417" s="21">
        <f t="shared" si="12"/>
        <v>3776.9995150985924</v>
      </c>
      <c r="J417" s="21">
        <f t="shared" si="13"/>
        <v>8767.6055022009969</v>
      </c>
    </row>
    <row r="418" spans="1:10">
      <c r="A418" t="s">
        <v>193</v>
      </c>
      <c r="B418" t="s">
        <v>195</v>
      </c>
      <c r="C418" s="18">
        <v>2032</v>
      </c>
      <c r="D418" t="s">
        <v>178</v>
      </c>
      <c r="E418" s="9">
        <v>360071.32555357</v>
      </c>
      <c r="F418" s="9">
        <v>337612.18929898099</v>
      </c>
      <c r="G418" s="9">
        <v>389998.37668875401</v>
      </c>
      <c r="H418" s="9">
        <v>359834.54685286601</v>
      </c>
      <c r="I418" s="21">
        <f t="shared" si="12"/>
        <v>22222.357553885027</v>
      </c>
      <c r="J418" s="21">
        <f t="shared" si="13"/>
        <v>29927.05113518401</v>
      </c>
    </row>
    <row r="419" spans="1:10">
      <c r="A419" t="s">
        <v>193</v>
      </c>
      <c r="B419" t="s">
        <v>195</v>
      </c>
      <c r="C419" s="18">
        <v>2032</v>
      </c>
      <c r="D419" t="s">
        <v>181</v>
      </c>
      <c r="E419" s="9">
        <v>622424.53261368698</v>
      </c>
      <c r="F419" s="9">
        <v>390188.70860233298</v>
      </c>
      <c r="G419" s="9">
        <v>673133.88827326603</v>
      </c>
      <c r="H419" s="9">
        <v>401318.28619347198</v>
      </c>
      <c r="I419" s="21">
        <f t="shared" si="12"/>
        <v>11129.577591139008</v>
      </c>
      <c r="J419" s="21">
        <f t="shared" si="13"/>
        <v>50709.355659579043</v>
      </c>
    </row>
    <row r="420" spans="1:10">
      <c r="A420" t="s">
        <v>193</v>
      </c>
      <c r="B420" t="s">
        <v>195</v>
      </c>
      <c r="C420" s="18">
        <v>2032</v>
      </c>
      <c r="D420" t="s">
        <v>184</v>
      </c>
      <c r="E420" s="9">
        <v>454102.40514404001</v>
      </c>
      <c r="F420" s="9">
        <v>252030.402326293</v>
      </c>
      <c r="G420" s="9">
        <v>490904.70344577997</v>
      </c>
      <c r="H420" s="9">
        <v>260346.937343717</v>
      </c>
      <c r="I420" s="21">
        <f t="shared" si="12"/>
        <v>8316.5350174240011</v>
      </c>
      <c r="J420" s="21">
        <f t="shared" si="13"/>
        <v>36802.298301739967</v>
      </c>
    </row>
    <row r="421" spans="1:10">
      <c r="A421" t="s">
        <v>193</v>
      </c>
      <c r="B421" t="s">
        <v>195</v>
      </c>
      <c r="C421" s="18">
        <v>2032</v>
      </c>
      <c r="D421" t="s">
        <v>365</v>
      </c>
      <c r="E421" s="9">
        <v>44587.435364520803</v>
      </c>
      <c r="F421" s="9">
        <v>7308.7490368999997</v>
      </c>
      <c r="G421" s="9">
        <v>44583.245501595899</v>
      </c>
      <c r="H421" s="9">
        <v>7308.6895683399798</v>
      </c>
      <c r="I421" s="21">
        <f t="shared" si="12"/>
        <v>-5.9468560019922734E-2</v>
      </c>
      <c r="J421" s="21">
        <f t="shared" si="13"/>
        <v>-4.1898629249044461</v>
      </c>
    </row>
    <row r="422" spans="1:10">
      <c r="A422" t="s">
        <v>193</v>
      </c>
      <c r="B422" t="s">
        <v>195</v>
      </c>
      <c r="C422" s="18">
        <v>2033</v>
      </c>
      <c r="D422" t="s">
        <v>167</v>
      </c>
      <c r="E422" s="9">
        <v>16032.154930249901</v>
      </c>
      <c r="F422" s="9">
        <v>11597.160947325399</v>
      </c>
      <c r="G422" s="9">
        <v>15983.7175379286</v>
      </c>
      <c r="H422" s="9">
        <v>11586.9335708044</v>
      </c>
      <c r="I422" s="21">
        <f t="shared" si="12"/>
        <v>-10.227376520999314</v>
      </c>
      <c r="J422" s="21">
        <f t="shared" si="13"/>
        <v>-48.437392321300649</v>
      </c>
    </row>
    <row r="423" spans="1:10">
      <c r="A423" t="s">
        <v>193</v>
      </c>
      <c r="B423" t="s">
        <v>195</v>
      </c>
      <c r="C423" s="18">
        <v>2033</v>
      </c>
      <c r="D423" t="s">
        <v>206</v>
      </c>
      <c r="E423" s="9">
        <v>1130331.7756241199</v>
      </c>
      <c r="F423" s="9">
        <v>193984.16720392701</v>
      </c>
      <c r="G423" s="9">
        <v>1129233.47845058</v>
      </c>
      <c r="H423" s="9">
        <v>193953.224223645</v>
      </c>
      <c r="I423" s="21">
        <f t="shared" si="12"/>
        <v>-30.942980282008648</v>
      </c>
      <c r="J423" s="21">
        <f t="shared" si="13"/>
        <v>-1098.2971735398751</v>
      </c>
    </row>
    <row r="424" spans="1:10">
      <c r="A424" t="s">
        <v>193</v>
      </c>
      <c r="B424" t="s">
        <v>195</v>
      </c>
      <c r="C424" s="18">
        <v>2033</v>
      </c>
      <c r="D424" t="s">
        <v>174</v>
      </c>
      <c r="E424" s="9">
        <v>109079.514561679</v>
      </c>
      <c r="F424" s="9">
        <v>75114.5855849863</v>
      </c>
      <c r="G424" s="9">
        <v>117998.73843744201</v>
      </c>
      <c r="H424" s="9">
        <v>79480.4761690429</v>
      </c>
      <c r="I424" s="21">
        <f t="shared" si="12"/>
        <v>4365.8905840566003</v>
      </c>
      <c r="J424" s="21">
        <f t="shared" si="13"/>
        <v>8919.2238757630112</v>
      </c>
    </row>
    <row r="425" spans="1:10">
      <c r="A425" t="s">
        <v>193</v>
      </c>
      <c r="B425" t="s">
        <v>195</v>
      </c>
      <c r="C425" s="18">
        <v>2033</v>
      </c>
      <c r="D425" t="s">
        <v>178</v>
      </c>
      <c r="E425" s="9">
        <v>367992.326450477</v>
      </c>
      <c r="F425" s="9">
        <v>344006.76111052698</v>
      </c>
      <c r="G425" s="9">
        <v>398354.344992358</v>
      </c>
      <c r="H425" s="9">
        <v>368051.62457544298</v>
      </c>
      <c r="I425" s="21">
        <f t="shared" si="12"/>
        <v>24044.863464916009</v>
      </c>
      <c r="J425" s="21">
        <f t="shared" si="13"/>
        <v>30362.018541881</v>
      </c>
    </row>
    <row r="426" spans="1:10">
      <c r="A426" t="s">
        <v>193</v>
      </c>
      <c r="B426" t="s">
        <v>195</v>
      </c>
      <c r="C426" s="18">
        <v>2033</v>
      </c>
      <c r="D426" t="s">
        <v>181</v>
      </c>
      <c r="E426" s="9">
        <v>636437.979290077</v>
      </c>
      <c r="F426" s="9">
        <v>398845.02511370199</v>
      </c>
      <c r="G426" s="9">
        <v>687634.69954692596</v>
      </c>
      <c r="H426" s="9">
        <v>412348.075678578</v>
      </c>
      <c r="I426" s="21">
        <f t="shared" si="12"/>
        <v>13503.050564876001</v>
      </c>
      <c r="J426" s="21">
        <f t="shared" si="13"/>
        <v>51196.720256848959</v>
      </c>
    </row>
    <row r="427" spans="1:10">
      <c r="A427" t="s">
        <v>193</v>
      </c>
      <c r="B427" t="s">
        <v>195</v>
      </c>
      <c r="C427" s="18">
        <v>2033</v>
      </c>
      <c r="D427" t="s">
        <v>184</v>
      </c>
      <c r="E427" s="9">
        <v>466492.48794872401</v>
      </c>
      <c r="F427" s="9">
        <v>259993.77888062201</v>
      </c>
      <c r="G427" s="9">
        <v>503751.109420694</v>
      </c>
      <c r="H427" s="9">
        <v>269883.407599987</v>
      </c>
      <c r="I427" s="21">
        <f t="shared" si="12"/>
        <v>9889.6287193649914</v>
      </c>
      <c r="J427" s="21">
        <f t="shared" si="13"/>
        <v>37258.621471969993</v>
      </c>
    </row>
    <row r="428" spans="1:10">
      <c r="A428" t="s">
        <v>193</v>
      </c>
      <c r="B428" t="s">
        <v>195</v>
      </c>
      <c r="C428" s="18">
        <v>2033</v>
      </c>
      <c r="D428" t="s">
        <v>365</v>
      </c>
      <c r="E428" s="9">
        <v>44489.820926231303</v>
      </c>
      <c r="F428" s="9">
        <v>7348.1830031101499</v>
      </c>
      <c r="G428" s="9">
        <v>44483.683589841297</v>
      </c>
      <c r="H428" s="9">
        <v>7348.0741473220596</v>
      </c>
      <c r="I428" s="21">
        <f t="shared" si="12"/>
        <v>-0.10885578809029539</v>
      </c>
      <c r="J428" s="21">
        <f t="shared" si="13"/>
        <v>-6.1373363900056574</v>
      </c>
    </row>
    <row r="429" spans="1:10">
      <c r="A429" t="s">
        <v>193</v>
      </c>
      <c r="B429" t="s">
        <v>195</v>
      </c>
      <c r="C429" s="18">
        <v>2034</v>
      </c>
      <c r="D429" t="s">
        <v>167</v>
      </c>
      <c r="E429" s="9">
        <v>16503.238756635801</v>
      </c>
      <c r="F429" s="9">
        <v>11912.751516299701</v>
      </c>
      <c r="G429" s="9">
        <v>16436.9312806497</v>
      </c>
      <c r="H429" s="9">
        <v>11896.382318738601</v>
      </c>
      <c r="I429" s="21">
        <f t="shared" si="12"/>
        <v>-16.369197561100009</v>
      </c>
      <c r="J429" s="21">
        <f t="shared" si="13"/>
        <v>-66.307475986101053</v>
      </c>
    </row>
    <row r="430" spans="1:10">
      <c r="A430" t="s">
        <v>193</v>
      </c>
      <c r="B430" t="s">
        <v>195</v>
      </c>
      <c r="C430" s="18">
        <v>2034</v>
      </c>
      <c r="D430" t="s">
        <v>206</v>
      </c>
      <c r="E430" s="9">
        <v>1140838.0991131701</v>
      </c>
      <c r="F430" s="9">
        <v>202198.734272442</v>
      </c>
      <c r="G430" s="9">
        <v>1139357.0195160699</v>
      </c>
      <c r="H430" s="9">
        <v>202147.27044605001</v>
      </c>
      <c r="I430" s="21">
        <f t="shared" si="12"/>
        <v>-51.463826391991461</v>
      </c>
      <c r="J430" s="21">
        <f t="shared" si="13"/>
        <v>-1481.0795971001498</v>
      </c>
    </row>
    <row r="431" spans="1:10">
      <c r="A431" t="s">
        <v>193</v>
      </c>
      <c r="B431" t="s">
        <v>195</v>
      </c>
      <c r="C431" s="18">
        <v>2034</v>
      </c>
      <c r="D431" t="s">
        <v>174</v>
      </c>
      <c r="E431" s="9">
        <v>112049.868219875</v>
      </c>
      <c r="F431" s="9">
        <v>76744.084541124903</v>
      </c>
      <c r="G431" s="9">
        <v>121105.471839437</v>
      </c>
      <c r="H431" s="9">
        <v>81594.948233921197</v>
      </c>
      <c r="I431" s="21">
        <f t="shared" si="12"/>
        <v>4850.8636927962943</v>
      </c>
      <c r="J431" s="21">
        <f t="shared" si="13"/>
        <v>9055.6036195619963</v>
      </c>
    </row>
    <row r="432" spans="1:10">
      <c r="A432" t="s">
        <v>193</v>
      </c>
      <c r="B432" t="s">
        <v>195</v>
      </c>
      <c r="C432" s="18">
        <v>2034</v>
      </c>
      <c r="D432" t="s">
        <v>178</v>
      </c>
      <c r="E432" s="9">
        <v>375796.51046867401</v>
      </c>
      <c r="F432" s="9">
        <v>350649.989893544</v>
      </c>
      <c r="G432" s="9">
        <v>406559.86735378799</v>
      </c>
      <c r="H432" s="9">
        <v>376028.13227833499</v>
      </c>
      <c r="I432" s="21">
        <f t="shared" si="12"/>
        <v>25378.14238479099</v>
      </c>
      <c r="J432" s="21">
        <f t="shared" si="13"/>
        <v>30763.356885113986</v>
      </c>
    </row>
    <row r="433" spans="1:10">
      <c r="A433" t="s">
        <v>193</v>
      </c>
      <c r="B433" t="s">
        <v>195</v>
      </c>
      <c r="C433" s="18">
        <v>2034</v>
      </c>
      <c r="D433" t="s">
        <v>181</v>
      </c>
      <c r="E433" s="9">
        <v>650073.44345831801</v>
      </c>
      <c r="F433" s="9">
        <v>407550.80293523101</v>
      </c>
      <c r="G433" s="9">
        <v>701691.67735876795</v>
      </c>
      <c r="H433" s="9">
        <v>423259.10059080599</v>
      </c>
      <c r="I433" s="21">
        <f t="shared" si="12"/>
        <v>15708.297655574977</v>
      </c>
      <c r="J433" s="21">
        <f t="shared" si="13"/>
        <v>51618.233900449937</v>
      </c>
    </row>
    <row r="434" spans="1:10">
      <c r="A434" t="s">
        <v>193</v>
      </c>
      <c r="B434" t="s">
        <v>195</v>
      </c>
      <c r="C434" s="18">
        <v>2034</v>
      </c>
      <c r="D434" t="s">
        <v>184</v>
      </c>
      <c r="E434" s="9">
        <v>478744.22296941001</v>
      </c>
      <c r="F434" s="9">
        <v>268166.44008626998</v>
      </c>
      <c r="G434" s="9">
        <v>516406.53850878001</v>
      </c>
      <c r="H434" s="9">
        <v>279484.98028522899</v>
      </c>
      <c r="I434" s="21">
        <f t="shared" si="12"/>
        <v>11318.540198959003</v>
      </c>
      <c r="J434" s="21">
        <f t="shared" si="13"/>
        <v>37662.31553937</v>
      </c>
    </row>
    <row r="435" spans="1:10">
      <c r="A435" t="s">
        <v>193</v>
      </c>
      <c r="B435" t="s">
        <v>195</v>
      </c>
      <c r="C435" s="18">
        <v>2034</v>
      </c>
      <c r="D435" t="s">
        <v>365</v>
      </c>
      <c r="E435" s="9">
        <v>44363.502663657702</v>
      </c>
      <c r="F435" s="9">
        <v>7385.2181937130799</v>
      </c>
      <c r="G435" s="9">
        <v>44355.184450178996</v>
      </c>
      <c r="H435" s="9">
        <v>7385.0409467521704</v>
      </c>
      <c r="I435" s="21">
        <f t="shared" si="12"/>
        <v>-0.17724696090954239</v>
      </c>
      <c r="J435" s="21">
        <f t="shared" si="13"/>
        <v>-8.3182134787057294</v>
      </c>
    </row>
    <row r="436" spans="1:10">
      <c r="A436" t="s">
        <v>193</v>
      </c>
      <c r="B436" t="s">
        <v>195</v>
      </c>
      <c r="C436" s="18">
        <v>2035</v>
      </c>
      <c r="D436" t="s">
        <v>167</v>
      </c>
      <c r="E436" s="9">
        <v>16978.3066211611</v>
      </c>
      <c r="F436" s="9">
        <v>12227.0770190446</v>
      </c>
      <c r="G436" s="9">
        <v>16892.2141390053</v>
      </c>
      <c r="H436" s="9">
        <v>12203.057717863399</v>
      </c>
      <c r="I436" s="21">
        <f t="shared" si="12"/>
        <v>-24.019301181200717</v>
      </c>
      <c r="J436" s="21">
        <f t="shared" si="13"/>
        <v>-86.092482155800099</v>
      </c>
    </row>
    <row r="437" spans="1:10">
      <c r="A437" t="s">
        <v>193</v>
      </c>
      <c r="B437" t="s">
        <v>195</v>
      </c>
      <c r="C437" s="18">
        <v>2035</v>
      </c>
      <c r="D437" t="s">
        <v>206</v>
      </c>
      <c r="E437" s="9">
        <v>1150864.99263513</v>
      </c>
      <c r="F437" s="9">
        <v>210369.49351842</v>
      </c>
      <c r="G437" s="9">
        <v>1148972.16574985</v>
      </c>
      <c r="H437" s="9">
        <v>210290.98052792501</v>
      </c>
      <c r="I437" s="21">
        <f t="shared" si="12"/>
        <v>-78.512990494986298</v>
      </c>
      <c r="J437" s="21">
        <f t="shared" si="13"/>
        <v>-1892.8268852799665</v>
      </c>
    </row>
    <row r="438" spans="1:10">
      <c r="A438" t="s">
        <v>193</v>
      </c>
      <c r="B438" t="s">
        <v>195</v>
      </c>
      <c r="C438" s="18">
        <v>2035</v>
      </c>
      <c r="D438" t="s">
        <v>174</v>
      </c>
      <c r="E438" s="9">
        <v>114970.054008334</v>
      </c>
      <c r="F438" s="9">
        <v>78440.793552337505</v>
      </c>
      <c r="G438" s="9">
        <v>124148.20719584401</v>
      </c>
      <c r="H438" s="9">
        <v>83695.117872879797</v>
      </c>
      <c r="I438" s="21">
        <f t="shared" si="12"/>
        <v>5254.3243205422914</v>
      </c>
      <c r="J438" s="21">
        <f t="shared" si="13"/>
        <v>9178.1531875100045</v>
      </c>
    </row>
    <row r="439" spans="1:10">
      <c r="A439" t="s">
        <v>193</v>
      </c>
      <c r="B439" t="s">
        <v>195</v>
      </c>
      <c r="C439" s="18">
        <v>2035</v>
      </c>
      <c r="D439" t="s">
        <v>178</v>
      </c>
      <c r="E439" s="9">
        <v>383405.63918847701</v>
      </c>
      <c r="F439" s="9">
        <v>357378.41237641301</v>
      </c>
      <c r="G439" s="9">
        <v>414533.16060314502</v>
      </c>
      <c r="H439" s="9">
        <v>383788.76252667198</v>
      </c>
      <c r="I439" s="21">
        <f t="shared" si="12"/>
        <v>26410.350150258979</v>
      </c>
      <c r="J439" s="21">
        <f t="shared" si="13"/>
        <v>31127.521414668008</v>
      </c>
    </row>
    <row r="440" spans="1:10">
      <c r="A440" t="s">
        <v>193</v>
      </c>
      <c r="B440" t="s">
        <v>195</v>
      </c>
      <c r="C440" s="18">
        <v>2035</v>
      </c>
      <c r="D440" t="s">
        <v>181</v>
      </c>
      <c r="E440" s="9">
        <v>663347.69986757997</v>
      </c>
      <c r="F440" s="9">
        <v>416319.01922171097</v>
      </c>
      <c r="G440" s="9">
        <v>715331.78882210201</v>
      </c>
      <c r="H440" s="9">
        <v>434082.03155119502</v>
      </c>
      <c r="I440" s="21">
        <f t="shared" si="12"/>
        <v>17763.012329484045</v>
      </c>
      <c r="J440" s="21">
        <f t="shared" si="13"/>
        <v>51984.088954522042</v>
      </c>
    </row>
    <row r="441" spans="1:10">
      <c r="A441" t="s">
        <v>193</v>
      </c>
      <c r="B441" t="s">
        <v>195</v>
      </c>
      <c r="C441" s="18">
        <v>2035</v>
      </c>
      <c r="D441" t="s">
        <v>184</v>
      </c>
      <c r="E441" s="9">
        <v>490803.270010904</v>
      </c>
      <c r="F441" s="9">
        <v>276522.231911854</v>
      </c>
      <c r="G441" s="9">
        <v>528818.37188395299</v>
      </c>
      <c r="H441" s="9">
        <v>289150.80243598297</v>
      </c>
      <c r="I441" s="21">
        <f t="shared" si="12"/>
        <v>12628.570524128969</v>
      </c>
      <c r="J441" s="21">
        <f t="shared" si="13"/>
        <v>38015.101873048989</v>
      </c>
    </row>
    <row r="442" spans="1:10">
      <c r="A442" t="s">
        <v>193</v>
      </c>
      <c r="B442" t="s">
        <v>195</v>
      </c>
      <c r="C442" s="18">
        <v>2035</v>
      </c>
      <c r="D442" t="s">
        <v>365</v>
      </c>
      <c r="E442" s="9">
        <v>44217.388567592097</v>
      </c>
      <c r="F442" s="9">
        <v>7420.2432475142896</v>
      </c>
      <c r="G442" s="9">
        <v>44206.707306712102</v>
      </c>
      <c r="H442" s="9">
        <v>7419.9788551932097</v>
      </c>
      <c r="I442" s="21">
        <f t="shared" si="12"/>
        <v>-0.26439232107986754</v>
      </c>
      <c r="J442" s="21">
        <f t="shared" si="13"/>
        <v>-10.681260879995534</v>
      </c>
    </row>
    <row r="443" spans="1:10">
      <c r="A443" t="s">
        <v>193</v>
      </c>
      <c r="B443" t="s">
        <v>195</v>
      </c>
      <c r="C443" s="18">
        <v>2036</v>
      </c>
      <c r="D443" t="s">
        <v>167</v>
      </c>
      <c r="E443" s="9">
        <v>17458.266290366999</v>
      </c>
      <c r="F443" s="9">
        <v>12539.9558491803</v>
      </c>
      <c r="G443" s="9">
        <v>17350.6546269342</v>
      </c>
      <c r="H443" s="9">
        <v>12506.9021026876</v>
      </c>
      <c r="I443" s="21">
        <f t="shared" si="12"/>
        <v>-33.053746492700157</v>
      </c>
      <c r="J443" s="21">
        <f t="shared" si="13"/>
        <v>-107.61166343279911</v>
      </c>
    </row>
    <row r="444" spans="1:10">
      <c r="A444" t="s">
        <v>193</v>
      </c>
      <c r="B444" t="s">
        <v>195</v>
      </c>
      <c r="C444" s="18">
        <v>2036</v>
      </c>
      <c r="D444" t="s">
        <v>206</v>
      </c>
      <c r="E444" s="9">
        <v>1160592.6063810301</v>
      </c>
      <c r="F444" s="9">
        <v>218482.928464336</v>
      </c>
      <c r="G444" s="9">
        <v>1158266.1377582899</v>
      </c>
      <c r="H444" s="9">
        <v>218370.687575925</v>
      </c>
      <c r="I444" s="21">
        <f t="shared" si="12"/>
        <v>-112.24088841100456</v>
      </c>
      <c r="J444" s="21">
        <f t="shared" si="13"/>
        <v>-2326.4686227401253</v>
      </c>
    </row>
    <row r="445" spans="1:10">
      <c r="A445" t="s">
        <v>193</v>
      </c>
      <c r="B445" t="s">
        <v>195</v>
      </c>
      <c r="C445" s="18">
        <v>2036</v>
      </c>
      <c r="D445" t="s">
        <v>174</v>
      </c>
      <c r="E445" s="9">
        <v>117849.277762308</v>
      </c>
      <c r="F445" s="9">
        <v>80173.772768320996</v>
      </c>
      <c r="G445" s="9">
        <v>127138.451085333</v>
      </c>
      <c r="H445" s="9">
        <v>85765.564735317093</v>
      </c>
      <c r="I445" s="21">
        <f t="shared" si="12"/>
        <v>5591.7919669960975</v>
      </c>
      <c r="J445" s="21">
        <f t="shared" si="13"/>
        <v>9289.1733230249956</v>
      </c>
    </row>
    <row r="446" spans="1:10">
      <c r="A446" t="s">
        <v>193</v>
      </c>
      <c r="B446" t="s">
        <v>195</v>
      </c>
      <c r="C446" s="18">
        <v>2036</v>
      </c>
      <c r="D446" t="s">
        <v>178</v>
      </c>
      <c r="E446" s="9">
        <v>390778.83258749399</v>
      </c>
      <c r="F446" s="9">
        <v>364049.09879553301</v>
      </c>
      <c r="G446" s="9">
        <v>422232.65992213303</v>
      </c>
      <c r="H446" s="9">
        <v>391285.95573958702</v>
      </c>
      <c r="I446" s="21">
        <f t="shared" si="12"/>
        <v>27236.856944054016</v>
      </c>
      <c r="J446" s="21">
        <f t="shared" si="13"/>
        <v>31453.827334639034</v>
      </c>
    </row>
    <row r="447" spans="1:10">
      <c r="A447" t="s">
        <v>193</v>
      </c>
      <c r="B447" t="s">
        <v>195</v>
      </c>
      <c r="C447" s="18">
        <v>2036</v>
      </c>
      <c r="D447" t="s">
        <v>181</v>
      </c>
      <c r="E447" s="9">
        <v>676233.56449409795</v>
      </c>
      <c r="F447" s="9">
        <v>425067.89430807199</v>
      </c>
      <c r="G447" s="9">
        <v>728531.610160843</v>
      </c>
      <c r="H447" s="9">
        <v>444747.90756616899</v>
      </c>
      <c r="I447" s="21">
        <f t="shared" si="12"/>
        <v>19680.013258096995</v>
      </c>
      <c r="J447" s="21">
        <f t="shared" si="13"/>
        <v>52298.045666745049</v>
      </c>
    </row>
    <row r="448" spans="1:10">
      <c r="A448" t="s">
        <v>193</v>
      </c>
      <c r="B448" t="s">
        <v>195</v>
      </c>
      <c r="C448" s="18">
        <v>2036</v>
      </c>
      <c r="D448" t="s">
        <v>184</v>
      </c>
      <c r="E448" s="9">
        <v>502726.70639104798</v>
      </c>
      <c r="F448" s="9">
        <v>285043.214216227</v>
      </c>
      <c r="G448" s="9">
        <v>541052.28077363002</v>
      </c>
      <c r="H448" s="9">
        <v>298879.61130973301</v>
      </c>
      <c r="I448" s="21">
        <f t="shared" si="12"/>
        <v>13836.397093506006</v>
      </c>
      <c r="J448" s="21">
        <f t="shared" si="13"/>
        <v>38325.574382582039</v>
      </c>
    </row>
    <row r="449" spans="1:10">
      <c r="A449" t="s">
        <v>193</v>
      </c>
      <c r="B449" t="s">
        <v>195</v>
      </c>
      <c r="C449" s="18">
        <v>2036</v>
      </c>
      <c r="D449" t="s">
        <v>365</v>
      </c>
      <c r="E449" s="9">
        <v>44063.186004424002</v>
      </c>
      <c r="F449" s="9">
        <v>7453.7044437671602</v>
      </c>
      <c r="G449" s="9">
        <v>44049.998378272197</v>
      </c>
      <c r="H449" s="9">
        <v>7453.3351271514002</v>
      </c>
      <c r="I449" s="21">
        <f t="shared" si="12"/>
        <v>-0.36931661575999897</v>
      </c>
      <c r="J449" s="21">
        <f t="shared" si="13"/>
        <v>-13.187626151804579</v>
      </c>
    </row>
    <row r="450" spans="1:10">
      <c r="A450" t="s">
        <v>193</v>
      </c>
      <c r="B450" t="s">
        <v>195</v>
      </c>
      <c r="C450" s="18">
        <v>2037</v>
      </c>
      <c r="D450" t="s">
        <v>167</v>
      </c>
      <c r="E450" s="9">
        <v>17943.1974291187</v>
      </c>
      <c r="F450" s="9">
        <v>12850.8400355253</v>
      </c>
      <c r="G450" s="9">
        <v>17812.5035281772</v>
      </c>
      <c r="H450" s="9">
        <v>12807.501268399201</v>
      </c>
      <c r="I450" s="21">
        <f t="shared" ref="I450:I513" si="14">H450-F450</f>
        <v>-43.338767126098901</v>
      </c>
      <c r="J450" s="21">
        <f t="shared" ref="J450:J513" si="15">G450-E450</f>
        <v>-130.69390094150003</v>
      </c>
    </row>
    <row r="451" spans="1:10">
      <c r="A451" t="s">
        <v>193</v>
      </c>
      <c r="B451" t="s">
        <v>195</v>
      </c>
      <c r="C451" s="18">
        <v>2037</v>
      </c>
      <c r="D451" t="s">
        <v>206</v>
      </c>
      <c r="E451" s="9">
        <v>1170141.1246158101</v>
      </c>
      <c r="F451" s="9">
        <v>226526.05221189099</v>
      </c>
      <c r="G451" s="9">
        <v>1167364.6654137501</v>
      </c>
      <c r="H451" s="9">
        <v>226373.365626062</v>
      </c>
      <c r="I451" s="21">
        <f t="shared" si="14"/>
        <v>-152.68658582898206</v>
      </c>
      <c r="J451" s="21">
        <f t="shared" si="15"/>
        <v>-2776.4592020600103</v>
      </c>
    </row>
    <row r="452" spans="1:10">
      <c r="A452" t="s">
        <v>193</v>
      </c>
      <c r="B452" t="s">
        <v>195</v>
      </c>
      <c r="C452" s="18">
        <v>2037</v>
      </c>
      <c r="D452" t="s">
        <v>174</v>
      </c>
      <c r="E452" s="9">
        <v>120701.184361144</v>
      </c>
      <c r="F452" s="9">
        <v>81910.714914824901</v>
      </c>
      <c r="G452" s="9">
        <v>130092.112965313</v>
      </c>
      <c r="H452" s="9">
        <v>87785.873914228694</v>
      </c>
      <c r="I452" s="21">
        <f t="shared" si="14"/>
        <v>5875.1589994037931</v>
      </c>
      <c r="J452" s="21">
        <f t="shared" si="15"/>
        <v>9390.9286041690066</v>
      </c>
    </row>
    <row r="453" spans="1:10">
      <c r="A453" t="s">
        <v>193</v>
      </c>
      <c r="B453" t="s">
        <v>195</v>
      </c>
      <c r="C453" s="18">
        <v>2037</v>
      </c>
      <c r="D453" t="s">
        <v>178</v>
      </c>
      <c r="E453" s="9">
        <v>397928.73126661999</v>
      </c>
      <c r="F453" s="9">
        <v>370558.365896684</v>
      </c>
      <c r="G453" s="9">
        <v>429674.679324948</v>
      </c>
      <c r="H453" s="9">
        <v>398473.81338660797</v>
      </c>
      <c r="I453" s="21">
        <f t="shared" si="14"/>
        <v>27915.447489923972</v>
      </c>
      <c r="J453" s="21">
        <f t="shared" si="15"/>
        <v>31745.948058328009</v>
      </c>
    </row>
    <row r="454" spans="1:10">
      <c r="A454" t="s">
        <v>193</v>
      </c>
      <c r="B454" t="s">
        <v>195</v>
      </c>
      <c r="C454" s="18">
        <v>2037</v>
      </c>
      <c r="D454" t="s">
        <v>181</v>
      </c>
      <c r="E454" s="9">
        <v>688698.952480142</v>
      </c>
      <c r="F454" s="9">
        <v>433706.60768729303</v>
      </c>
      <c r="G454" s="9">
        <v>741261.42723499297</v>
      </c>
      <c r="H454" s="9">
        <v>455168.18452875799</v>
      </c>
      <c r="I454" s="21">
        <f t="shared" si="14"/>
        <v>21461.576841464965</v>
      </c>
      <c r="J454" s="21">
        <f t="shared" si="15"/>
        <v>52562.474754850962</v>
      </c>
    </row>
    <row r="455" spans="1:10">
      <c r="A455" t="s">
        <v>193</v>
      </c>
      <c r="B455" t="s">
        <v>195</v>
      </c>
      <c r="C455" s="18">
        <v>2037</v>
      </c>
      <c r="D455" t="s">
        <v>184</v>
      </c>
      <c r="E455" s="9">
        <v>514650.595427497</v>
      </c>
      <c r="F455" s="9">
        <v>293710.67227688699</v>
      </c>
      <c r="G455" s="9">
        <v>553258.51776135701</v>
      </c>
      <c r="H455" s="9">
        <v>308666.04356230202</v>
      </c>
      <c r="I455" s="21">
        <f t="shared" si="14"/>
        <v>14955.371285415022</v>
      </c>
      <c r="J455" s="21">
        <f t="shared" si="15"/>
        <v>38607.922333860013</v>
      </c>
    </row>
    <row r="456" spans="1:10">
      <c r="A456" t="s">
        <v>193</v>
      </c>
      <c r="B456" t="s">
        <v>195</v>
      </c>
      <c r="C456" s="18">
        <v>2037</v>
      </c>
      <c r="D456" t="s">
        <v>365</v>
      </c>
      <c r="E456" s="9">
        <v>43902.303235357002</v>
      </c>
      <c r="F456" s="9">
        <v>7486.1304247135704</v>
      </c>
      <c r="G456" s="9">
        <v>43886.496639761303</v>
      </c>
      <c r="H456" s="9">
        <v>7485.6394586101196</v>
      </c>
      <c r="I456" s="21">
        <f t="shared" si="14"/>
        <v>-0.49096610345077352</v>
      </c>
      <c r="J456" s="21">
        <f t="shared" si="15"/>
        <v>-15.806595595699036</v>
      </c>
    </row>
    <row r="457" spans="1:10">
      <c r="A457" t="s">
        <v>193</v>
      </c>
      <c r="B457" t="s">
        <v>195</v>
      </c>
      <c r="C457" s="18">
        <v>2038</v>
      </c>
      <c r="D457" t="s">
        <v>167</v>
      </c>
      <c r="E457" s="9">
        <v>18433.844598699601</v>
      </c>
      <c r="F457" s="9">
        <v>13163.0176964605</v>
      </c>
      <c r="G457" s="9">
        <v>18278.619531582299</v>
      </c>
      <c r="H457" s="9">
        <v>13108.258682167399</v>
      </c>
      <c r="I457" s="21">
        <f t="shared" si="14"/>
        <v>-54.759014293100336</v>
      </c>
      <c r="J457" s="21">
        <f t="shared" si="15"/>
        <v>-155.22506711730239</v>
      </c>
    </row>
    <row r="458" spans="1:10">
      <c r="A458" t="s">
        <v>193</v>
      </c>
      <c r="B458" t="s">
        <v>195</v>
      </c>
      <c r="C458" s="18">
        <v>2038</v>
      </c>
      <c r="D458" t="s">
        <v>206</v>
      </c>
      <c r="E458" s="9">
        <v>1179524.2799976</v>
      </c>
      <c r="F458" s="9">
        <v>234486.10577241</v>
      </c>
      <c r="G458" s="9">
        <v>1176286.23006217</v>
      </c>
      <c r="H458" s="9">
        <v>234286.30240329501</v>
      </c>
      <c r="I458" s="21">
        <f t="shared" si="14"/>
        <v>-199.80336911499035</v>
      </c>
      <c r="J458" s="21">
        <f t="shared" si="15"/>
        <v>-3238.0499354300555</v>
      </c>
    </row>
    <row r="459" spans="1:10">
      <c r="A459" t="s">
        <v>193</v>
      </c>
      <c r="B459" t="s">
        <v>195</v>
      </c>
      <c r="C459" s="18">
        <v>2038</v>
      </c>
      <c r="D459" t="s">
        <v>174</v>
      </c>
      <c r="E459" s="9">
        <v>123520.77386907701</v>
      </c>
      <c r="F459" s="9">
        <v>83647.809888647404</v>
      </c>
      <c r="G459" s="9">
        <v>133004.77137127001</v>
      </c>
      <c r="H459" s="9">
        <v>89762.908504627194</v>
      </c>
      <c r="I459" s="21">
        <f t="shared" si="14"/>
        <v>6115.0986159797903</v>
      </c>
      <c r="J459" s="21">
        <f t="shared" si="15"/>
        <v>9483.9975021930004</v>
      </c>
    </row>
    <row r="460" spans="1:10">
      <c r="A460" t="s">
        <v>193</v>
      </c>
      <c r="B460" t="s">
        <v>195</v>
      </c>
      <c r="C460" s="18">
        <v>2038</v>
      </c>
      <c r="D460" t="s">
        <v>178</v>
      </c>
      <c r="E460" s="9">
        <v>404870.92965192703</v>
      </c>
      <c r="F460" s="9">
        <v>376899.63363827701</v>
      </c>
      <c r="G460" s="9">
        <v>436878.35953831702</v>
      </c>
      <c r="H460" s="9">
        <v>405384.95777232101</v>
      </c>
      <c r="I460" s="21">
        <f t="shared" si="14"/>
        <v>28485.324134044</v>
      </c>
      <c r="J460" s="21">
        <f t="shared" si="15"/>
        <v>32007.429886389989</v>
      </c>
    </row>
    <row r="461" spans="1:10">
      <c r="A461" t="s">
        <v>193</v>
      </c>
      <c r="B461" t="s">
        <v>195</v>
      </c>
      <c r="C461" s="18">
        <v>2038</v>
      </c>
      <c r="D461" t="s">
        <v>181</v>
      </c>
      <c r="E461" s="9">
        <v>700776.917044717</v>
      </c>
      <c r="F461" s="9">
        <v>442231.19593640702</v>
      </c>
      <c r="G461" s="9">
        <v>753560.82214679301</v>
      </c>
      <c r="H461" s="9">
        <v>465342.91786371003</v>
      </c>
      <c r="I461" s="21">
        <f t="shared" si="14"/>
        <v>23111.721927303006</v>
      </c>
      <c r="J461" s="21">
        <f t="shared" si="15"/>
        <v>52783.905102076009</v>
      </c>
    </row>
    <row r="462" spans="1:10">
      <c r="A462" t="s">
        <v>193</v>
      </c>
      <c r="B462" t="s">
        <v>195</v>
      </c>
      <c r="C462" s="18">
        <v>2038</v>
      </c>
      <c r="D462" t="s">
        <v>184</v>
      </c>
      <c r="E462" s="9">
        <v>526541.40276695997</v>
      </c>
      <c r="F462" s="9">
        <v>302467.250915766</v>
      </c>
      <c r="G462" s="9">
        <v>565403.75879938505</v>
      </c>
      <c r="H462" s="9">
        <v>318461.02224812203</v>
      </c>
      <c r="I462" s="21">
        <f t="shared" si="14"/>
        <v>15993.771332356031</v>
      </c>
      <c r="J462" s="21">
        <f t="shared" si="15"/>
        <v>38862.356032425072</v>
      </c>
    </row>
    <row r="463" spans="1:10">
      <c r="A463" t="s">
        <v>193</v>
      </c>
      <c r="B463" t="s">
        <v>195</v>
      </c>
      <c r="C463" s="18">
        <v>2038</v>
      </c>
      <c r="D463" t="s">
        <v>365</v>
      </c>
      <c r="E463" s="9">
        <v>43749.261454914398</v>
      </c>
      <c r="F463" s="9">
        <v>7518.3985025960801</v>
      </c>
      <c r="G463" s="9">
        <v>43730.744850638199</v>
      </c>
      <c r="H463" s="9">
        <v>7517.77035327065</v>
      </c>
      <c r="I463" s="21">
        <f t="shared" si="14"/>
        <v>-0.62814932543005852</v>
      </c>
      <c r="J463" s="21">
        <f t="shared" si="15"/>
        <v>-18.516604276199359</v>
      </c>
    </row>
    <row r="464" spans="1:10">
      <c r="A464" t="s">
        <v>193</v>
      </c>
      <c r="B464" t="s">
        <v>195</v>
      </c>
      <c r="C464" s="18">
        <v>2039</v>
      </c>
      <c r="D464" t="s">
        <v>167</v>
      </c>
      <c r="E464" s="9">
        <v>18933.261096660699</v>
      </c>
      <c r="F464" s="9">
        <v>13471.8785695592</v>
      </c>
      <c r="G464" s="9">
        <v>18752.090499402999</v>
      </c>
      <c r="H464" s="9">
        <v>13404.669620275599</v>
      </c>
      <c r="I464" s="21">
        <f t="shared" si="14"/>
        <v>-67.208949283600305</v>
      </c>
      <c r="J464" s="21">
        <f t="shared" si="15"/>
        <v>-181.17059725770014</v>
      </c>
    </row>
    <row r="465" spans="1:10">
      <c r="A465" t="s">
        <v>193</v>
      </c>
      <c r="B465" t="s">
        <v>195</v>
      </c>
      <c r="C465" s="18">
        <v>2039</v>
      </c>
      <c r="D465" t="s">
        <v>206</v>
      </c>
      <c r="E465" s="9">
        <v>1188445.6843996099</v>
      </c>
      <c r="F465" s="9">
        <v>242385.64603618701</v>
      </c>
      <c r="G465" s="9">
        <v>1184738.3918449101</v>
      </c>
      <c r="H465" s="9">
        <v>242132.19115316399</v>
      </c>
      <c r="I465" s="21">
        <f t="shared" si="14"/>
        <v>-253.45488302301965</v>
      </c>
      <c r="J465" s="21">
        <f t="shared" si="15"/>
        <v>-3707.2925546998158</v>
      </c>
    </row>
    <row r="466" spans="1:10">
      <c r="A466" t="s">
        <v>193</v>
      </c>
      <c r="B466" t="s">
        <v>195</v>
      </c>
      <c r="C466" s="18">
        <v>2039</v>
      </c>
      <c r="D466" t="s">
        <v>174</v>
      </c>
      <c r="E466" s="9">
        <v>126303.331252174</v>
      </c>
      <c r="F466" s="9">
        <v>85395.636433107706</v>
      </c>
      <c r="G466" s="9">
        <v>135872.13136763001</v>
      </c>
      <c r="H466" s="9">
        <v>91716.366353602294</v>
      </c>
      <c r="I466" s="21">
        <f t="shared" si="14"/>
        <v>6320.7299204945884</v>
      </c>
      <c r="J466" s="21">
        <f t="shared" si="15"/>
        <v>9568.8001154560043</v>
      </c>
    </row>
    <row r="467" spans="1:10">
      <c r="A467" t="s">
        <v>193</v>
      </c>
      <c r="B467" t="s">
        <v>195</v>
      </c>
      <c r="C467" s="18">
        <v>2039</v>
      </c>
      <c r="D467" t="s">
        <v>178</v>
      </c>
      <c r="E467" s="9">
        <v>411661.198130987</v>
      </c>
      <c r="F467" s="9">
        <v>383144.75559315598</v>
      </c>
      <c r="G467" s="9">
        <v>443905.980748337</v>
      </c>
      <c r="H467" s="9">
        <v>412120.21350488003</v>
      </c>
      <c r="I467" s="21">
        <f t="shared" si="14"/>
        <v>28975.45791172405</v>
      </c>
      <c r="J467" s="21">
        <f t="shared" si="15"/>
        <v>32244.782617349993</v>
      </c>
    </row>
    <row r="468" spans="1:10">
      <c r="A468" t="s">
        <v>193</v>
      </c>
      <c r="B468" t="s">
        <v>195</v>
      </c>
      <c r="C468" s="18">
        <v>2039</v>
      </c>
      <c r="D468" t="s">
        <v>181</v>
      </c>
      <c r="E468" s="9">
        <v>712555.430947521</v>
      </c>
      <c r="F468" s="9">
        <v>450636.96577164799</v>
      </c>
      <c r="G468" s="9">
        <v>765528.46783885697</v>
      </c>
      <c r="H468" s="9">
        <v>475269.78752891801</v>
      </c>
      <c r="I468" s="21">
        <f t="shared" si="14"/>
        <v>24632.821757270023</v>
      </c>
      <c r="J468" s="21">
        <f t="shared" si="15"/>
        <v>52973.036891335971</v>
      </c>
    </row>
    <row r="469" spans="1:10">
      <c r="A469" t="s">
        <v>193</v>
      </c>
      <c r="B469" t="s">
        <v>195</v>
      </c>
      <c r="C469" s="18">
        <v>2039</v>
      </c>
      <c r="D469" t="s">
        <v>184</v>
      </c>
      <c r="E469" s="9">
        <v>538328.70717714098</v>
      </c>
      <c r="F469" s="9">
        <v>311288.117893057</v>
      </c>
      <c r="G469" s="9">
        <v>577414.514396235</v>
      </c>
      <c r="H469" s="9">
        <v>328246.40127636801</v>
      </c>
      <c r="I469" s="21">
        <f t="shared" si="14"/>
        <v>16958.283383311005</v>
      </c>
      <c r="J469" s="21">
        <f t="shared" si="15"/>
        <v>39085.807219094015</v>
      </c>
    </row>
    <row r="470" spans="1:10">
      <c r="A470" t="s">
        <v>193</v>
      </c>
      <c r="B470" t="s">
        <v>195</v>
      </c>
      <c r="C470" s="18">
        <v>2039</v>
      </c>
      <c r="D470" t="s">
        <v>365</v>
      </c>
      <c r="E470" s="9">
        <v>43610.149610733803</v>
      </c>
      <c r="F470" s="9">
        <v>7548.3395840880603</v>
      </c>
      <c r="G470" s="9">
        <v>43588.845456636998</v>
      </c>
      <c r="H470" s="9">
        <v>7547.5598608641003</v>
      </c>
      <c r="I470" s="21">
        <f t="shared" si="14"/>
        <v>-0.77972322395999072</v>
      </c>
      <c r="J470" s="21">
        <f t="shared" si="15"/>
        <v>-21.304154096804268</v>
      </c>
    </row>
    <row r="471" spans="1:10">
      <c r="A471" t="s">
        <v>193</v>
      </c>
      <c r="B471" t="s">
        <v>195</v>
      </c>
      <c r="C471" s="18">
        <v>2040</v>
      </c>
      <c r="D471" t="s">
        <v>167</v>
      </c>
      <c r="E471" s="9">
        <v>19444.278318389199</v>
      </c>
      <c r="F471" s="9">
        <v>13779.606457259901</v>
      </c>
      <c r="G471" s="9">
        <v>19235.736542927301</v>
      </c>
      <c r="H471" s="9">
        <v>13698.9721681132</v>
      </c>
      <c r="I471" s="21">
        <f t="shared" si="14"/>
        <v>-80.634289146701121</v>
      </c>
      <c r="J471" s="21">
        <f t="shared" si="15"/>
        <v>-208.54177546189749</v>
      </c>
    </row>
    <row r="472" spans="1:10">
      <c r="A472" t="s">
        <v>193</v>
      </c>
      <c r="B472" t="s">
        <v>195</v>
      </c>
      <c r="C472" s="18">
        <v>2040</v>
      </c>
      <c r="D472" t="s">
        <v>206</v>
      </c>
      <c r="E472" s="9">
        <v>1196815.7812176</v>
      </c>
      <c r="F472" s="9">
        <v>250207.94661737201</v>
      </c>
      <c r="G472" s="9">
        <v>1192634.43006365</v>
      </c>
      <c r="H472" s="9">
        <v>249894.478827588</v>
      </c>
      <c r="I472" s="21">
        <f t="shared" si="14"/>
        <v>-313.46778978401562</v>
      </c>
      <c r="J472" s="21">
        <f t="shared" si="15"/>
        <v>-4181.3511539499741</v>
      </c>
    </row>
    <row r="473" spans="1:10">
      <c r="A473" t="s">
        <v>193</v>
      </c>
      <c r="B473" t="s">
        <v>195</v>
      </c>
      <c r="C473" s="18">
        <v>2040</v>
      </c>
      <c r="D473" t="s">
        <v>174</v>
      </c>
      <c r="E473" s="9">
        <v>129044.180027903</v>
      </c>
      <c r="F473" s="9">
        <v>87139.139632362698</v>
      </c>
      <c r="G473" s="9">
        <v>138689.796610277</v>
      </c>
      <c r="H473" s="9">
        <v>93636.896760059302</v>
      </c>
      <c r="I473" s="21">
        <f t="shared" si="14"/>
        <v>6497.7571276966046</v>
      </c>
      <c r="J473" s="21">
        <f t="shared" si="15"/>
        <v>9645.6165823740012</v>
      </c>
    </row>
    <row r="474" spans="1:10">
      <c r="A474" t="s">
        <v>193</v>
      </c>
      <c r="B474" t="s">
        <v>195</v>
      </c>
      <c r="C474" s="18">
        <v>2040</v>
      </c>
      <c r="D474" t="s">
        <v>178</v>
      </c>
      <c r="E474" s="9">
        <v>418376.02192300302</v>
      </c>
      <c r="F474" s="9">
        <v>389222.71197179699</v>
      </c>
      <c r="G474" s="9">
        <v>450841.764596063</v>
      </c>
      <c r="H474" s="9">
        <v>418620.90894817398</v>
      </c>
      <c r="I474" s="21">
        <f t="shared" si="14"/>
        <v>29398.196976376988</v>
      </c>
      <c r="J474" s="21">
        <f t="shared" si="15"/>
        <v>32465.742673059984</v>
      </c>
    </row>
    <row r="475" spans="1:10">
      <c r="A475" t="s">
        <v>193</v>
      </c>
      <c r="B475" t="s">
        <v>195</v>
      </c>
      <c r="C475" s="18">
        <v>2040</v>
      </c>
      <c r="D475" t="s">
        <v>181</v>
      </c>
      <c r="E475" s="9">
        <v>723961.14542016899</v>
      </c>
      <c r="F475" s="9">
        <v>458916.60401610303</v>
      </c>
      <c r="G475" s="9">
        <v>777088.49670209095</v>
      </c>
      <c r="H475" s="9">
        <v>484947.105425179</v>
      </c>
      <c r="I475" s="21">
        <f t="shared" si="14"/>
        <v>26030.50140907598</v>
      </c>
      <c r="J475" s="21">
        <f t="shared" si="15"/>
        <v>53127.351281921961</v>
      </c>
    </row>
    <row r="476" spans="1:10">
      <c r="A476" t="s">
        <v>193</v>
      </c>
      <c r="B476" t="s">
        <v>195</v>
      </c>
      <c r="C476" s="18">
        <v>2040</v>
      </c>
      <c r="D476" t="s">
        <v>184</v>
      </c>
      <c r="E476" s="9">
        <v>550075.04696948198</v>
      </c>
      <c r="F476" s="9">
        <v>320184.34417468897</v>
      </c>
      <c r="G476" s="9">
        <v>589359.73383284197</v>
      </c>
      <c r="H476" s="9">
        <v>338039.01043044601</v>
      </c>
      <c r="I476" s="21">
        <f t="shared" si="14"/>
        <v>17854.666255757038</v>
      </c>
      <c r="J476" s="21">
        <f t="shared" si="15"/>
        <v>39284.686863359995</v>
      </c>
    </row>
    <row r="477" spans="1:10">
      <c r="A477" t="s">
        <v>193</v>
      </c>
      <c r="B477" t="s">
        <v>195</v>
      </c>
      <c r="C477" s="18">
        <v>2040</v>
      </c>
      <c r="D477" t="s">
        <v>365</v>
      </c>
      <c r="E477" s="9">
        <v>43489.019420509801</v>
      </c>
      <c r="F477" s="9">
        <v>7574.67019117365</v>
      </c>
      <c r="G477" s="9">
        <v>43464.859681883601</v>
      </c>
      <c r="H477" s="9">
        <v>7573.7255608269897</v>
      </c>
      <c r="I477" s="21">
        <f t="shared" si="14"/>
        <v>-0.94463034666023304</v>
      </c>
      <c r="J477" s="21">
        <f t="shared" si="15"/>
        <v>-24.159738626200124</v>
      </c>
    </row>
    <row r="478" spans="1:10">
      <c r="A478" t="s">
        <v>193</v>
      </c>
      <c r="B478" t="s">
        <v>195</v>
      </c>
      <c r="C478" s="18">
        <v>2041</v>
      </c>
      <c r="D478" t="s">
        <v>167</v>
      </c>
      <c r="E478" s="9">
        <v>19964.582438495901</v>
      </c>
      <c r="F478" s="9">
        <v>14086.6158821401</v>
      </c>
      <c r="G478" s="9">
        <v>19727.283486384</v>
      </c>
      <c r="H478" s="9">
        <v>13991.606690282801</v>
      </c>
      <c r="I478" s="21">
        <f t="shared" si="14"/>
        <v>-95.009191857299811</v>
      </c>
      <c r="J478" s="21">
        <f t="shared" si="15"/>
        <v>-237.2989521119016</v>
      </c>
    </row>
    <row r="479" spans="1:10">
      <c r="A479" t="s">
        <v>193</v>
      </c>
      <c r="B479" t="s">
        <v>195</v>
      </c>
      <c r="C479" s="18">
        <v>2041</v>
      </c>
      <c r="D479" t="s">
        <v>206</v>
      </c>
      <c r="E479" s="9">
        <v>1204646.10488123</v>
      </c>
      <c r="F479" s="9">
        <v>257978.75069141699</v>
      </c>
      <c r="G479" s="9">
        <v>1199988.17586749</v>
      </c>
      <c r="H479" s="9">
        <v>257599.044002988</v>
      </c>
      <c r="I479" s="21">
        <f t="shared" si="14"/>
        <v>-379.70668842899613</v>
      </c>
      <c r="J479" s="21">
        <f t="shared" si="15"/>
        <v>-4657.9290137400385</v>
      </c>
    </row>
    <row r="480" spans="1:10">
      <c r="A480" t="s">
        <v>193</v>
      </c>
      <c r="B480" t="s">
        <v>195</v>
      </c>
      <c r="C480" s="18">
        <v>2041</v>
      </c>
      <c r="D480" t="s">
        <v>174</v>
      </c>
      <c r="E480" s="9">
        <v>131759.55850631301</v>
      </c>
      <c r="F480" s="9">
        <v>88875.655724748605</v>
      </c>
      <c r="G480" s="9">
        <v>141475.570851386</v>
      </c>
      <c r="H480" s="9">
        <v>95527.0063786807</v>
      </c>
      <c r="I480" s="21">
        <f t="shared" si="14"/>
        <v>6651.3506539320952</v>
      </c>
      <c r="J480" s="21">
        <f t="shared" si="15"/>
        <v>9716.012345072988</v>
      </c>
    </row>
    <row r="481" spans="1:10">
      <c r="A481" t="s">
        <v>193</v>
      </c>
      <c r="B481" t="s">
        <v>195</v>
      </c>
      <c r="C481" s="18">
        <v>2041</v>
      </c>
      <c r="D481" t="s">
        <v>178</v>
      </c>
      <c r="E481" s="9">
        <v>425026.10639564798</v>
      </c>
      <c r="F481" s="9">
        <v>395232.350292727</v>
      </c>
      <c r="G481" s="9">
        <v>457698.12813480198</v>
      </c>
      <c r="H481" s="9">
        <v>425005.77720965003</v>
      </c>
      <c r="I481" s="21">
        <f t="shared" si="14"/>
        <v>29773.426916923025</v>
      </c>
      <c r="J481" s="21">
        <f t="shared" si="15"/>
        <v>32672.021739154006</v>
      </c>
    </row>
    <row r="482" spans="1:10">
      <c r="A482" t="s">
        <v>193</v>
      </c>
      <c r="B482" t="s">
        <v>195</v>
      </c>
      <c r="C482" s="18">
        <v>2041</v>
      </c>
      <c r="D482" t="s">
        <v>181</v>
      </c>
      <c r="E482" s="9">
        <v>735042.67295970395</v>
      </c>
      <c r="F482" s="9">
        <v>467079.52733482502</v>
      </c>
      <c r="G482" s="9">
        <v>788293.24275668897</v>
      </c>
      <c r="H482" s="9">
        <v>494390.87324825901</v>
      </c>
      <c r="I482" s="21">
        <f t="shared" si="14"/>
        <v>27311.345913433994</v>
      </c>
      <c r="J482" s="21">
        <f t="shared" si="15"/>
        <v>53250.569796985015</v>
      </c>
    </row>
    <row r="483" spans="1:10">
      <c r="A483" t="s">
        <v>193</v>
      </c>
      <c r="B483" t="s">
        <v>195</v>
      </c>
      <c r="C483" s="18">
        <v>2041</v>
      </c>
      <c r="D483" t="s">
        <v>184</v>
      </c>
      <c r="E483" s="9">
        <v>561700.37197534298</v>
      </c>
      <c r="F483" s="9">
        <v>329232.16145967401</v>
      </c>
      <c r="G483" s="9">
        <v>601155.34094696096</v>
      </c>
      <c r="H483" s="9">
        <v>347924.76632707799</v>
      </c>
      <c r="I483" s="21">
        <f t="shared" si="14"/>
        <v>18692.604867403978</v>
      </c>
      <c r="J483" s="21">
        <f t="shared" si="15"/>
        <v>39454.968971617986</v>
      </c>
    </row>
    <row r="484" spans="1:10">
      <c r="A484" t="s">
        <v>193</v>
      </c>
      <c r="B484" t="s">
        <v>195</v>
      </c>
      <c r="C484" s="18">
        <v>2041</v>
      </c>
      <c r="D484" t="s">
        <v>365</v>
      </c>
      <c r="E484" s="9">
        <v>43388.010804473801</v>
      </c>
      <c r="F484" s="9">
        <v>7597.1179092030698</v>
      </c>
      <c r="G484" s="9">
        <v>43360.9356755525</v>
      </c>
      <c r="H484" s="9">
        <v>7595.9953338682099</v>
      </c>
      <c r="I484" s="21">
        <f t="shared" si="14"/>
        <v>-1.1225753348599028</v>
      </c>
      <c r="J484" s="21">
        <f t="shared" si="15"/>
        <v>-27.075128921300347</v>
      </c>
    </row>
    <row r="485" spans="1:10">
      <c r="A485" t="s">
        <v>193</v>
      </c>
      <c r="B485" t="s">
        <v>195</v>
      </c>
      <c r="C485" s="18">
        <v>2042</v>
      </c>
      <c r="D485" t="s">
        <v>167</v>
      </c>
      <c r="E485" s="9">
        <v>20489.6910575742</v>
      </c>
      <c r="F485" s="9">
        <v>14394.962460724801</v>
      </c>
      <c r="G485" s="9">
        <v>20222.268399164699</v>
      </c>
      <c r="H485" s="9">
        <v>14284.6169088399</v>
      </c>
      <c r="I485" s="21">
        <f t="shared" si="14"/>
        <v>-110.34555188490049</v>
      </c>
      <c r="J485" s="21">
        <f t="shared" si="15"/>
        <v>-267.42265840950131</v>
      </c>
    </row>
    <row r="486" spans="1:10">
      <c r="A486" t="s">
        <v>193</v>
      </c>
      <c r="B486" t="s">
        <v>195</v>
      </c>
      <c r="C486" s="18">
        <v>2042</v>
      </c>
      <c r="D486" t="s">
        <v>206</v>
      </c>
      <c r="E486" s="9">
        <v>1211934.8981889901</v>
      </c>
      <c r="F486" s="9">
        <v>265741.505518683</v>
      </c>
      <c r="G486" s="9">
        <v>1206799.58929471</v>
      </c>
      <c r="H486" s="9">
        <v>265289.409116733</v>
      </c>
      <c r="I486" s="21">
        <f t="shared" si="14"/>
        <v>-452.0964019499952</v>
      </c>
      <c r="J486" s="21">
        <f t="shared" si="15"/>
        <v>-5135.3088942801114</v>
      </c>
    </row>
    <row r="487" spans="1:10">
      <c r="A487" t="s">
        <v>193</v>
      </c>
      <c r="B487" t="s">
        <v>195</v>
      </c>
      <c r="C487" s="18">
        <v>2042</v>
      </c>
      <c r="D487" t="s">
        <v>174</v>
      </c>
      <c r="E487" s="9">
        <v>134467.00224260401</v>
      </c>
      <c r="F487" s="9">
        <v>90619.644243649003</v>
      </c>
      <c r="G487" s="9">
        <v>144248.066926011</v>
      </c>
      <c r="H487" s="9">
        <v>97406.156977096296</v>
      </c>
      <c r="I487" s="21">
        <f t="shared" si="14"/>
        <v>6786.5127334472927</v>
      </c>
      <c r="J487" s="21">
        <f t="shared" si="15"/>
        <v>9781.0646834069921</v>
      </c>
    </row>
    <row r="488" spans="1:10">
      <c r="A488" t="s">
        <v>193</v>
      </c>
      <c r="B488" t="s">
        <v>195</v>
      </c>
      <c r="C488" s="18">
        <v>2042</v>
      </c>
      <c r="D488" t="s">
        <v>178</v>
      </c>
      <c r="E488" s="9">
        <v>431622.14824861701</v>
      </c>
      <c r="F488" s="9">
        <v>401280.37897190702</v>
      </c>
      <c r="G488" s="9">
        <v>464487.03899019101</v>
      </c>
      <c r="H488" s="9">
        <v>431397.042999706</v>
      </c>
      <c r="I488" s="21">
        <f t="shared" si="14"/>
        <v>30116.664027798979</v>
      </c>
      <c r="J488" s="21">
        <f t="shared" si="15"/>
        <v>32864.890741573996</v>
      </c>
    </row>
    <row r="489" spans="1:10">
      <c r="A489" t="s">
        <v>193</v>
      </c>
      <c r="B489" t="s">
        <v>195</v>
      </c>
      <c r="C489" s="18">
        <v>2042</v>
      </c>
      <c r="D489" t="s">
        <v>181</v>
      </c>
      <c r="E489" s="9">
        <v>745880.80095680105</v>
      </c>
      <c r="F489" s="9">
        <v>475120.438653661</v>
      </c>
      <c r="G489" s="9">
        <v>799225.499121645</v>
      </c>
      <c r="H489" s="9">
        <v>503603.80380956898</v>
      </c>
      <c r="I489" s="21">
        <f t="shared" si="14"/>
        <v>28483.365155907988</v>
      </c>
      <c r="J489" s="21">
        <f t="shared" si="15"/>
        <v>53344.698164843954</v>
      </c>
    </row>
    <row r="490" spans="1:10">
      <c r="A490" t="s">
        <v>193</v>
      </c>
      <c r="B490" t="s">
        <v>195</v>
      </c>
      <c r="C490" s="18">
        <v>2042</v>
      </c>
      <c r="D490" t="s">
        <v>184</v>
      </c>
      <c r="E490" s="9">
        <v>573074.91369580606</v>
      </c>
      <c r="F490" s="9">
        <v>338451.871054394</v>
      </c>
      <c r="G490" s="9">
        <v>612664.177038008</v>
      </c>
      <c r="H490" s="9">
        <v>357930.93950443697</v>
      </c>
      <c r="I490" s="21">
        <f t="shared" si="14"/>
        <v>19479.068450042978</v>
      </c>
      <c r="J490" s="21">
        <f t="shared" si="15"/>
        <v>39589.263342201943</v>
      </c>
    </row>
    <row r="491" spans="1:10">
      <c r="A491" t="s">
        <v>193</v>
      </c>
      <c r="B491" t="s">
        <v>195</v>
      </c>
      <c r="C491" s="18">
        <v>2042</v>
      </c>
      <c r="D491" t="s">
        <v>365</v>
      </c>
      <c r="E491" s="9">
        <v>43308.772425829098</v>
      </c>
      <c r="F491" s="9">
        <v>7617.90643387006</v>
      </c>
      <c r="G491" s="9">
        <v>43278.728481607301</v>
      </c>
      <c r="H491" s="9">
        <v>7616.5928035502902</v>
      </c>
      <c r="I491" s="21">
        <f t="shared" si="14"/>
        <v>-1.3136303197697998</v>
      </c>
      <c r="J491" s="21">
        <f t="shared" si="15"/>
        <v>-30.043944221797574</v>
      </c>
    </row>
    <row r="492" spans="1:10">
      <c r="A492" t="s">
        <v>193</v>
      </c>
      <c r="B492" t="s">
        <v>195</v>
      </c>
      <c r="C492" s="18">
        <v>2043</v>
      </c>
      <c r="D492" t="s">
        <v>167</v>
      </c>
      <c r="E492" s="9">
        <v>21019.529459039099</v>
      </c>
      <c r="F492" s="9">
        <v>14699.5033363844</v>
      </c>
      <c r="G492" s="9">
        <v>20720.548205455299</v>
      </c>
      <c r="H492" s="9">
        <v>14572.883153271399</v>
      </c>
      <c r="I492" s="21">
        <f t="shared" si="14"/>
        <v>-126.62018311300017</v>
      </c>
      <c r="J492" s="21">
        <f t="shared" si="15"/>
        <v>-298.98125358379912</v>
      </c>
    </row>
    <row r="493" spans="1:10">
      <c r="A493" t="s">
        <v>193</v>
      </c>
      <c r="B493" t="s">
        <v>195</v>
      </c>
      <c r="C493" s="18">
        <v>2043</v>
      </c>
      <c r="D493" t="s">
        <v>206</v>
      </c>
      <c r="E493" s="9">
        <v>1218661.63726797</v>
      </c>
      <c r="F493" s="9">
        <v>273480.91195913102</v>
      </c>
      <c r="G493" s="9">
        <v>1213049.26096591</v>
      </c>
      <c r="H493" s="9">
        <v>272950.43541917799</v>
      </c>
      <c r="I493" s="21">
        <f t="shared" si="14"/>
        <v>-530.47653995302971</v>
      </c>
      <c r="J493" s="21">
        <f t="shared" si="15"/>
        <v>-5612.3763020599727</v>
      </c>
    </row>
    <row r="494" spans="1:10">
      <c r="A494" t="s">
        <v>193</v>
      </c>
      <c r="B494" t="s">
        <v>195</v>
      </c>
      <c r="C494" s="18">
        <v>2043</v>
      </c>
      <c r="D494" t="s">
        <v>174</v>
      </c>
      <c r="E494" s="9">
        <v>137154.12499686601</v>
      </c>
      <c r="F494" s="9">
        <v>92365.662566165702</v>
      </c>
      <c r="G494" s="9">
        <v>146993.81420820701</v>
      </c>
      <c r="H494" s="9">
        <v>99271.391168072907</v>
      </c>
      <c r="I494" s="21">
        <f t="shared" si="14"/>
        <v>6905.7286019072053</v>
      </c>
      <c r="J494" s="21">
        <f t="shared" si="15"/>
        <v>9839.6892113409995</v>
      </c>
    </row>
    <row r="495" spans="1:10">
      <c r="A495" t="s">
        <v>193</v>
      </c>
      <c r="B495" t="s">
        <v>195</v>
      </c>
      <c r="C495" s="18">
        <v>2043</v>
      </c>
      <c r="D495" t="s">
        <v>178</v>
      </c>
      <c r="E495" s="9">
        <v>438114.00089333497</v>
      </c>
      <c r="F495" s="9">
        <v>407255.040316395</v>
      </c>
      <c r="G495" s="9">
        <v>471154.83958066901</v>
      </c>
      <c r="H495" s="9">
        <v>437679.98847184202</v>
      </c>
      <c r="I495" s="21">
        <f t="shared" si="14"/>
        <v>30424.948155447026</v>
      </c>
      <c r="J495" s="21">
        <f t="shared" si="15"/>
        <v>33040.838687334035</v>
      </c>
    </row>
    <row r="496" spans="1:10">
      <c r="A496" t="s">
        <v>193</v>
      </c>
      <c r="B496" t="s">
        <v>195</v>
      </c>
      <c r="C496" s="18">
        <v>2043</v>
      </c>
      <c r="D496" t="s">
        <v>181</v>
      </c>
      <c r="E496" s="9">
        <v>756597.11659428501</v>
      </c>
      <c r="F496" s="9">
        <v>483055.153102774</v>
      </c>
      <c r="G496" s="9">
        <v>810014.77283431904</v>
      </c>
      <c r="H496" s="9">
        <v>512610.44917931297</v>
      </c>
      <c r="I496" s="21">
        <f t="shared" si="14"/>
        <v>29555.296076538973</v>
      </c>
      <c r="J496" s="21">
        <f t="shared" si="15"/>
        <v>53417.656240034034</v>
      </c>
    </row>
    <row r="497" spans="1:10">
      <c r="A497" t="s">
        <v>193</v>
      </c>
      <c r="B497" t="s">
        <v>195</v>
      </c>
      <c r="C497" s="18">
        <v>2043</v>
      </c>
      <c r="D497" t="s">
        <v>184</v>
      </c>
      <c r="E497" s="9">
        <v>584259.50157239498</v>
      </c>
      <c r="F497" s="9">
        <v>347746.99215985701</v>
      </c>
      <c r="G497" s="9">
        <v>623953.35649413895</v>
      </c>
      <c r="H497" s="9">
        <v>367959.059248153</v>
      </c>
      <c r="I497" s="21">
        <f t="shared" si="14"/>
        <v>20212.067088295997</v>
      </c>
      <c r="J497" s="21">
        <f t="shared" si="15"/>
        <v>39693.854921743972</v>
      </c>
    </row>
    <row r="498" spans="1:10">
      <c r="A498" t="s">
        <v>193</v>
      </c>
      <c r="B498" t="s">
        <v>195</v>
      </c>
      <c r="C498" s="18">
        <v>2043</v>
      </c>
      <c r="D498" t="s">
        <v>365</v>
      </c>
      <c r="E498" s="9">
        <v>43265.2018351101</v>
      </c>
      <c r="F498" s="9">
        <v>7636.1559126484699</v>
      </c>
      <c r="G498" s="9">
        <v>43232.1385441846</v>
      </c>
      <c r="H498" s="9">
        <v>7634.6380979097503</v>
      </c>
      <c r="I498" s="21">
        <f t="shared" si="14"/>
        <v>-1.5178147387196077</v>
      </c>
      <c r="J498" s="21">
        <f t="shared" si="15"/>
        <v>-33.063290925500041</v>
      </c>
    </row>
    <row r="499" spans="1:10">
      <c r="A499" t="s">
        <v>193</v>
      </c>
      <c r="B499" t="s">
        <v>195</v>
      </c>
      <c r="C499" s="18">
        <v>2044</v>
      </c>
      <c r="D499" t="s">
        <v>167</v>
      </c>
      <c r="E499" s="9">
        <v>21552.257050836801</v>
      </c>
      <c r="F499" s="9">
        <v>15005.224151128799</v>
      </c>
      <c r="G499" s="9">
        <v>21220.2473713984</v>
      </c>
      <c r="H499" s="9">
        <v>14861.4315691186</v>
      </c>
      <c r="I499" s="21">
        <f t="shared" si="14"/>
        <v>-143.79258201019911</v>
      </c>
      <c r="J499" s="21">
        <f t="shared" si="15"/>
        <v>-332.00967943840078</v>
      </c>
    </row>
    <row r="500" spans="1:10">
      <c r="A500" t="s">
        <v>193</v>
      </c>
      <c r="B500" t="s">
        <v>195</v>
      </c>
      <c r="C500" s="18">
        <v>2044</v>
      </c>
      <c r="D500" t="s">
        <v>206</v>
      </c>
      <c r="E500" s="9">
        <v>1225076.6997070301</v>
      </c>
      <c r="F500" s="9">
        <v>281121.07923655101</v>
      </c>
      <c r="G500" s="9">
        <v>1218988.4670045001</v>
      </c>
      <c r="H500" s="9">
        <v>280506.44153550803</v>
      </c>
      <c r="I500" s="21">
        <f t="shared" si="14"/>
        <v>-614.63770104298601</v>
      </c>
      <c r="J500" s="21">
        <f t="shared" si="15"/>
        <v>-6088.2327025299892</v>
      </c>
    </row>
    <row r="501" spans="1:10">
      <c r="A501" t="s">
        <v>193</v>
      </c>
      <c r="B501" t="s">
        <v>195</v>
      </c>
      <c r="C501" s="18">
        <v>2044</v>
      </c>
      <c r="D501" t="s">
        <v>174</v>
      </c>
      <c r="E501" s="9">
        <v>139805.578888527</v>
      </c>
      <c r="F501" s="9">
        <v>94101.757106817997</v>
      </c>
      <c r="G501" s="9">
        <v>149696.21396730101</v>
      </c>
      <c r="H501" s="9">
        <v>101112.290089553</v>
      </c>
      <c r="I501" s="21">
        <f t="shared" si="14"/>
        <v>7010.532982735007</v>
      </c>
      <c r="J501" s="21">
        <f t="shared" si="15"/>
        <v>9890.6350787740084</v>
      </c>
    </row>
    <row r="502" spans="1:10">
      <c r="A502" t="s">
        <v>193</v>
      </c>
      <c r="B502" t="s">
        <v>195</v>
      </c>
      <c r="C502" s="18">
        <v>2044</v>
      </c>
      <c r="D502" t="s">
        <v>178</v>
      </c>
      <c r="E502" s="9">
        <v>444389.27980610402</v>
      </c>
      <c r="F502" s="9">
        <v>413102.15179346298</v>
      </c>
      <c r="G502" s="9">
        <v>477581.31483664498</v>
      </c>
      <c r="H502" s="9">
        <v>443800.63719739497</v>
      </c>
      <c r="I502" s="21">
        <f t="shared" si="14"/>
        <v>30698.485403931991</v>
      </c>
      <c r="J502" s="21">
        <f t="shared" si="15"/>
        <v>33192.035030540952</v>
      </c>
    </row>
    <row r="503" spans="1:10">
      <c r="A503" t="s">
        <v>193</v>
      </c>
      <c r="B503" t="s">
        <v>195</v>
      </c>
      <c r="C503" s="18">
        <v>2044</v>
      </c>
      <c r="D503" t="s">
        <v>181</v>
      </c>
      <c r="E503" s="9">
        <v>767268.40966368897</v>
      </c>
      <c r="F503" s="9">
        <v>490883.63334406598</v>
      </c>
      <c r="G503" s="9">
        <v>820742.37012193399</v>
      </c>
      <c r="H503" s="9">
        <v>521420.17033099697</v>
      </c>
      <c r="I503" s="21">
        <f t="shared" si="14"/>
        <v>30536.536986930994</v>
      </c>
      <c r="J503" s="21">
        <f t="shared" si="15"/>
        <v>53473.960458245012</v>
      </c>
    </row>
    <row r="504" spans="1:10">
      <c r="A504" t="s">
        <v>193</v>
      </c>
      <c r="B504" t="s">
        <v>195</v>
      </c>
      <c r="C504" s="18">
        <v>2044</v>
      </c>
      <c r="D504" t="s">
        <v>184</v>
      </c>
      <c r="E504" s="9">
        <v>595253.675294257</v>
      </c>
      <c r="F504" s="9">
        <v>357027.83558204799</v>
      </c>
      <c r="G504" s="9">
        <v>635024.54646764905</v>
      </c>
      <c r="H504" s="9">
        <v>377918.58989895799</v>
      </c>
      <c r="I504" s="21">
        <f t="shared" si="14"/>
        <v>20890.754316909995</v>
      </c>
      <c r="J504" s="21">
        <f t="shared" si="15"/>
        <v>39770.87117339205</v>
      </c>
    </row>
    <row r="505" spans="1:10">
      <c r="A505" t="s">
        <v>193</v>
      </c>
      <c r="B505" t="s">
        <v>195</v>
      </c>
      <c r="C505" s="18">
        <v>2044</v>
      </c>
      <c r="D505" t="s">
        <v>365</v>
      </c>
      <c r="E505" s="9">
        <v>43238.755892500398</v>
      </c>
      <c r="F505" s="9">
        <v>7654.4569931443802</v>
      </c>
      <c r="G505" s="9">
        <v>43202.630038859497</v>
      </c>
      <c r="H505" s="9">
        <v>7652.7218257366803</v>
      </c>
      <c r="I505" s="21">
        <f t="shared" si="14"/>
        <v>-1.7351674076999188</v>
      </c>
      <c r="J505" s="21">
        <f t="shared" si="15"/>
        <v>-36.125853640900459</v>
      </c>
    </row>
    <row r="506" spans="1:10">
      <c r="A506" t="s">
        <v>193</v>
      </c>
      <c r="B506" t="s">
        <v>195</v>
      </c>
      <c r="C506" s="18">
        <v>2045</v>
      </c>
      <c r="D506" t="s">
        <v>167</v>
      </c>
      <c r="E506" s="9">
        <v>22084.0496527713</v>
      </c>
      <c r="F506" s="9">
        <v>15310.1191263691</v>
      </c>
      <c r="G506" s="9">
        <v>21717.616521529701</v>
      </c>
      <c r="H506" s="9">
        <v>15148.297956242301</v>
      </c>
      <c r="I506" s="21">
        <f t="shared" si="14"/>
        <v>-161.82117012679919</v>
      </c>
      <c r="J506" s="21">
        <f t="shared" si="15"/>
        <v>-366.43313124159977</v>
      </c>
    </row>
    <row r="507" spans="1:10">
      <c r="A507" t="s">
        <v>193</v>
      </c>
      <c r="B507" t="s">
        <v>195</v>
      </c>
      <c r="C507" s="18">
        <v>2045</v>
      </c>
      <c r="D507" t="s">
        <v>206</v>
      </c>
      <c r="E507" s="9">
        <v>1231230.08781602</v>
      </c>
      <c r="F507" s="9">
        <v>288629.41474870499</v>
      </c>
      <c r="G507" s="9">
        <v>1224668.96644768</v>
      </c>
      <c r="H507" s="9">
        <v>287925.04322278401</v>
      </c>
      <c r="I507" s="21">
        <f t="shared" si="14"/>
        <v>-704.37152592098573</v>
      </c>
      <c r="J507" s="21">
        <f t="shared" si="15"/>
        <v>-6561.1213683399837</v>
      </c>
    </row>
    <row r="508" spans="1:10">
      <c r="A508" t="s">
        <v>193</v>
      </c>
      <c r="B508" t="s">
        <v>195</v>
      </c>
      <c r="C508" s="18">
        <v>2045</v>
      </c>
      <c r="D508" t="s">
        <v>174</v>
      </c>
      <c r="E508" s="9">
        <v>142405.198639618</v>
      </c>
      <c r="F508" s="9">
        <v>95832.105434675395</v>
      </c>
      <c r="G508" s="9">
        <v>152338.05281588601</v>
      </c>
      <c r="H508" s="9">
        <v>102935.314985138</v>
      </c>
      <c r="I508" s="21">
        <f t="shared" si="14"/>
        <v>7103.209550462605</v>
      </c>
      <c r="J508" s="21">
        <f t="shared" si="15"/>
        <v>9932.8541762680106</v>
      </c>
    </row>
    <row r="509" spans="1:10">
      <c r="A509" t="s">
        <v>193</v>
      </c>
      <c r="B509" t="s">
        <v>195</v>
      </c>
      <c r="C509" s="18">
        <v>2045</v>
      </c>
      <c r="D509" t="s">
        <v>178</v>
      </c>
      <c r="E509" s="9">
        <v>450406.73149647802</v>
      </c>
      <c r="F509" s="9">
        <v>418780.08631572599</v>
      </c>
      <c r="G509" s="9">
        <v>483723.51612219802</v>
      </c>
      <c r="H509" s="9">
        <v>449717.558047709</v>
      </c>
      <c r="I509" s="21">
        <f t="shared" si="14"/>
        <v>30937.471731983009</v>
      </c>
      <c r="J509" s="21">
        <f t="shared" si="15"/>
        <v>33316.78462572</v>
      </c>
    </row>
    <row r="510" spans="1:10">
      <c r="A510" t="s">
        <v>193</v>
      </c>
      <c r="B510" t="s">
        <v>195</v>
      </c>
      <c r="C510" s="18">
        <v>2045</v>
      </c>
      <c r="D510" t="s">
        <v>181</v>
      </c>
      <c r="E510" s="9">
        <v>777954.24425014597</v>
      </c>
      <c r="F510" s="9">
        <v>498563.844274592</v>
      </c>
      <c r="G510" s="9">
        <v>831470.21009817696</v>
      </c>
      <c r="H510" s="9">
        <v>529994.22695920803</v>
      </c>
      <c r="I510" s="21">
        <f t="shared" si="14"/>
        <v>31430.382684616023</v>
      </c>
      <c r="J510" s="21">
        <f t="shared" si="15"/>
        <v>53515.965848030988</v>
      </c>
    </row>
    <row r="511" spans="1:10">
      <c r="A511" t="s">
        <v>193</v>
      </c>
      <c r="B511" t="s">
        <v>195</v>
      </c>
      <c r="C511" s="18">
        <v>2045</v>
      </c>
      <c r="D511" t="s">
        <v>184</v>
      </c>
      <c r="E511" s="9">
        <v>605917.69548514602</v>
      </c>
      <c r="F511" s="9">
        <v>366235.81924695201</v>
      </c>
      <c r="G511" s="9">
        <v>645730.44769895996</v>
      </c>
      <c r="H511" s="9">
        <v>387750.67878189799</v>
      </c>
      <c r="I511" s="21">
        <f t="shared" si="14"/>
        <v>21514.859534945979</v>
      </c>
      <c r="J511" s="21">
        <f t="shared" si="15"/>
        <v>39812.752213813947</v>
      </c>
    </row>
    <row r="512" spans="1:10">
      <c r="A512" t="s">
        <v>193</v>
      </c>
      <c r="B512" t="s">
        <v>195</v>
      </c>
      <c r="C512" s="18">
        <v>2045</v>
      </c>
      <c r="D512" t="s">
        <v>365</v>
      </c>
      <c r="E512" s="9">
        <v>43229.828627616102</v>
      </c>
      <c r="F512" s="9">
        <v>7674.0337895098</v>
      </c>
      <c r="G512" s="9">
        <v>43190.603751316099</v>
      </c>
      <c r="H512" s="9">
        <v>7672.0682267846396</v>
      </c>
      <c r="I512" s="21">
        <f t="shared" si="14"/>
        <v>-1.9655627251604528</v>
      </c>
      <c r="J512" s="21">
        <f t="shared" si="15"/>
        <v>-39.224876300002506</v>
      </c>
    </row>
    <row r="513" spans="1:10">
      <c r="A513" t="s">
        <v>193</v>
      </c>
      <c r="B513" t="s">
        <v>195</v>
      </c>
      <c r="C513" s="18">
        <v>2046</v>
      </c>
      <c r="D513" t="s">
        <v>167</v>
      </c>
      <c r="E513" s="9">
        <v>22613.169817758499</v>
      </c>
      <c r="F513" s="9">
        <v>15617.677907555901</v>
      </c>
      <c r="G513" s="9">
        <v>22210.974521910699</v>
      </c>
      <c r="H513" s="9">
        <v>15436.8918612077</v>
      </c>
      <c r="I513" s="21">
        <f t="shared" si="14"/>
        <v>-180.78604634820113</v>
      </c>
      <c r="J513" s="21">
        <f t="shared" si="15"/>
        <v>-402.19529584779957</v>
      </c>
    </row>
    <row r="514" spans="1:10">
      <c r="A514" t="s">
        <v>193</v>
      </c>
      <c r="B514" t="s">
        <v>195</v>
      </c>
      <c r="C514" s="18">
        <v>2046</v>
      </c>
      <c r="D514" t="s">
        <v>206</v>
      </c>
      <c r="E514" s="9">
        <v>1237154.4825556199</v>
      </c>
      <c r="F514" s="9">
        <v>295965.43767968001</v>
      </c>
      <c r="G514" s="9">
        <v>1230125.0687766999</v>
      </c>
      <c r="H514" s="9">
        <v>295165.87720880198</v>
      </c>
      <c r="I514" s="21">
        <f t="shared" ref="I514:I577" si="16">H514-F514</f>
        <v>-799.56047087803017</v>
      </c>
      <c r="J514" s="21">
        <f t="shared" ref="J514:J577" si="17">G514-E514</f>
        <v>-7029.4137789199594</v>
      </c>
    </row>
    <row r="515" spans="1:10">
      <c r="A515" t="s">
        <v>193</v>
      </c>
      <c r="B515" t="s">
        <v>195</v>
      </c>
      <c r="C515" s="18">
        <v>2046</v>
      </c>
      <c r="D515" t="s">
        <v>174</v>
      </c>
      <c r="E515" s="9">
        <v>144952.79921612001</v>
      </c>
      <c r="F515" s="9">
        <v>97546.667285875796</v>
      </c>
      <c r="G515" s="9">
        <v>154919.18519988199</v>
      </c>
      <c r="H515" s="9">
        <v>104731.13398431199</v>
      </c>
      <c r="I515" s="21">
        <f t="shared" si="16"/>
        <v>7184.4666984361975</v>
      </c>
      <c r="J515" s="21">
        <f t="shared" si="17"/>
        <v>9966.3859837619821</v>
      </c>
    </row>
    <row r="516" spans="1:10">
      <c r="A516" t="s">
        <v>193</v>
      </c>
      <c r="B516" t="s">
        <v>195</v>
      </c>
      <c r="C516" s="18">
        <v>2046</v>
      </c>
      <c r="D516" t="s">
        <v>178</v>
      </c>
      <c r="E516" s="9">
        <v>456145.298801767</v>
      </c>
      <c r="F516" s="9">
        <v>424173.509870351</v>
      </c>
      <c r="G516" s="9">
        <v>489559.56948849699</v>
      </c>
      <c r="H516" s="9">
        <v>455310.080020589</v>
      </c>
      <c r="I516" s="21">
        <f t="shared" si="16"/>
        <v>31136.570150237996</v>
      </c>
      <c r="J516" s="21">
        <f t="shared" si="17"/>
        <v>33414.270686729986</v>
      </c>
    </row>
    <row r="517" spans="1:10">
      <c r="A517" t="s">
        <v>193</v>
      </c>
      <c r="B517" t="s">
        <v>195</v>
      </c>
      <c r="C517" s="18">
        <v>2046</v>
      </c>
      <c r="D517" t="s">
        <v>181</v>
      </c>
      <c r="E517" s="9">
        <v>788489.41631291795</v>
      </c>
      <c r="F517" s="9">
        <v>506194.76482483197</v>
      </c>
      <c r="G517" s="9">
        <v>842022.211146035</v>
      </c>
      <c r="H517" s="9">
        <v>538440.16822828504</v>
      </c>
      <c r="I517" s="21">
        <f t="shared" si="16"/>
        <v>32245.403403453063</v>
      </c>
      <c r="J517" s="21">
        <f t="shared" si="17"/>
        <v>53532.794833117048</v>
      </c>
    </row>
    <row r="518" spans="1:10">
      <c r="A518" t="s">
        <v>193</v>
      </c>
      <c r="B518" t="s">
        <v>195</v>
      </c>
      <c r="C518" s="18">
        <v>2046</v>
      </c>
      <c r="D518" t="s">
        <v>184</v>
      </c>
      <c r="E518" s="9">
        <v>616206.54038134601</v>
      </c>
      <c r="F518" s="9">
        <v>375346.31863306201</v>
      </c>
      <c r="G518" s="9">
        <v>656023.20384824695</v>
      </c>
      <c r="H518" s="9">
        <v>397431.95060261199</v>
      </c>
      <c r="I518" s="21">
        <f t="shared" si="16"/>
        <v>22085.631969549984</v>
      </c>
      <c r="J518" s="21">
        <f t="shared" si="17"/>
        <v>39816.663466900936</v>
      </c>
    </row>
    <row r="519" spans="1:10">
      <c r="A519" t="s">
        <v>193</v>
      </c>
      <c r="B519" t="s">
        <v>195</v>
      </c>
      <c r="C519" s="18">
        <v>2046</v>
      </c>
      <c r="D519" t="s">
        <v>365</v>
      </c>
      <c r="E519" s="9">
        <v>43238.672731850304</v>
      </c>
      <c r="F519" s="9">
        <v>7695.7653556022997</v>
      </c>
      <c r="G519" s="9">
        <v>43196.310323112302</v>
      </c>
      <c r="H519" s="9">
        <v>7693.5570486562501</v>
      </c>
      <c r="I519" s="21">
        <f t="shared" si="16"/>
        <v>-2.2083069460495608</v>
      </c>
      <c r="J519" s="21">
        <f t="shared" si="17"/>
        <v>-42.36240873800125</v>
      </c>
    </row>
    <row r="520" spans="1:10">
      <c r="A520" t="s">
        <v>193</v>
      </c>
      <c r="B520" t="s">
        <v>195</v>
      </c>
      <c r="C520" s="18">
        <v>2047</v>
      </c>
      <c r="D520" t="s">
        <v>167</v>
      </c>
      <c r="E520" s="9">
        <v>23138.906742753301</v>
      </c>
      <c r="F520" s="9">
        <v>15929.2396889457</v>
      </c>
      <c r="G520" s="9">
        <v>22699.6629629007</v>
      </c>
      <c r="H520" s="9">
        <v>15728.485494730299</v>
      </c>
      <c r="I520" s="21">
        <f t="shared" si="16"/>
        <v>-200.75419421540028</v>
      </c>
      <c r="J520" s="21">
        <f t="shared" si="17"/>
        <v>-439.24377985260071</v>
      </c>
    </row>
    <row r="521" spans="1:10">
      <c r="A521" t="s">
        <v>193</v>
      </c>
      <c r="B521" t="s">
        <v>195</v>
      </c>
      <c r="C521" s="18">
        <v>2047</v>
      </c>
      <c r="D521" t="s">
        <v>206</v>
      </c>
      <c r="E521" s="9">
        <v>1242766.1512686</v>
      </c>
      <c r="F521" s="9">
        <v>303080.70725992398</v>
      </c>
      <c r="G521" s="9">
        <v>1235274.66521773</v>
      </c>
      <c r="H521" s="9">
        <v>302180.55031250097</v>
      </c>
      <c r="I521" s="21">
        <f t="shared" si="16"/>
        <v>-900.15694742300548</v>
      </c>
      <c r="J521" s="21">
        <f t="shared" si="17"/>
        <v>-7491.4860508700367</v>
      </c>
    </row>
    <row r="522" spans="1:10">
      <c r="A522" t="s">
        <v>193</v>
      </c>
      <c r="B522" t="s">
        <v>195</v>
      </c>
      <c r="C522" s="18">
        <v>2047</v>
      </c>
      <c r="D522" t="s">
        <v>174</v>
      </c>
      <c r="E522" s="9">
        <v>147444.890098948</v>
      </c>
      <c r="F522" s="9">
        <v>99232.902122304702</v>
      </c>
      <c r="G522" s="9">
        <v>157435.937342911</v>
      </c>
      <c r="H522" s="9">
        <v>106487.67776034201</v>
      </c>
      <c r="I522" s="21">
        <f t="shared" si="16"/>
        <v>7254.775638037303</v>
      </c>
      <c r="J522" s="21">
        <f t="shared" si="17"/>
        <v>9991.0472439629957</v>
      </c>
    </row>
    <row r="523" spans="1:10">
      <c r="A523" t="s">
        <v>193</v>
      </c>
      <c r="B523" t="s">
        <v>195</v>
      </c>
      <c r="C523" s="18">
        <v>2047</v>
      </c>
      <c r="D523" t="s">
        <v>178</v>
      </c>
      <c r="E523" s="9">
        <v>461565.315974914</v>
      </c>
      <c r="F523" s="9">
        <v>429243.52753475402</v>
      </c>
      <c r="G523" s="9">
        <v>495047.33168069902</v>
      </c>
      <c r="H523" s="9">
        <v>460539.427749469</v>
      </c>
      <c r="I523" s="21">
        <f t="shared" si="16"/>
        <v>31295.900214714988</v>
      </c>
      <c r="J523" s="21">
        <f t="shared" si="17"/>
        <v>33482.015705785016</v>
      </c>
    </row>
    <row r="524" spans="1:10">
      <c r="A524" t="s">
        <v>193</v>
      </c>
      <c r="B524" t="s">
        <v>195</v>
      </c>
      <c r="C524" s="18">
        <v>2047</v>
      </c>
      <c r="D524" t="s">
        <v>181</v>
      </c>
      <c r="E524" s="9">
        <v>798830.71548218699</v>
      </c>
      <c r="F524" s="9">
        <v>513900.89198374102</v>
      </c>
      <c r="G524" s="9">
        <v>852357.03689663101</v>
      </c>
      <c r="H524" s="9">
        <v>546892.884748123</v>
      </c>
      <c r="I524" s="21">
        <f t="shared" si="16"/>
        <v>32991.992764381983</v>
      </c>
      <c r="J524" s="21">
        <f t="shared" si="17"/>
        <v>53526.321414444013</v>
      </c>
    </row>
    <row r="525" spans="1:10">
      <c r="A525" t="s">
        <v>193</v>
      </c>
      <c r="B525" t="s">
        <v>195</v>
      </c>
      <c r="C525" s="18">
        <v>2047</v>
      </c>
      <c r="D525" t="s">
        <v>184</v>
      </c>
      <c r="E525" s="9">
        <v>626174.367883528</v>
      </c>
      <c r="F525" s="9">
        <v>384336.51815216697</v>
      </c>
      <c r="G525" s="9">
        <v>665960.53053760703</v>
      </c>
      <c r="H525" s="9">
        <v>406938.30985862098</v>
      </c>
      <c r="I525" s="21">
        <f t="shared" si="16"/>
        <v>22601.791706454009</v>
      </c>
      <c r="J525" s="21">
        <f t="shared" si="17"/>
        <v>39786.162654079031</v>
      </c>
    </row>
    <row r="526" spans="1:10">
      <c r="A526" t="s">
        <v>193</v>
      </c>
      <c r="B526" t="s">
        <v>195</v>
      </c>
      <c r="C526" s="18">
        <v>2047</v>
      </c>
      <c r="D526" t="s">
        <v>365</v>
      </c>
      <c r="E526" s="9">
        <v>43263.176323157801</v>
      </c>
      <c r="F526" s="9">
        <v>7718.7274079597</v>
      </c>
      <c r="G526" s="9">
        <v>43217.634192350401</v>
      </c>
      <c r="H526" s="9">
        <v>7716.2645250788601</v>
      </c>
      <c r="I526" s="21">
        <f t="shared" si="16"/>
        <v>-2.4628828808399703</v>
      </c>
      <c r="J526" s="21">
        <f t="shared" si="17"/>
        <v>-45.542130807400099</v>
      </c>
    </row>
    <row r="527" spans="1:10">
      <c r="A527" t="s">
        <v>193</v>
      </c>
      <c r="B527" t="s">
        <v>195</v>
      </c>
      <c r="C527" s="18">
        <v>2048</v>
      </c>
      <c r="D527" t="s">
        <v>167</v>
      </c>
      <c r="E527" s="9">
        <v>23657.2148578366</v>
      </c>
      <c r="F527" s="9">
        <v>16246.805457276399</v>
      </c>
      <c r="G527" s="9">
        <v>23179.777529823201</v>
      </c>
      <c r="H527" s="9">
        <v>16025.2187605858</v>
      </c>
      <c r="I527" s="21">
        <f t="shared" si="16"/>
        <v>-221.58669669059964</v>
      </c>
      <c r="J527" s="21">
        <f t="shared" si="17"/>
        <v>-477.43732801339866</v>
      </c>
    </row>
    <row r="528" spans="1:10">
      <c r="A528" t="s">
        <v>193</v>
      </c>
      <c r="B528" t="s">
        <v>195</v>
      </c>
      <c r="C528" s="18">
        <v>2048</v>
      </c>
      <c r="D528" t="s">
        <v>206</v>
      </c>
      <c r="E528" s="9">
        <v>1248155.4380922299</v>
      </c>
      <c r="F528" s="9">
        <v>309970.13597088301</v>
      </c>
      <c r="G528" s="9">
        <v>1240209.10376068</v>
      </c>
      <c r="H528" s="9">
        <v>308964.31037728197</v>
      </c>
      <c r="I528" s="21">
        <f t="shared" si="16"/>
        <v>-1005.8255936010391</v>
      </c>
      <c r="J528" s="21">
        <f t="shared" si="17"/>
        <v>-7946.3343315499369</v>
      </c>
    </row>
    <row r="529" spans="1:10">
      <c r="A529" t="s">
        <v>193</v>
      </c>
      <c r="B529" t="s">
        <v>195</v>
      </c>
      <c r="C529" s="18">
        <v>2048</v>
      </c>
      <c r="D529" t="s">
        <v>174</v>
      </c>
      <c r="E529" s="9">
        <v>149870.46469627201</v>
      </c>
      <c r="F529" s="9">
        <v>100889.81377402099</v>
      </c>
      <c r="G529" s="9">
        <v>159877.06955740901</v>
      </c>
      <c r="H529" s="9">
        <v>108205.309376064</v>
      </c>
      <c r="I529" s="21">
        <f t="shared" si="16"/>
        <v>7315.4956020430109</v>
      </c>
      <c r="J529" s="21">
        <f t="shared" si="17"/>
        <v>10006.604861136992</v>
      </c>
    </row>
    <row r="530" spans="1:10">
      <c r="A530" t="s">
        <v>193</v>
      </c>
      <c r="B530" t="s">
        <v>195</v>
      </c>
      <c r="C530" s="18">
        <v>2048</v>
      </c>
      <c r="D530" t="s">
        <v>178</v>
      </c>
      <c r="E530" s="9">
        <v>466725.65219812799</v>
      </c>
      <c r="F530" s="9">
        <v>434129.39508997102</v>
      </c>
      <c r="G530" s="9">
        <v>500251.96367663803</v>
      </c>
      <c r="H530" s="9">
        <v>465558.478994868</v>
      </c>
      <c r="I530" s="21">
        <f t="shared" si="16"/>
        <v>31429.083904896979</v>
      </c>
      <c r="J530" s="21">
        <f t="shared" si="17"/>
        <v>33526.311478510033</v>
      </c>
    </row>
    <row r="531" spans="1:10">
      <c r="A531" t="s">
        <v>193</v>
      </c>
      <c r="B531" t="s">
        <v>195</v>
      </c>
      <c r="C531" s="18">
        <v>2048</v>
      </c>
      <c r="D531" t="s">
        <v>181</v>
      </c>
      <c r="E531" s="9">
        <v>808926.96462994802</v>
      </c>
      <c r="F531" s="9">
        <v>521551.42264329299</v>
      </c>
      <c r="G531" s="9">
        <v>862421.19766606798</v>
      </c>
      <c r="H531" s="9">
        <v>555219.25427407597</v>
      </c>
      <c r="I531" s="21">
        <f t="shared" si="16"/>
        <v>33667.831630782981</v>
      </c>
      <c r="J531" s="21">
        <f t="shared" si="17"/>
        <v>53494.233036119957</v>
      </c>
    </row>
    <row r="532" spans="1:10">
      <c r="A532" t="s">
        <v>193</v>
      </c>
      <c r="B532" t="s">
        <v>195</v>
      </c>
      <c r="C532" s="18">
        <v>2048</v>
      </c>
      <c r="D532" t="s">
        <v>184</v>
      </c>
      <c r="E532" s="9">
        <v>635814.28303506295</v>
      </c>
      <c r="F532" s="9">
        <v>393159.61383037001</v>
      </c>
      <c r="G532" s="9">
        <v>675538.06713143899</v>
      </c>
      <c r="H532" s="9">
        <v>416221.14564351598</v>
      </c>
      <c r="I532" s="21">
        <f t="shared" si="16"/>
        <v>23061.531813145964</v>
      </c>
      <c r="J532" s="21">
        <f t="shared" si="17"/>
        <v>39723.784096376039</v>
      </c>
    </row>
    <row r="533" spans="1:10">
      <c r="A533" t="s">
        <v>193</v>
      </c>
      <c r="B533" t="s">
        <v>195</v>
      </c>
      <c r="C533" s="18">
        <v>2048</v>
      </c>
      <c r="D533" t="s">
        <v>365</v>
      </c>
      <c r="E533" s="9">
        <v>43295.869364840597</v>
      </c>
      <c r="F533" s="9">
        <v>7743.6976441206898</v>
      </c>
      <c r="G533" s="9">
        <v>43247.116568268502</v>
      </c>
      <c r="H533" s="9">
        <v>7740.9682323091401</v>
      </c>
      <c r="I533" s="21">
        <f t="shared" si="16"/>
        <v>-2.7294118115496531</v>
      </c>
      <c r="J533" s="21">
        <f t="shared" si="17"/>
        <v>-48.752796572094667</v>
      </c>
    </row>
    <row r="534" spans="1:10">
      <c r="A534" t="s">
        <v>193</v>
      </c>
      <c r="B534" t="s">
        <v>195</v>
      </c>
      <c r="C534" s="18">
        <v>2049</v>
      </c>
      <c r="D534" t="s">
        <v>167</v>
      </c>
      <c r="E534" s="9">
        <v>24166.943361403901</v>
      </c>
      <c r="F534" s="9">
        <v>16565.829390313502</v>
      </c>
      <c r="G534" s="9">
        <v>23650.361484044901</v>
      </c>
      <c r="H534" s="9">
        <v>16322.61151708</v>
      </c>
      <c r="I534" s="21">
        <f t="shared" si="16"/>
        <v>-243.21787323350145</v>
      </c>
      <c r="J534" s="21">
        <f t="shared" si="17"/>
        <v>-516.58187735899992</v>
      </c>
    </row>
    <row r="535" spans="1:10">
      <c r="A535" t="s">
        <v>193</v>
      </c>
      <c r="B535" t="s">
        <v>195</v>
      </c>
      <c r="C535" s="18">
        <v>2049</v>
      </c>
      <c r="D535" t="s">
        <v>206</v>
      </c>
      <c r="E535" s="9">
        <v>1253352.1519283699</v>
      </c>
      <c r="F535" s="9">
        <v>316644.84997291199</v>
      </c>
      <c r="G535" s="9">
        <v>1244958.37630862</v>
      </c>
      <c r="H535" s="9">
        <v>315528.65457465599</v>
      </c>
      <c r="I535" s="21">
        <f t="shared" si="16"/>
        <v>-1116.195398256008</v>
      </c>
      <c r="J535" s="21">
        <f t="shared" si="17"/>
        <v>-8393.7756197499111</v>
      </c>
    </row>
    <row r="536" spans="1:10">
      <c r="A536" t="s">
        <v>193</v>
      </c>
      <c r="B536" t="s">
        <v>195</v>
      </c>
      <c r="C536" s="18">
        <v>2049</v>
      </c>
      <c r="D536" t="s">
        <v>174</v>
      </c>
      <c r="E536" s="9">
        <v>152224.747050256</v>
      </c>
      <c r="F536" s="9">
        <v>102514.67531062099</v>
      </c>
      <c r="G536" s="9">
        <v>162238.134685625</v>
      </c>
      <c r="H536" s="9">
        <v>109882.371148655</v>
      </c>
      <c r="I536" s="21">
        <f t="shared" si="16"/>
        <v>7367.6958380340075</v>
      </c>
      <c r="J536" s="21">
        <f t="shared" si="17"/>
        <v>10013.387635368999</v>
      </c>
    </row>
    <row r="537" spans="1:10">
      <c r="A537" t="s">
        <v>193</v>
      </c>
      <c r="B537" t="s">
        <v>195</v>
      </c>
      <c r="C537" s="18">
        <v>2049</v>
      </c>
      <c r="D537" t="s">
        <v>178</v>
      </c>
      <c r="E537" s="9">
        <v>471664.33725745202</v>
      </c>
      <c r="F537" s="9">
        <v>438843.58716321102</v>
      </c>
      <c r="G537" s="9">
        <v>505215.90050813899</v>
      </c>
      <c r="H537" s="9">
        <v>470383.880162835</v>
      </c>
      <c r="I537" s="21">
        <f t="shared" si="16"/>
        <v>31540.292999623984</v>
      </c>
      <c r="J537" s="21">
        <f t="shared" si="17"/>
        <v>33551.563250686973</v>
      </c>
    </row>
    <row r="538" spans="1:10">
      <c r="A538" t="s">
        <v>193</v>
      </c>
      <c r="B538" t="s">
        <v>195</v>
      </c>
      <c r="C538" s="18">
        <v>2049</v>
      </c>
      <c r="D538" t="s">
        <v>181</v>
      </c>
      <c r="E538" s="9">
        <v>818613.49168160104</v>
      </c>
      <c r="F538" s="9">
        <v>529066.23351509601</v>
      </c>
      <c r="G538" s="9">
        <v>872039.41256190802</v>
      </c>
      <c r="H538" s="9">
        <v>563337.76559367101</v>
      </c>
      <c r="I538" s="21">
        <f t="shared" si="16"/>
        <v>34271.532078574994</v>
      </c>
      <c r="J538" s="21">
        <f t="shared" si="17"/>
        <v>53425.920880306978</v>
      </c>
    </row>
    <row r="539" spans="1:10">
      <c r="A539" t="s">
        <v>193</v>
      </c>
      <c r="B539" t="s">
        <v>195</v>
      </c>
      <c r="C539" s="18">
        <v>2049</v>
      </c>
      <c r="D539" t="s">
        <v>184</v>
      </c>
      <c r="E539" s="9">
        <v>645164.36961462302</v>
      </c>
      <c r="F539" s="9">
        <v>401748.13224191801</v>
      </c>
      <c r="G539" s="9">
        <v>684799.51924341801</v>
      </c>
      <c r="H539" s="9">
        <v>425211.29480666103</v>
      </c>
      <c r="I539" s="21">
        <f t="shared" si="16"/>
        <v>23463.162564743019</v>
      </c>
      <c r="J539" s="21">
        <f t="shared" si="17"/>
        <v>39635.149628794985</v>
      </c>
    </row>
    <row r="540" spans="1:10">
      <c r="A540" t="s">
        <v>193</v>
      </c>
      <c r="B540" t="s">
        <v>195</v>
      </c>
      <c r="C540" s="18">
        <v>2049</v>
      </c>
      <c r="D540" t="s">
        <v>365</v>
      </c>
      <c r="E540" s="9">
        <v>43339.672881086401</v>
      </c>
      <c r="F540" s="9">
        <v>7767.4328192275398</v>
      </c>
      <c r="G540" s="9">
        <v>43287.694118175197</v>
      </c>
      <c r="H540" s="9">
        <v>7764.4250577338198</v>
      </c>
      <c r="I540" s="21">
        <f t="shared" si="16"/>
        <v>-3.0077614937199542</v>
      </c>
      <c r="J540" s="21">
        <f t="shared" si="17"/>
        <v>-51.978762911203376</v>
      </c>
    </row>
    <row r="541" spans="1:10">
      <c r="A541" t="s">
        <v>193</v>
      </c>
      <c r="B541" t="s">
        <v>195</v>
      </c>
      <c r="C541" s="18">
        <v>2050</v>
      </c>
      <c r="D541" t="s">
        <v>167</v>
      </c>
      <c r="E541" s="9">
        <v>24666.9409994376</v>
      </c>
      <c r="F541" s="9">
        <v>16884.476880476199</v>
      </c>
      <c r="G541" s="9">
        <v>24110.4306261692</v>
      </c>
      <c r="H541" s="9">
        <v>16618.923709126098</v>
      </c>
      <c r="I541" s="21">
        <f t="shared" si="16"/>
        <v>-265.55317135010046</v>
      </c>
      <c r="J541" s="21">
        <f t="shared" si="17"/>
        <v>-556.51037326840014</v>
      </c>
    </row>
    <row r="542" spans="1:10">
      <c r="A542" t="s">
        <v>193</v>
      </c>
      <c r="B542" t="s">
        <v>195</v>
      </c>
      <c r="C542" s="18">
        <v>2050</v>
      </c>
      <c r="D542" t="s">
        <v>206</v>
      </c>
      <c r="E542" s="9">
        <v>1258408.5183741199</v>
      </c>
      <c r="F542" s="9">
        <v>323097.03180775797</v>
      </c>
      <c r="G542" s="9">
        <v>1249574.9812984299</v>
      </c>
      <c r="H542" s="9">
        <v>321866.14542390499</v>
      </c>
      <c r="I542" s="21">
        <f t="shared" si="16"/>
        <v>-1230.8863838529796</v>
      </c>
      <c r="J542" s="21">
        <f t="shared" si="17"/>
        <v>-8833.5370756899938</v>
      </c>
    </row>
    <row r="543" spans="1:10">
      <c r="A543" t="s">
        <v>193</v>
      </c>
      <c r="B543" t="s">
        <v>195</v>
      </c>
      <c r="C543" s="18">
        <v>2050</v>
      </c>
      <c r="D543" t="s">
        <v>174</v>
      </c>
      <c r="E543" s="9">
        <v>154514.48767576</v>
      </c>
      <c r="F543" s="9">
        <v>104085.448436633</v>
      </c>
      <c r="G543" s="9">
        <v>164526.94959842</v>
      </c>
      <c r="H543" s="9">
        <v>111496.260054028</v>
      </c>
      <c r="I543" s="21">
        <f t="shared" si="16"/>
        <v>7410.8116173949966</v>
      </c>
      <c r="J543" s="21">
        <f t="shared" si="17"/>
        <v>10012.461922660004</v>
      </c>
    </row>
    <row r="544" spans="1:10">
      <c r="A544" t="s">
        <v>193</v>
      </c>
      <c r="B544" t="s">
        <v>195</v>
      </c>
      <c r="C544" s="18">
        <v>2050</v>
      </c>
      <c r="D544" t="s">
        <v>178</v>
      </c>
      <c r="E544" s="9">
        <v>476366.19007145701</v>
      </c>
      <c r="F544" s="9">
        <v>443270.38487357402</v>
      </c>
      <c r="G544" s="9">
        <v>509923.79465326603</v>
      </c>
      <c r="H544" s="9">
        <v>474893.25455494301</v>
      </c>
      <c r="I544" s="21">
        <f t="shared" si="16"/>
        <v>31622.869681368989</v>
      </c>
      <c r="J544" s="21">
        <f t="shared" si="17"/>
        <v>33557.604581809021</v>
      </c>
    </row>
    <row r="545" spans="1:10">
      <c r="A545" t="s">
        <v>193</v>
      </c>
      <c r="B545" t="s">
        <v>195</v>
      </c>
      <c r="C545" s="18">
        <v>2050</v>
      </c>
      <c r="D545" t="s">
        <v>181</v>
      </c>
      <c r="E545" s="9">
        <v>827894.99632993795</v>
      </c>
      <c r="F545" s="9">
        <v>536493.15864464606</v>
      </c>
      <c r="G545" s="9">
        <v>881220.21017861494</v>
      </c>
      <c r="H545" s="9">
        <v>571305.13066545594</v>
      </c>
      <c r="I545" s="21">
        <f t="shared" si="16"/>
        <v>34811.972020809888</v>
      </c>
      <c r="J545" s="21">
        <f t="shared" si="17"/>
        <v>53325.213848676998</v>
      </c>
    </row>
    <row r="546" spans="1:10">
      <c r="A546" t="s">
        <v>193</v>
      </c>
      <c r="B546" t="s">
        <v>195</v>
      </c>
      <c r="C546" s="18">
        <v>2050</v>
      </c>
      <c r="D546" t="s">
        <v>184</v>
      </c>
      <c r="E546" s="9">
        <v>654304.81791258196</v>
      </c>
      <c r="F546" s="9">
        <v>410117.68585047498</v>
      </c>
      <c r="G546" s="9">
        <v>693833.37581002596</v>
      </c>
      <c r="H546" s="9">
        <v>433928.11684243701</v>
      </c>
      <c r="I546" s="21">
        <f t="shared" si="16"/>
        <v>23810.430991962028</v>
      </c>
      <c r="J546" s="21">
        <f t="shared" si="17"/>
        <v>39528.557897444</v>
      </c>
    </row>
    <row r="547" spans="1:10">
      <c r="A547" t="s">
        <v>193</v>
      </c>
      <c r="B547" t="s">
        <v>195</v>
      </c>
      <c r="C547" s="18">
        <v>2050</v>
      </c>
      <c r="D547" t="s">
        <v>365</v>
      </c>
      <c r="E547" s="9">
        <v>43392.5421286739</v>
      </c>
      <c r="F547" s="9">
        <v>7788.8898478124802</v>
      </c>
      <c r="G547" s="9">
        <v>43337.334071848098</v>
      </c>
      <c r="H547" s="9">
        <v>7785.5925162465101</v>
      </c>
      <c r="I547" s="21">
        <f t="shared" si="16"/>
        <v>-3.2973315659701257</v>
      </c>
      <c r="J547" s="21">
        <f t="shared" si="17"/>
        <v>-55.208056825802487</v>
      </c>
    </row>
    <row r="548" spans="1:10" hidden="1">
      <c r="A548" t="s">
        <v>201</v>
      </c>
      <c r="B548" t="s">
        <v>203</v>
      </c>
      <c r="C548" s="18">
        <v>2025</v>
      </c>
      <c r="D548" t="s">
        <v>167</v>
      </c>
      <c r="E548" s="9">
        <v>12347.3896757033</v>
      </c>
      <c r="F548" s="9">
        <v>8975.3084972287597</v>
      </c>
      <c r="G548" s="9">
        <v>12347.3896757033</v>
      </c>
      <c r="H548" s="9">
        <v>8975.3084972287597</v>
      </c>
      <c r="I548" s="21">
        <f t="shared" si="16"/>
        <v>0</v>
      </c>
      <c r="J548" s="21">
        <f t="shared" si="17"/>
        <v>0</v>
      </c>
    </row>
    <row r="549" spans="1:10" hidden="1">
      <c r="A549" t="s">
        <v>201</v>
      </c>
      <c r="B549" t="s">
        <v>203</v>
      </c>
      <c r="C549" s="18">
        <v>2025</v>
      </c>
      <c r="D549" t="s">
        <v>206</v>
      </c>
      <c r="E549" s="9">
        <v>1026043.97207164</v>
      </c>
      <c r="F549" s="9">
        <v>129403.02283067199</v>
      </c>
      <c r="G549" s="9">
        <v>1026043.97207164</v>
      </c>
      <c r="H549" s="9">
        <v>129403.02283067199</v>
      </c>
      <c r="I549" s="21">
        <f t="shared" si="16"/>
        <v>0</v>
      </c>
      <c r="J549" s="21">
        <f t="shared" si="17"/>
        <v>0</v>
      </c>
    </row>
    <row r="550" spans="1:10" hidden="1">
      <c r="A550" t="s">
        <v>201</v>
      </c>
      <c r="B550" t="s">
        <v>203</v>
      </c>
      <c r="C550" s="18">
        <v>2025</v>
      </c>
      <c r="D550" t="s">
        <v>174</v>
      </c>
      <c r="E550" s="9">
        <v>91684.509014274605</v>
      </c>
      <c r="F550" s="9">
        <v>63318.751825202096</v>
      </c>
      <c r="G550" s="9">
        <v>91684.509014274605</v>
      </c>
      <c r="H550" s="9">
        <v>63318.751825202096</v>
      </c>
      <c r="I550" s="21">
        <f t="shared" si="16"/>
        <v>0</v>
      </c>
      <c r="J550" s="21">
        <f t="shared" si="17"/>
        <v>0</v>
      </c>
    </row>
    <row r="551" spans="1:10" hidden="1">
      <c r="A551" t="s">
        <v>201</v>
      </c>
      <c r="B551" t="s">
        <v>203</v>
      </c>
      <c r="C551" s="18">
        <v>2025</v>
      </c>
      <c r="D551" t="s">
        <v>178</v>
      </c>
      <c r="E551" s="9">
        <v>327817.99211152899</v>
      </c>
      <c r="F551" s="9">
        <v>300216.82861998002</v>
      </c>
      <c r="G551" s="9">
        <v>327817.99211152899</v>
      </c>
      <c r="H551" s="9">
        <v>300216.82861998002</v>
      </c>
      <c r="I551" s="21">
        <f t="shared" si="16"/>
        <v>0</v>
      </c>
      <c r="J551" s="21">
        <f t="shared" si="17"/>
        <v>0</v>
      </c>
    </row>
    <row r="552" spans="1:10" hidden="1">
      <c r="A552" t="s">
        <v>201</v>
      </c>
      <c r="B552" t="s">
        <v>203</v>
      </c>
      <c r="C552" s="18">
        <v>2025</v>
      </c>
      <c r="D552" t="s">
        <v>181</v>
      </c>
      <c r="E552" s="9">
        <v>563964.12892884796</v>
      </c>
      <c r="F552" s="9">
        <v>321188.16298793198</v>
      </c>
      <c r="G552" s="9">
        <v>563964.12892884796</v>
      </c>
      <c r="H552" s="9">
        <v>321188.16298793198</v>
      </c>
      <c r="I552" s="21">
        <f t="shared" si="16"/>
        <v>0</v>
      </c>
      <c r="J552" s="21">
        <f t="shared" si="17"/>
        <v>0</v>
      </c>
    </row>
    <row r="553" spans="1:10" hidden="1">
      <c r="A553" t="s">
        <v>201</v>
      </c>
      <c r="B553" t="s">
        <v>203</v>
      </c>
      <c r="C553" s="18">
        <v>2025</v>
      </c>
      <c r="D553" t="s">
        <v>184</v>
      </c>
      <c r="E553" s="9">
        <v>396205.91279756802</v>
      </c>
      <c r="F553" s="9">
        <v>191954.71357959701</v>
      </c>
      <c r="G553" s="9">
        <v>396205.91279756802</v>
      </c>
      <c r="H553" s="9">
        <v>191954.71357959701</v>
      </c>
      <c r="I553" s="21">
        <f t="shared" si="16"/>
        <v>0</v>
      </c>
      <c r="J553" s="21">
        <f t="shared" si="17"/>
        <v>0</v>
      </c>
    </row>
    <row r="554" spans="1:10" hidden="1">
      <c r="A554" t="s">
        <v>201</v>
      </c>
      <c r="B554" t="s">
        <v>203</v>
      </c>
      <c r="C554" s="18">
        <v>2025</v>
      </c>
      <c r="D554" t="s">
        <v>365</v>
      </c>
      <c r="E554" s="9">
        <v>44024.855784556101</v>
      </c>
      <c r="F554" s="9">
        <v>6961.0286695127397</v>
      </c>
      <c r="G554" s="9">
        <v>44024.855784556101</v>
      </c>
      <c r="H554" s="9">
        <v>6961.0286695127397</v>
      </c>
      <c r="I554" s="21">
        <f t="shared" si="16"/>
        <v>0</v>
      </c>
      <c r="J554" s="21">
        <f t="shared" si="17"/>
        <v>0</v>
      </c>
    </row>
    <row r="555" spans="1:10" hidden="1">
      <c r="A555" t="s">
        <v>201</v>
      </c>
      <c r="B555" t="s">
        <v>203</v>
      </c>
      <c r="C555" s="18">
        <v>2026</v>
      </c>
      <c r="D555" t="s">
        <v>167</v>
      </c>
      <c r="E555" s="9">
        <v>12812.507871628</v>
      </c>
      <c r="F555" s="9">
        <v>9308.2642091095495</v>
      </c>
      <c r="G555" s="9">
        <v>12812.507871628</v>
      </c>
      <c r="H555" s="9">
        <v>9308.2642091095495</v>
      </c>
      <c r="I555" s="21">
        <f t="shared" si="16"/>
        <v>0</v>
      </c>
      <c r="J555" s="21">
        <f t="shared" si="17"/>
        <v>0</v>
      </c>
    </row>
    <row r="556" spans="1:10" hidden="1">
      <c r="A556" t="s">
        <v>201</v>
      </c>
      <c r="B556" t="s">
        <v>203</v>
      </c>
      <c r="C556" s="18">
        <v>2026</v>
      </c>
      <c r="D556" t="s">
        <v>206</v>
      </c>
      <c r="E556" s="9">
        <v>1040293.9343253101</v>
      </c>
      <c r="F556" s="9">
        <v>137191.89613692299</v>
      </c>
      <c r="G556" s="9">
        <v>1040956.74283153</v>
      </c>
      <c r="H556" s="9">
        <v>137191.89613692299</v>
      </c>
      <c r="I556" s="21">
        <f t="shared" si="16"/>
        <v>0</v>
      </c>
      <c r="J556" s="21">
        <f t="shared" si="17"/>
        <v>662.80850621999707</v>
      </c>
    </row>
    <row r="557" spans="1:10" hidden="1">
      <c r="A557" t="s">
        <v>201</v>
      </c>
      <c r="B557" t="s">
        <v>203</v>
      </c>
      <c r="C557" s="18">
        <v>2026</v>
      </c>
      <c r="D557" t="s">
        <v>174</v>
      </c>
      <c r="E557" s="9">
        <v>95041.029497837793</v>
      </c>
      <c r="F557" s="9">
        <v>65164.470413401701</v>
      </c>
      <c r="G557" s="9">
        <v>95077.183303526501</v>
      </c>
      <c r="H557" s="9">
        <v>65164.470413401701</v>
      </c>
      <c r="I557" s="21">
        <f t="shared" si="16"/>
        <v>0</v>
      </c>
      <c r="J557" s="21">
        <f t="shared" si="17"/>
        <v>36.153805688707507</v>
      </c>
    </row>
    <row r="558" spans="1:10" hidden="1">
      <c r="A558" t="s">
        <v>201</v>
      </c>
      <c r="B558" t="s">
        <v>203</v>
      </c>
      <c r="C558" s="18">
        <v>2026</v>
      </c>
      <c r="D558" t="s">
        <v>178</v>
      </c>
      <c r="E558" s="9">
        <v>336773.503057466</v>
      </c>
      <c r="F558" s="9">
        <v>308606.943045308</v>
      </c>
      <c r="G558" s="9">
        <v>336875.42349560501</v>
      </c>
      <c r="H558" s="9">
        <v>308606.943045308</v>
      </c>
      <c r="I558" s="21">
        <f t="shared" si="16"/>
        <v>0</v>
      </c>
      <c r="J558" s="21">
        <f t="shared" si="17"/>
        <v>101.92043813900091</v>
      </c>
    </row>
    <row r="559" spans="1:10" hidden="1">
      <c r="A559" t="s">
        <v>201</v>
      </c>
      <c r="B559" t="s">
        <v>203</v>
      </c>
      <c r="C559" s="18">
        <v>2026</v>
      </c>
      <c r="D559" t="s">
        <v>181</v>
      </c>
      <c r="E559" s="9">
        <v>579811.91724778595</v>
      </c>
      <c r="F559" s="9">
        <v>332896.18576831103</v>
      </c>
      <c r="G559" s="9">
        <v>580111.54195764905</v>
      </c>
      <c r="H559" s="9">
        <v>332896.18576831103</v>
      </c>
      <c r="I559" s="21">
        <f t="shared" si="16"/>
        <v>0</v>
      </c>
      <c r="J559" s="21">
        <f t="shared" si="17"/>
        <v>299.62470986309927</v>
      </c>
    </row>
    <row r="560" spans="1:10" hidden="1">
      <c r="A560" t="s">
        <v>201</v>
      </c>
      <c r="B560" t="s">
        <v>203</v>
      </c>
      <c r="C560" s="18">
        <v>2026</v>
      </c>
      <c r="D560" t="s">
        <v>184</v>
      </c>
      <c r="E560" s="9">
        <v>409720.955077964</v>
      </c>
      <c r="F560" s="9">
        <v>202008.19978323701</v>
      </c>
      <c r="G560" s="9">
        <v>409829.87281699001</v>
      </c>
      <c r="H560" s="9">
        <v>202008.19978323701</v>
      </c>
      <c r="I560" s="21">
        <f t="shared" si="16"/>
        <v>0</v>
      </c>
      <c r="J560" s="21">
        <f t="shared" si="17"/>
        <v>108.91773902601562</v>
      </c>
    </row>
    <row r="561" spans="1:10" hidden="1">
      <c r="A561" t="s">
        <v>201</v>
      </c>
      <c r="B561" t="s">
        <v>203</v>
      </c>
      <c r="C561" s="18">
        <v>2026</v>
      </c>
      <c r="D561" t="s">
        <v>365</v>
      </c>
      <c r="E561" s="9">
        <v>44219.170751765298</v>
      </c>
      <c r="F561" s="9">
        <v>7023.7712687228704</v>
      </c>
      <c r="G561" s="9">
        <v>44219.170751765298</v>
      </c>
      <c r="H561" s="9">
        <v>7023.7712687228704</v>
      </c>
      <c r="I561" s="21">
        <f t="shared" si="16"/>
        <v>0</v>
      </c>
      <c r="J561" s="21">
        <f t="shared" si="17"/>
        <v>0</v>
      </c>
    </row>
    <row r="562" spans="1:10" hidden="1">
      <c r="A562" t="s">
        <v>201</v>
      </c>
      <c r="B562" t="s">
        <v>203</v>
      </c>
      <c r="C562" s="18">
        <v>2027</v>
      </c>
      <c r="D562" t="s">
        <v>167</v>
      </c>
      <c r="E562" s="9">
        <v>13273.481772584</v>
      </c>
      <c r="F562" s="9">
        <v>9640.7153077701696</v>
      </c>
      <c r="G562" s="9">
        <v>13273.481772584</v>
      </c>
      <c r="H562" s="9">
        <v>9640.7153077701696</v>
      </c>
      <c r="I562" s="21">
        <f t="shared" si="16"/>
        <v>0</v>
      </c>
      <c r="J562" s="21">
        <f t="shared" si="17"/>
        <v>0</v>
      </c>
    </row>
    <row r="563" spans="1:10" hidden="1">
      <c r="A563" t="s">
        <v>201</v>
      </c>
      <c r="B563" t="s">
        <v>203</v>
      </c>
      <c r="C563" s="18">
        <v>2027</v>
      </c>
      <c r="D563" t="s">
        <v>206</v>
      </c>
      <c r="E563" s="9">
        <v>1053916.5813658601</v>
      </c>
      <c r="F563" s="9">
        <v>145082.704176156</v>
      </c>
      <c r="G563" s="9">
        <v>1055255.40879996</v>
      </c>
      <c r="H563" s="9">
        <v>145087.13077641799</v>
      </c>
      <c r="I563" s="21">
        <f t="shared" si="16"/>
        <v>4.4266002619988285</v>
      </c>
      <c r="J563" s="21">
        <f t="shared" si="17"/>
        <v>1338.8274340999778</v>
      </c>
    </row>
    <row r="564" spans="1:10" hidden="1">
      <c r="A564" t="s">
        <v>201</v>
      </c>
      <c r="B564" t="s">
        <v>203</v>
      </c>
      <c r="C564" s="18">
        <v>2027</v>
      </c>
      <c r="D564" t="s">
        <v>174</v>
      </c>
      <c r="E564" s="9">
        <v>98374.031811180699</v>
      </c>
      <c r="F564" s="9">
        <v>67061.884145643198</v>
      </c>
      <c r="G564" s="9">
        <v>98448.827883966893</v>
      </c>
      <c r="H564" s="9">
        <v>67068.016908610196</v>
      </c>
      <c r="I564" s="21">
        <f t="shared" si="16"/>
        <v>6.1327629669976886</v>
      </c>
      <c r="J564" s="21">
        <f t="shared" si="17"/>
        <v>74.79607278619369</v>
      </c>
    </row>
    <row r="565" spans="1:10" hidden="1">
      <c r="A565" t="s">
        <v>201</v>
      </c>
      <c r="B565" t="s">
        <v>203</v>
      </c>
      <c r="C565" s="18">
        <v>2027</v>
      </c>
      <c r="D565" t="s">
        <v>178</v>
      </c>
      <c r="E565" s="9">
        <v>345727.71002862102</v>
      </c>
      <c r="F565" s="9">
        <v>317074.65390124702</v>
      </c>
      <c r="G565" s="9">
        <v>345936.70671640302</v>
      </c>
      <c r="H565" s="9">
        <v>317119.55355255498</v>
      </c>
      <c r="I565" s="21">
        <f t="shared" si="16"/>
        <v>44.899651307961904</v>
      </c>
      <c r="J565" s="21">
        <f t="shared" si="17"/>
        <v>208.99668778199703</v>
      </c>
    </row>
    <row r="566" spans="1:10" hidden="1">
      <c r="A566" t="s">
        <v>201</v>
      </c>
      <c r="B566" t="s">
        <v>203</v>
      </c>
      <c r="C566" s="18">
        <v>2027</v>
      </c>
      <c r="D566" t="s">
        <v>181</v>
      </c>
      <c r="E566" s="9">
        <v>595535.22705092398</v>
      </c>
      <c r="F566" s="9">
        <v>344497.93091764703</v>
      </c>
      <c r="G566" s="9">
        <v>596148.83233467594</v>
      </c>
      <c r="H566" s="9">
        <v>344517.274659827</v>
      </c>
      <c r="I566" s="21">
        <f t="shared" si="16"/>
        <v>19.343742179975379</v>
      </c>
      <c r="J566" s="21">
        <f t="shared" si="17"/>
        <v>613.60528375196736</v>
      </c>
    </row>
    <row r="567" spans="1:10" hidden="1">
      <c r="A567" t="s">
        <v>201</v>
      </c>
      <c r="B567" t="s">
        <v>203</v>
      </c>
      <c r="C567" s="18">
        <v>2027</v>
      </c>
      <c r="D567" t="s">
        <v>184</v>
      </c>
      <c r="E567" s="9">
        <v>423260.792543057</v>
      </c>
      <c r="F567" s="9">
        <v>211987.085155345</v>
      </c>
      <c r="G567" s="9">
        <v>423485.10132199898</v>
      </c>
      <c r="H567" s="9">
        <v>211995.48802417101</v>
      </c>
      <c r="I567" s="21">
        <f t="shared" si="16"/>
        <v>8.4028688260004856</v>
      </c>
      <c r="J567" s="21">
        <f t="shared" si="17"/>
        <v>224.30877894198056</v>
      </c>
    </row>
    <row r="568" spans="1:10" hidden="1">
      <c r="A568" t="s">
        <v>201</v>
      </c>
      <c r="B568" t="s">
        <v>203</v>
      </c>
      <c r="C568" s="18">
        <v>2027</v>
      </c>
      <c r="D568" t="s">
        <v>365</v>
      </c>
      <c r="E568" s="9">
        <v>44384.2018393689</v>
      </c>
      <c r="F568" s="9">
        <v>7080.0570056816796</v>
      </c>
      <c r="G568" s="9">
        <v>44384.2018393689</v>
      </c>
      <c r="H568" s="9">
        <v>7080.0570056816796</v>
      </c>
      <c r="I568" s="21">
        <f t="shared" si="16"/>
        <v>0</v>
      </c>
      <c r="J568" s="21">
        <f t="shared" si="17"/>
        <v>0</v>
      </c>
    </row>
    <row r="569" spans="1:10" hidden="1">
      <c r="A569" t="s">
        <v>201</v>
      </c>
      <c r="B569" t="s">
        <v>203</v>
      </c>
      <c r="C569" s="18">
        <v>2028</v>
      </c>
      <c r="D569" t="s">
        <v>167</v>
      </c>
      <c r="E569" s="9">
        <v>13729.5274318709</v>
      </c>
      <c r="F569" s="9">
        <v>9971.4547216338906</v>
      </c>
      <c r="G569" s="9">
        <v>13729.5005000864</v>
      </c>
      <c r="H569" s="9">
        <v>9971.4547216338906</v>
      </c>
      <c r="I569" s="21">
        <f t="shared" si="16"/>
        <v>0</v>
      </c>
      <c r="J569" s="21">
        <f t="shared" si="17"/>
        <v>-2.693178449953848E-2</v>
      </c>
    </row>
    <row r="570" spans="1:10" hidden="1">
      <c r="A570" t="s">
        <v>201</v>
      </c>
      <c r="B570" t="s">
        <v>203</v>
      </c>
      <c r="C570" s="18">
        <v>2028</v>
      </c>
      <c r="D570" t="s">
        <v>206</v>
      </c>
      <c r="E570" s="9">
        <v>1066978.6817143201</v>
      </c>
      <c r="F570" s="9">
        <v>153064.30952137601</v>
      </c>
      <c r="G570" s="9">
        <v>1069005.07088018</v>
      </c>
      <c r="H570" s="9">
        <v>153077.86738724401</v>
      </c>
      <c r="I570" s="21">
        <f t="shared" si="16"/>
        <v>13.557865868002409</v>
      </c>
      <c r="J570" s="21">
        <f t="shared" si="17"/>
        <v>2026.3891658599023</v>
      </c>
    </row>
    <row r="571" spans="1:10" hidden="1">
      <c r="A571" t="s">
        <v>201</v>
      </c>
      <c r="B571" t="s">
        <v>203</v>
      </c>
      <c r="C571" s="18">
        <v>2028</v>
      </c>
      <c r="D571" t="s">
        <v>174</v>
      </c>
      <c r="E571" s="9">
        <v>101682.228497105</v>
      </c>
      <c r="F571" s="9">
        <v>69002.651943596502</v>
      </c>
      <c r="G571" s="9">
        <v>101797.96761407</v>
      </c>
      <c r="H571" s="9">
        <v>69019.933123164999</v>
      </c>
      <c r="I571" s="21">
        <f t="shared" si="16"/>
        <v>17.281179568497464</v>
      </c>
      <c r="J571" s="21">
        <f t="shared" si="17"/>
        <v>115.73911696500727</v>
      </c>
    </row>
    <row r="572" spans="1:10" hidden="1">
      <c r="A572" t="s">
        <v>201</v>
      </c>
      <c r="B572" t="s">
        <v>203</v>
      </c>
      <c r="C572" s="18">
        <v>2028</v>
      </c>
      <c r="D572" t="s">
        <v>178</v>
      </c>
      <c r="E572" s="9">
        <v>354644.54908408801</v>
      </c>
      <c r="F572" s="9">
        <v>325579.686420782</v>
      </c>
      <c r="G572" s="9">
        <v>354965.53581913299</v>
      </c>
      <c r="H572" s="9">
        <v>325690.68301689299</v>
      </c>
      <c r="I572" s="21">
        <f t="shared" si="16"/>
        <v>110.99659611098468</v>
      </c>
      <c r="J572" s="21">
        <f t="shared" si="17"/>
        <v>320.98673504497856</v>
      </c>
    </row>
    <row r="573" spans="1:10" hidden="1">
      <c r="A573" t="s">
        <v>201</v>
      </c>
      <c r="B573" t="s">
        <v>203</v>
      </c>
      <c r="C573" s="18">
        <v>2028</v>
      </c>
      <c r="D573" t="s">
        <v>181</v>
      </c>
      <c r="E573" s="9">
        <v>611090.69288375205</v>
      </c>
      <c r="F573" s="9">
        <v>356015.96198941697</v>
      </c>
      <c r="G573" s="9">
        <v>612031.65944475099</v>
      </c>
      <c r="H573" s="9">
        <v>356073.57143805898</v>
      </c>
      <c r="I573" s="21">
        <f t="shared" si="16"/>
        <v>57.609448642004281</v>
      </c>
      <c r="J573" s="21">
        <f t="shared" si="17"/>
        <v>940.96656099893153</v>
      </c>
    </row>
    <row r="574" spans="1:10" hidden="1">
      <c r="A574" t="s">
        <v>201</v>
      </c>
      <c r="B574" t="s">
        <v>203</v>
      </c>
      <c r="C574" s="18">
        <v>2028</v>
      </c>
      <c r="D574" t="s">
        <v>184</v>
      </c>
      <c r="E574" s="9">
        <v>436814.24381426099</v>
      </c>
      <c r="F574" s="9">
        <v>221884.667220637</v>
      </c>
      <c r="G574" s="9">
        <v>437159.75519195799</v>
      </c>
      <c r="H574" s="9">
        <v>221908.95856330299</v>
      </c>
      <c r="I574" s="21">
        <f t="shared" si="16"/>
        <v>24.291342665994307</v>
      </c>
      <c r="J574" s="21">
        <f t="shared" si="17"/>
        <v>345.51137769699562</v>
      </c>
    </row>
    <row r="575" spans="1:10" hidden="1">
      <c r="A575" t="s">
        <v>201</v>
      </c>
      <c r="B575" t="s">
        <v>203</v>
      </c>
      <c r="C575" s="18">
        <v>2028</v>
      </c>
      <c r="D575" t="s">
        <v>365</v>
      </c>
      <c r="E575" s="9">
        <v>44510.068536472703</v>
      </c>
      <c r="F575" s="9">
        <v>7131.0701635649802</v>
      </c>
      <c r="G575" s="9">
        <v>44510.064962992903</v>
      </c>
      <c r="H575" s="9">
        <v>7131.0701635649802</v>
      </c>
      <c r="I575" s="21">
        <f t="shared" si="16"/>
        <v>0</v>
      </c>
      <c r="J575" s="21">
        <f t="shared" si="17"/>
        <v>-3.5734798002522439E-3</v>
      </c>
    </row>
    <row r="576" spans="1:10" hidden="1">
      <c r="A576" t="s">
        <v>201</v>
      </c>
      <c r="B576" t="s">
        <v>203</v>
      </c>
      <c r="C576" s="18">
        <v>2029</v>
      </c>
      <c r="D576" t="s">
        <v>167</v>
      </c>
      <c r="E576" s="9">
        <v>14181.5227651922</v>
      </c>
      <c r="F576" s="9">
        <v>10301.234767285099</v>
      </c>
      <c r="G576" s="9">
        <v>14181.423637546701</v>
      </c>
      <c r="H576" s="9">
        <v>10301.2295792609</v>
      </c>
      <c r="I576" s="21">
        <f t="shared" si="16"/>
        <v>-5.1880241990147624E-3</v>
      </c>
      <c r="J576" s="21">
        <f t="shared" si="17"/>
        <v>-9.9127645498811034E-2</v>
      </c>
    </row>
    <row r="577" spans="1:10" hidden="1">
      <c r="A577" t="s">
        <v>201</v>
      </c>
      <c r="B577" t="s">
        <v>203</v>
      </c>
      <c r="C577" s="18">
        <v>2029</v>
      </c>
      <c r="D577" t="s">
        <v>206</v>
      </c>
      <c r="E577" s="9">
        <v>1079528.2706081199</v>
      </c>
      <c r="F577" s="9">
        <v>161133.42705212999</v>
      </c>
      <c r="G577" s="9">
        <v>1082252.3942307399</v>
      </c>
      <c r="H577" s="9">
        <v>161161.06213209301</v>
      </c>
      <c r="I577" s="21">
        <f t="shared" si="16"/>
        <v>27.635079963016324</v>
      </c>
      <c r="J577" s="21">
        <f t="shared" si="17"/>
        <v>2724.1236226200126</v>
      </c>
    </row>
    <row r="578" spans="1:10" hidden="1">
      <c r="A578" t="s">
        <v>201</v>
      </c>
      <c r="B578" t="s">
        <v>203</v>
      </c>
      <c r="C578" s="18">
        <v>2029</v>
      </c>
      <c r="D578" t="s">
        <v>174</v>
      </c>
      <c r="E578" s="9">
        <v>104955.864990842</v>
      </c>
      <c r="F578" s="9">
        <v>71009.427272816596</v>
      </c>
      <c r="G578" s="9">
        <v>105114.693344183</v>
      </c>
      <c r="H578" s="9">
        <v>71042.054429439493</v>
      </c>
      <c r="I578" s="21">
        <f t="shared" ref="I578:I641" si="18">H578-F578</f>
        <v>32.627156622897019</v>
      </c>
      <c r="J578" s="21">
        <f t="shared" ref="J578:J641" si="19">G578-E578</f>
        <v>158.82835334099946</v>
      </c>
    </row>
    <row r="579" spans="1:10" hidden="1">
      <c r="A579" t="s">
        <v>201</v>
      </c>
      <c r="B579" t="s">
        <v>203</v>
      </c>
      <c r="C579" s="18">
        <v>2029</v>
      </c>
      <c r="D579" t="s">
        <v>178</v>
      </c>
      <c r="E579" s="9">
        <v>363458.62852850999</v>
      </c>
      <c r="F579" s="9">
        <v>334101.54046967602</v>
      </c>
      <c r="G579" s="9">
        <v>363896.20424716797</v>
      </c>
      <c r="H579" s="9">
        <v>334292.677138926</v>
      </c>
      <c r="I579" s="21">
        <f t="shared" si="18"/>
        <v>191.13666924997233</v>
      </c>
      <c r="J579" s="21">
        <f t="shared" si="19"/>
        <v>437.57571865798673</v>
      </c>
    </row>
    <row r="580" spans="1:10" hidden="1">
      <c r="A580" t="s">
        <v>201</v>
      </c>
      <c r="B580" t="s">
        <v>203</v>
      </c>
      <c r="C580" s="18">
        <v>2029</v>
      </c>
      <c r="D580" t="s">
        <v>181</v>
      </c>
      <c r="E580" s="9">
        <v>626445.42439444596</v>
      </c>
      <c r="F580" s="9">
        <v>367460.936496799</v>
      </c>
      <c r="G580" s="9">
        <v>627726.33689879405</v>
      </c>
      <c r="H580" s="9">
        <v>367575.22274735</v>
      </c>
      <c r="I580" s="21">
        <f t="shared" si="18"/>
        <v>114.28625055099837</v>
      </c>
      <c r="J580" s="21">
        <f t="shared" si="19"/>
        <v>1280.912504348089</v>
      </c>
    </row>
    <row r="581" spans="1:10" hidden="1">
      <c r="A581" t="s">
        <v>201</v>
      </c>
      <c r="B581" t="s">
        <v>203</v>
      </c>
      <c r="C581" s="18">
        <v>2029</v>
      </c>
      <c r="D581" t="s">
        <v>184</v>
      </c>
      <c r="E581" s="9">
        <v>450314.10837387899</v>
      </c>
      <c r="F581" s="9">
        <v>231660.92134180799</v>
      </c>
      <c r="G581" s="9">
        <v>450786.13401356898</v>
      </c>
      <c r="H581" s="9">
        <v>231708.01887569</v>
      </c>
      <c r="I581" s="21">
        <f t="shared" si="18"/>
        <v>47.097533882013522</v>
      </c>
      <c r="J581" s="21">
        <f t="shared" si="19"/>
        <v>472.02563968999311</v>
      </c>
    </row>
    <row r="582" spans="1:10" hidden="1">
      <c r="A582" t="s">
        <v>201</v>
      </c>
      <c r="B582" t="s">
        <v>203</v>
      </c>
      <c r="C582" s="18">
        <v>2029</v>
      </c>
      <c r="D582" t="s">
        <v>365</v>
      </c>
      <c r="E582" s="9">
        <v>44600.274575706797</v>
      </c>
      <c r="F582" s="9">
        <v>7178.2193653327704</v>
      </c>
      <c r="G582" s="9">
        <v>44600.261443595497</v>
      </c>
      <c r="H582" s="9">
        <v>7178.2193159725202</v>
      </c>
      <c r="I582" s="21">
        <f t="shared" si="18"/>
        <v>-4.9360250159224961E-5</v>
      </c>
      <c r="J582" s="21">
        <f t="shared" si="19"/>
        <v>-1.3132111300365068E-2</v>
      </c>
    </row>
    <row r="583" spans="1:10" hidden="1">
      <c r="A583" t="s">
        <v>201</v>
      </c>
      <c r="B583" t="s">
        <v>203</v>
      </c>
      <c r="C583" s="18">
        <v>2030</v>
      </c>
      <c r="D583" t="s">
        <v>167</v>
      </c>
      <c r="E583" s="9">
        <v>14631.159384458701</v>
      </c>
      <c r="F583" s="9">
        <v>10630.2930535877</v>
      </c>
      <c r="G583" s="9">
        <v>14630.9263575645</v>
      </c>
      <c r="H583" s="9">
        <v>10630.2702680602</v>
      </c>
      <c r="I583" s="21">
        <f t="shared" si="18"/>
        <v>-2.2785527500673197E-2</v>
      </c>
      <c r="J583" s="21">
        <f t="shared" si="19"/>
        <v>-0.23302689420052047</v>
      </c>
    </row>
    <row r="584" spans="1:10" hidden="1">
      <c r="A584" t="s">
        <v>201</v>
      </c>
      <c r="B584" t="s">
        <v>203</v>
      </c>
      <c r="C584" s="18">
        <v>2030</v>
      </c>
      <c r="D584" t="s">
        <v>206</v>
      </c>
      <c r="E584" s="9">
        <v>1091526.18415569</v>
      </c>
      <c r="F584" s="9">
        <v>169267.97067863401</v>
      </c>
      <c r="G584" s="9">
        <v>1094956.8444496701</v>
      </c>
      <c r="H584" s="9">
        <v>169314.83403803801</v>
      </c>
      <c r="I584" s="21">
        <f t="shared" si="18"/>
        <v>46.863359404000221</v>
      </c>
      <c r="J584" s="21">
        <f t="shared" si="19"/>
        <v>3430.6602939800359</v>
      </c>
    </row>
    <row r="585" spans="1:10" hidden="1">
      <c r="A585" t="s">
        <v>201</v>
      </c>
      <c r="B585" t="s">
        <v>203</v>
      </c>
      <c r="C585" s="18">
        <v>2030</v>
      </c>
      <c r="D585" t="s">
        <v>174</v>
      </c>
      <c r="E585" s="9">
        <v>108189.85688595301</v>
      </c>
      <c r="F585" s="9">
        <v>73069.243873943706</v>
      </c>
      <c r="G585" s="9">
        <v>108393.77376611999</v>
      </c>
      <c r="H585" s="9">
        <v>73120.8011068864</v>
      </c>
      <c r="I585" s="21">
        <f t="shared" si="18"/>
        <v>51.5572329426941</v>
      </c>
      <c r="J585" s="21">
        <f t="shared" si="19"/>
        <v>203.91688016698754</v>
      </c>
    </row>
    <row r="586" spans="1:10" hidden="1">
      <c r="A586" t="s">
        <v>201</v>
      </c>
      <c r="B586" t="s">
        <v>203</v>
      </c>
      <c r="C586" s="18">
        <v>2030</v>
      </c>
      <c r="D586" t="s">
        <v>178</v>
      </c>
      <c r="E586" s="9">
        <v>372183.299509542</v>
      </c>
      <c r="F586" s="9">
        <v>342607.93340195902</v>
      </c>
      <c r="G586" s="9">
        <v>372741.79546126397</v>
      </c>
      <c r="H586" s="9">
        <v>342889.63536639401</v>
      </c>
      <c r="I586" s="21">
        <f t="shared" si="18"/>
        <v>281.70196443499299</v>
      </c>
      <c r="J586" s="21">
        <f t="shared" si="19"/>
        <v>558.49595172196859</v>
      </c>
    </row>
    <row r="587" spans="1:10" hidden="1">
      <c r="A587" t="s">
        <v>201</v>
      </c>
      <c r="B587" t="s">
        <v>203</v>
      </c>
      <c r="C587" s="18">
        <v>2030</v>
      </c>
      <c r="D587" t="s">
        <v>181</v>
      </c>
      <c r="E587" s="9">
        <v>641521.65345434798</v>
      </c>
      <c r="F587" s="9">
        <v>378751.45733674697</v>
      </c>
      <c r="G587" s="9">
        <v>643154.21130562795</v>
      </c>
      <c r="H587" s="9">
        <v>378940.23126744502</v>
      </c>
      <c r="I587" s="21">
        <f t="shared" si="18"/>
        <v>188.77393069805112</v>
      </c>
      <c r="J587" s="21">
        <f t="shared" si="19"/>
        <v>1632.5578512799693</v>
      </c>
    </row>
    <row r="588" spans="1:10" hidden="1">
      <c r="A588" t="s">
        <v>201</v>
      </c>
      <c r="B588" t="s">
        <v>203</v>
      </c>
      <c r="C588" s="18">
        <v>2030</v>
      </c>
      <c r="D588" t="s">
        <v>184</v>
      </c>
      <c r="E588" s="9">
        <v>463757.10294047103</v>
      </c>
      <c r="F588" s="9">
        <v>241233.97332808701</v>
      </c>
      <c r="G588" s="9">
        <v>464360.51810377202</v>
      </c>
      <c r="H588" s="9">
        <v>241310.309903655</v>
      </c>
      <c r="I588" s="21">
        <f t="shared" si="18"/>
        <v>76.336575567984255</v>
      </c>
      <c r="J588" s="21">
        <f t="shared" si="19"/>
        <v>603.41516330098966</v>
      </c>
    </row>
    <row r="589" spans="1:10" hidden="1">
      <c r="A589" t="s">
        <v>201</v>
      </c>
      <c r="B589" t="s">
        <v>203</v>
      </c>
      <c r="C589" s="18">
        <v>2030</v>
      </c>
      <c r="D589" t="s">
        <v>365</v>
      </c>
      <c r="E589" s="9">
        <v>44647.299588526701</v>
      </c>
      <c r="F589" s="9">
        <v>7223.1105384401599</v>
      </c>
      <c r="G589" s="9">
        <v>44647.268915282999</v>
      </c>
      <c r="H589" s="9">
        <v>7223.1103147423601</v>
      </c>
      <c r="I589" s="21">
        <f t="shared" si="18"/>
        <v>-2.2369779981090687E-4</v>
      </c>
      <c r="J589" s="21">
        <f t="shared" si="19"/>
        <v>-3.0673243702040054E-2</v>
      </c>
    </row>
    <row r="590" spans="1:10" hidden="1">
      <c r="A590" t="s">
        <v>201</v>
      </c>
      <c r="B590" t="s">
        <v>203</v>
      </c>
      <c r="C590" s="18">
        <v>2031</v>
      </c>
      <c r="D590" t="s">
        <v>167</v>
      </c>
      <c r="E590" s="9">
        <v>15080.826430359401</v>
      </c>
      <c r="F590" s="9">
        <v>10955.486585324899</v>
      </c>
      <c r="G590" s="9">
        <v>15080.3825495532</v>
      </c>
      <c r="H590" s="9">
        <v>10955.4255331558</v>
      </c>
      <c r="I590" s="21">
        <f t="shared" si="18"/>
        <v>-6.1052169099639286E-2</v>
      </c>
      <c r="J590" s="21">
        <f t="shared" si="19"/>
        <v>-0.44388080620046821</v>
      </c>
    </row>
    <row r="591" spans="1:10" hidden="1">
      <c r="A591" t="s">
        <v>201</v>
      </c>
      <c r="B591" t="s">
        <v>203</v>
      </c>
      <c r="C591" s="18">
        <v>2031</v>
      </c>
      <c r="D591" t="s">
        <v>206</v>
      </c>
      <c r="E591" s="9">
        <v>1103586.21964829</v>
      </c>
      <c r="F591" s="9">
        <v>177439.496737404</v>
      </c>
      <c r="G591" s="9">
        <v>1107027.6916289399</v>
      </c>
      <c r="H591" s="9">
        <v>177510.90619666901</v>
      </c>
      <c r="I591" s="21">
        <f t="shared" si="18"/>
        <v>71.409459265007172</v>
      </c>
      <c r="J591" s="21">
        <f t="shared" si="19"/>
        <v>3441.4719806499779</v>
      </c>
    </row>
    <row r="592" spans="1:10" hidden="1">
      <c r="A592" t="s">
        <v>201</v>
      </c>
      <c r="B592" t="s">
        <v>203</v>
      </c>
      <c r="C592" s="18">
        <v>2031</v>
      </c>
      <c r="D592" t="s">
        <v>174</v>
      </c>
      <c r="E592" s="9">
        <v>111424.462941226</v>
      </c>
      <c r="F592" s="9">
        <v>75156.621569513401</v>
      </c>
      <c r="G592" s="9">
        <v>111632.94755435199</v>
      </c>
      <c r="H592" s="9">
        <v>75230.219664338001</v>
      </c>
      <c r="I592" s="21">
        <f t="shared" si="18"/>
        <v>73.598094824599684</v>
      </c>
      <c r="J592" s="21">
        <f t="shared" si="19"/>
        <v>208.48461312599829</v>
      </c>
    </row>
    <row r="593" spans="1:10" hidden="1">
      <c r="A593" t="s">
        <v>201</v>
      </c>
      <c r="B593" t="s">
        <v>203</v>
      </c>
      <c r="C593" s="18">
        <v>2031</v>
      </c>
      <c r="D593" t="s">
        <v>178</v>
      </c>
      <c r="E593" s="9">
        <v>380902.33519456501</v>
      </c>
      <c r="F593" s="9">
        <v>351051.94943846599</v>
      </c>
      <c r="G593" s="9">
        <v>381470.26678102103</v>
      </c>
      <c r="H593" s="9">
        <v>351432.51867295097</v>
      </c>
      <c r="I593" s="21">
        <f t="shared" si="18"/>
        <v>380.56923448498128</v>
      </c>
      <c r="J593" s="21">
        <f t="shared" si="19"/>
        <v>567.93158645601943</v>
      </c>
    </row>
    <row r="594" spans="1:10" hidden="1">
      <c r="A594" t="s">
        <v>201</v>
      </c>
      <c r="B594" t="s">
        <v>203</v>
      </c>
      <c r="C594" s="18">
        <v>2031</v>
      </c>
      <c r="D594" t="s">
        <v>181</v>
      </c>
      <c r="E594" s="9">
        <v>656626.57859579695</v>
      </c>
      <c r="F594" s="9">
        <v>389900.58208645397</v>
      </c>
      <c r="G594" s="9">
        <v>658282.14926881401</v>
      </c>
      <c r="H594" s="9">
        <v>390181.00302030199</v>
      </c>
      <c r="I594" s="21">
        <f t="shared" si="18"/>
        <v>280.4209338480141</v>
      </c>
      <c r="J594" s="21">
        <f t="shared" si="19"/>
        <v>1655.5706730170641</v>
      </c>
    </row>
    <row r="595" spans="1:10" hidden="1">
      <c r="A595" t="s">
        <v>201</v>
      </c>
      <c r="B595" t="s">
        <v>203</v>
      </c>
      <c r="C595" s="18">
        <v>2031</v>
      </c>
      <c r="D595" t="s">
        <v>184</v>
      </c>
      <c r="E595" s="9">
        <v>477166.17689462699</v>
      </c>
      <c r="F595" s="9">
        <v>250704.190705986</v>
      </c>
      <c r="G595" s="9">
        <v>477778.14604748198</v>
      </c>
      <c r="H595" s="9">
        <v>250815.78266259201</v>
      </c>
      <c r="I595" s="21">
        <f t="shared" si="18"/>
        <v>111.59195660601836</v>
      </c>
      <c r="J595" s="21">
        <f t="shared" si="19"/>
        <v>611.96915285498835</v>
      </c>
    </row>
    <row r="596" spans="1:10" hidden="1">
      <c r="A596" t="s">
        <v>201</v>
      </c>
      <c r="B596" t="s">
        <v>203</v>
      </c>
      <c r="C596" s="18">
        <v>2031</v>
      </c>
      <c r="D596" t="s">
        <v>365</v>
      </c>
      <c r="E596" s="9">
        <v>44640.405219191904</v>
      </c>
      <c r="F596" s="9">
        <v>7266.7666151488402</v>
      </c>
      <c r="G596" s="9">
        <v>44640.347295477797</v>
      </c>
      <c r="H596" s="9">
        <v>7266.7660002075399</v>
      </c>
      <c r="I596" s="21">
        <f t="shared" si="18"/>
        <v>-6.1494130022765603E-4</v>
      </c>
      <c r="J596" s="21">
        <f t="shared" si="19"/>
        <v>-5.7923714106436819E-2</v>
      </c>
    </row>
    <row r="597" spans="1:10" hidden="1">
      <c r="A597" t="s">
        <v>201</v>
      </c>
      <c r="B597" t="s">
        <v>203</v>
      </c>
      <c r="C597" s="18">
        <v>2032</v>
      </c>
      <c r="D597" t="s">
        <v>167</v>
      </c>
      <c r="E597" s="9">
        <v>15532.006656800801</v>
      </c>
      <c r="F597" s="9">
        <v>11274.623939778599</v>
      </c>
      <c r="G597" s="9">
        <v>15531.2601955666</v>
      </c>
      <c r="H597" s="9">
        <v>11274.495449735199</v>
      </c>
      <c r="I597" s="21">
        <f t="shared" si="18"/>
        <v>-0.12849004340023384</v>
      </c>
      <c r="J597" s="21">
        <f t="shared" si="19"/>
        <v>-0.74646123420097865</v>
      </c>
    </row>
    <row r="598" spans="1:10" hidden="1">
      <c r="A598" t="s">
        <v>201</v>
      </c>
      <c r="B598" t="s">
        <v>203</v>
      </c>
      <c r="C598" s="18">
        <v>2032</v>
      </c>
      <c r="D598" t="s">
        <v>206</v>
      </c>
      <c r="E598" s="9">
        <v>1115027.67061681</v>
      </c>
      <c r="F598" s="9">
        <v>185629.64201045901</v>
      </c>
      <c r="G598" s="9">
        <v>1118477.3274982399</v>
      </c>
      <c r="H598" s="9">
        <v>185725.99905880101</v>
      </c>
      <c r="I598" s="21">
        <f t="shared" si="18"/>
        <v>96.357048342004418</v>
      </c>
      <c r="J598" s="21">
        <f t="shared" si="19"/>
        <v>3449.6568814299535</v>
      </c>
    </row>
    <row r="599" spans="1:10" hidden="1">
      <c r="A599" t="s">
        <v>201</v>
      </c>
      <c r="B599" t="s">
        <v>203</v>
      </c>
      <c r="C599" s="18">
        <v>2032</v>
      </c>
      <c r="D599" t="s">
        <v>174</v>
      </c>
      <c r="E599" s="9">
        <v>114622.763734304</v>
      </c>
      <c r="F599" s="9">
        <v>77261.792492168199</v>
      </c>
      <c r="G599" s="9">
        <v>114835.221802653</v>
      </c>
      <c r="H599" s="9">
        <v>77353.061023932896</v>
      </c>
      <c r="I599" s="21">
        <f t="shared" si="18"/>
        <v>91.2685317646974</v>
      </c>
      <c r="J599" s="21">
        <f t="shared" si="19"/>
        <v>212.45806834900577</v>
      </c>
    </row>
    <row r="600" spans="1:10" hidden="1">
      <c r="A600" t="s">
        <v>201</v>
      </c>
      <c r="B600" t="s">
        <v>203</v>
      </c>
      <c r="C600" s="18">
        <v>2032</v>
      </c>
      <c r="D600" t="s">
        <v>178</v>
      </c>
      <c r="E600" s="9">
        <v>389422.20113677997</v>
      </c>
      <c r="F600" s="9">
        <v>359400.91699388297</v>
      </c>
      <c r="G600" s="9">
        <v>389998.37668875401</v>
      </c>
      <c r="H600" s="9">
        <v>359834.54685286601</v>
      </c>
      <c r="I600" s="21">
        <f t="shared" si="18"/>
        <v>433.62985898304032</v>
      </c>
      <c r="J600" s="21">
        <f t="shared" si="19"/>
        <v>576.17555197403999</v>
      </c>
    </row>
    <row r="601" spans="1:10" hidden="1">
      <c r="A601" t="s">
        <v>201</v>
      </c>
      <c r="B601" t="s">
        <v>203</v>
      </c>
      <c r="C601" s="18">
        <v>2032</v>
      </c>
      <c r="D601" t="s">
        <v>181</v>
      </c>
      <c r="E601" s="9">
        <v>671457.58091478597</v>
      </c>
      <c r="F601" s="9">
        <v>400952.84723889799</v>
      </c>
      <c r="G601" s="9">
        <v>673133.88827326603</v>
      </c>
      <c r="H601" s="9">
        <v>401318.28619347198</v>
      </c>
      <c r="I601" s="21">
        <f t="shared" si="18"/>
        <v>365.43895457399776</v>
      </c>
      <c r="J601" s="21">
        <f t="shared" si="19"/>
        <v>1676.3073584800586</v>
      </c>
    </row>
    <row r="602" spans="1:10" hidden="1">
      <c r="A602" t="s">
        <v>201</v>
      </c>
      <c r="B602" t="s">
        <v>203</v>
      </c>
      <c r="C602" s="18">
        <v>2032</v>
      </c>
      <c r="D602" t="s">
        <v>184</v>
      </c>
      <c r="E602" s="9">
        <v>490286.52676081099</v>
      </c>
      <c r="F602" s="9">
        <v>260205.39852270999</v>
      </c>
      <c r="G602" s="9">
        <v>490904.70344577997</v>
      </c>
      <c r="H602" s="9">
        <v>260346.937343717</v>
      </c>
      <c r="I602" s="21">
        <f t="shared" si="18"/>
        <v>141.53882100700866</v>
      </c>
      <c r="J602" s="21">
        <f t="shared" si="19"/>
        <v>618.17668496898841</v>
      </c>
    </row>
    <row r="603" spans="1:10" hidden="1">
      <c r="A603" t="s">
        <v>201</v>
      </c>
      <c r="B603" t="s">
        <v>203</v>
      </c>
      <c r="C603" s="18">
        <v>2032</v>
      </c>
      <c r="D603" t="s">
        <v>365</v>
      </c>
      <c r="E603" s="9">
        <v>44583.3419141673</v>
      </c>
      <c r="F603" s="9">
        <v>7308.6908917242699</v>
      </c>
      <c r="G603" s="9">
        <v>44583.245501595899</v>
      </c>
      <c r="H603" s="9">
        <v>7308.6895683399798</v>
      </c>
      <c r="I603" s="21">
        <f t="shared" si="18"/>
        <v>-1.3233842901172466E-3</v>
      </c>
      <c r="J603" s="21">
        <f t="shared" si="19"/>
        <v>-9.6412571401742753E-2</v>
      </c>
    </row>
    <row r="604" spans="1:10" hidden="1">
      <c r="A604" t="s">
        <v>201</v>
      </c>
      <c r="B604" t="s">
        <v>203</v>
      </c>
      <c r="C604" s="18">
        <v>2033</v>
      </c>
      <c r="D604" t="s">
        <v>167</v>
      </c>
      <c r="E604" s="9">
        <v>15984.835628456</v>
      </c>
      <c r="F604" s="9">
        <v>11587.1674012231</v>
      </c>
      <c r="G604" s="9">
        <v>15983.7175379286</v>
      </c>
      <c r="H604" s="9">
        <v>11586.9335708044</v>
      </c>
      <c r="I604" s="21">
        <f t="shared" si="18"/>
        <v>-0.23383041869965382</v>
      </c>
      <c r="J604" s="21">
        <f t="shared" si="19"/>
        <v>-1.118090527399545</v>
      </c>
    </row>
    <row r="605" spans="1:10" hidden="1">
      <c r="A605" t="s">
        <v>201</v>
      </c>
      <c r="B605" t="s">
        <v>203</v>
      </c>
      <c r="C605" s="18">
        <v>2033</v>
      </c>
      <c r="D605" t="s">
        <v>206</v>
      </c>
      <c r="E605" s="9">
        <v>1125777.89036169</v>
      </c>
      <c r="F605" s="9">
        <v>193831.60930112799</v>
      </c>
      <c r="G605" s="9">
        <v>1129233.47845058</v>
      </c>
      <c r="H605" s="9">
        <v>193953.224223645</v>
      </c>
      <c r="I605" s="21">
        <f t="shared" si="18"/>
        <v>121.61492251700838</v>
      </c>
      <c r="J605" s="21">
        <f t="shared" si="19"/>
        <v>3455.588088890072</v>
      </c>
    </row>
    <row r="606" spans="1:10" hidden="1">
      <c r="A606" t="s">
        <v>201</v>
      </c>
      <c r="B606" t="s">
        <v>203</v>
      </c>
      <c r="C606" s="18">
        <v>2033</v>
      </c>
      <c r="D606" t="s">
        <v>174</v>
      </c>
      <c r="E606" s="9">
        <v>117782.77192649301</v>
      </c>
      <c r="F606" s="9">
        <v>79374.8531191035</v>
      </c>
      <c r="G606" s="9">
        <v>117998.73843744201</v>
      </c>
      <c r="H606" s="9">
        <v>79480.4761690429</v>
      </c>
      <c r="I606" s="21">
        <f t="shared" si="18"/>
        <v>105.62304993940052</v>
      </c>
      <c r="J606" s="21">
        <f t="shared" si="19"/>
        <v>215.96651094900153</v>
      </c>
    </row>
    <row r="607" spans="1:10" hidden="1">
      <c r="A607" t="s">
        <v>201</v>
      </c>
      <c r="B607" t="s">
        <v>203</v>
      </c>
      <c r="C607" s="18">
        <v>2033</v>
      </c>
      <c r="D607" t="s">
        <v>178</v>
      </c>
      <c r="E607" s="9">
        <v>397770.97292067599</v>
      </c>
      <c r="F607" s="9">
        <v>367582.87027727498</v>
      </c>
      <c r="G607" s="9">
        <v>398354.344992358</v>
      </c>
      <c r="H607" s="9">
        <v>368051.62457544298</v>
      </c>
      <c r="I607" s="21">
        <f t="shared" si="18"/>
        <v>468.7542981680017</v>
      </c>
      <c r="J607" s="21">
        <f t="shared" si="19"/>
        <v>583.37207168200985</v>
      </c>
    </row>
    <row r="608" spans="1:10" hidden="1">
      <c r="A608" t="s">
        <v>201</v>
      </c>
      <c r="B608" t="s">
        <v>203</v>
      </c>
      <c r="C608" s="18">
        <v>2033</v>
      </c>
      <c r="D608" t="s">
        <v>181</v>
      </c>
      <c r="E608" s="9">
        <v>685939.53120694798</v>
      </c>
      <c r="F608" s="9">
        <v>411903.603348153</v>
      </c>
      <c r="G608" s="9">
        <v>687634.69954692596</v>
      </c>
      <c r="H608" s="9">
        <v>412348.075678578</v>
      </c>
      <c r="I608" s="21">
        <f t="shared" si="18"/>
        <v>444.47233042499283</v>
      </c>
      <c r="J608" s="21">
        <f t="shared" si="19"/>
        <v>1695.1683399779722</v>
      </c>
    </row>
    <row r="609" spans="1:10" hidden="1">
      <c r="A609" t="s">
        <v>201</v>
      </c>
      <c r="B609" t="s">
        <v>203</v>
      </c>
      <c r="C609" s="18">
        <v>2033</v>
      </c>
      <c r="D609" t="s">
        <v>184</v>
      </c>
      <c r="E609" s="9">
        <v>503128.54113799997</v>
      </c>
      <c r="F609" s="9">
        <v>269715.52662569802</v>
      </c>
      <c r="G609" s="9">
        <v>503751.109420694</v>
      </c>
      <c r="H609" s="9">
        <v>269883.407599987</v>
      </c>
      <c r="I609" s="21">
        <f t="shared" si="18"/>
        <v>167.88097428897163</v>
      </c>
      <c r="J609" s="21">
        <f t="shared" si="19"/>
        <v>622.56828269403195</v>
      </c>
    </row>
    <row r="610" spans="1:10" hidden="1">
      <c r="A610" t="s">
        <v>201</v>
      </c>
      <c r="B610" t="s">
        <v>203</v>
      </c>
      <c r="C610" s="18">
        <v>2033</v>
      </c>
      <c r="D610" t="s">
        <v>365</v>
      </c>
      <c r="E610" s="9">
        <v>44483.826649038499</v>
      </c>
      <c r="F610" s="9">
        <v>7348.0765994259</v>
      </c>
      <c r="G610" s="9">
        <v>44483.683589841297</v>
      </c>
      <c r="H610" s="9">
        <v>7348.0741473220596</v>
      </c>
      <c r="I610" s="21">
        <f t="shared" si="18"/>
        <v>-2.4521038403690909E-3</v>
      </c>
      <c r="J610" s="21">
        <f t="shared" si="19"/>
        <v>-0.14305919720209204</v>
      </c>
    </row>
    <row r="611" spans="1:10" hidden="1">
      <c r="A611" t="s">
        <v>201</v>
      </c>
      <c r="B611" t="s">
        <v>203</v>
      </c>
      <c r="C611" s="18">
        <v>2034</v>
      </c>
      <c r="D611" t="s">
        <v>167</v>
      </c>
      <c r="E611" s="9">
        <v>16438.480133963501</v>
      </c>
      <c r="F611" s="9">
        <v>11896.76059623</v>
      </c>
      <c r="G611" s="9">
        <v>16436.9312806497</v>
      </c>
      <c r="H611" s="9">
        <v>11896.382318738601</v>
      </c>
      <c r="I611" s="21">
        <f t="shared" si="18"/>
        <v>-0.3782774913997855</v>
      </c>
      <c r="J611" s="21">
        <f t="shared" si="19"/>
        <v>-1.5488533138013736</v>
      </c>
    </row>
    <row r="612" spans="1:10" hidden="1">
      <c r="A612" t="s">
        <v>201</v>
      </c>
      <c r="B612" t="s">
        <v>203</v>
      </c>
      <c r="C612" s="18">
        <v>2034</v>
      </c>
      <c r="D612" t="s">
        <v>206</v>
      </c>
      <c r="E612" s="9">
        <v>1135898.1495022699</v>
      </c>
      <c r="F612" s="9">
        <v>202000.15157626299</v>
      </c>
      <c r="G612" s="9">
        <v>1139357.0195160699</v>
      </c>
      <c r="H612" s="9">
        <v>202147.27044605001</v>
      </c>
      <c r="I612" s="21">
        <f t="shared" si="18"/>
        <v>147.11886978702387</v>
      </c>
      <c r="J612" s="21">
        <f t="shared" si="19"/>
        <v>3458.870013799984</v>
      </c>
    </row>
    <row r="613" spans="1:10" hidden="1">
      <c r="A613" t="s">
        <v>201</v>
      </c>
      <c r="B613" t="s">
        <v>203</v>
      </c>
      <c r="C613" s="18">
        <v>2034</v>
      </c>
      <c r="D613" t="s">
        <v>174</v>
      </c>
      <c r="E613" s="9">
        <v>120886.43098710501</v>
      </c>
      <c r="F613" s="9">
        <v>81477.536709590597</v>
      </c>
      <c r="G613" s="9">
        <v>121105.471839437</v>
      </c>
      <c r="H613" s="9">
        <v>81594.948233921197</v>
      </c>
      <c r="I613" s="21">
        <f t="shared" si="18"/>
        <v>117.41152433060051</v>
      </c>
      <c r="J613" s="21">
        <f t="shared" si="19"/>
        <v>219.04085233199294</v>
      </c>
    </row>
    <row r="614" spans="1:10" hidden="1">
      <c r="A614" t="s">
        <v>201</v>
      </c>
      <c r="B614" t="s">
        <v>203</v>
      </c>
      <c r="C614" s="18">
        <v>2034</v>
      </c>
      <c r="D614" t="s">
        <v>178</v>
      </c>
      <c r="E614" s="9">
        <v>405970.24566403503</v>
      </c>
      <c r="F614" s="9">
        <v>375534.27865830099</v>
      </c>
      <c r="G614" s="9">
        <v>406559.86735378799</v>
      </c>
      <c r="H614" s="9">
        <v>376028.13227833499</v>
      </c>
      <c r="I614" s="21">
        <f t="shared" si="18"/>
        <v>493.85362003400223</v>
      </c>
      <c r="J614" s="21">
        <f t="shared" si="19"/>
        <v>589.62168975296663</v>
      </c>
    </row>
    <row r="615" spans="1:10" hidden="1">
      <c r="A615" t="s">
        <v>201</v>
      </c>
      <c r="B615" t="s">
        <v>203</v>
      </c>
      <c r="C615" s="18">
        <v>2034</v>
      </c>
      <c r="D615" t="s">
        <v>181</v>
      </c>
      <c r="E615" s="9">
        <v>699979.63934239303</v>
      </c>
      <c r="F615" s="9">
        <v>422741.00303622597</v>
      </c>
      <c r="G615" s="9">
        <v>701691.67735876795</v>
      </c>
      <c r="H615" s="9">
        <v>423259.10059080599</v>
      </c>
      <c r="I615" s="21">
        <f t="shared" si="18"/>
        <v>518.09755458001746</v>
      </c>
      <c r="J615" s="21">
        <f t="shared" si="19"/>
        <v>1712.0380163749214</v>
      </c>
    </row>
    <row r="616" spans="1:10" hidden="1">
      <c r="A616" t="s">
        <v>201</v>
      </c>
      <c r="B616" t="s">
        <v>203</v>
      </c>
      <c r="C616" s="18">
        <v>2034</v>
      </c>
      <c r="D616" t="s">
        <v>184</v>
      </c>
      <c r="E616" s="9">
        <v>515781.10801411897</v>
      </c>
      <c r="F616" s="9">
        <v>279293.57220869901</v>
      </c>
      <c r="G616" s="9">
        <v>516406.53850878001</v>
      </c>
      <c r="H616" s="9">
        <v>279484.98028522899</v>
      </c>
      <c r="I616" s="21">
        <f t="shared" si="18"/>
        <v>191.40807652997319</v>
      </c>
      <c r="J616" s="21">
        <f t="shared" si="19"/>
        <v>625.43049466103548</v>
      </c>
    </row>
    <row r="617" spans="1:10" hidden="1">
      <c r="A617" t="s">
        <v>201</v>
      </c>
      <c r="B617" t="s">
        <v>203</v>
      </c>
      <c r="C617" s="18">
        <v>2034</v>
      </c>
      <c r="D617" t="s">
        <v>365</v>
      </c>
      <c r="E617" s="9">
        <v>44355.380688077603</v>
      </c>
      <c r="F617" s="9">
        <v>7385.0449842903899</v>
      </c>
      <c r="G617" s="9">
        <v>44355.184450178996</v>
      </c>
      <c r="H617" s="9">
        <v>7385.0409467521704</v>
      </c>
      <c r="I617" s="21">
        <f t="shared" si="18"/>
        <v>-4.0375382195634302E-3</v>
      </c>
      <c r="J617" s="21">
        <f t="shared" si="19"/>
        <v>-0.19623789860634133</v>
      </c>
    </row>
    <row r="618" spans="1:10" hidden="1">
      <c r="A618" t="s">
        <v>201</v>
      </c>
      <c r="B618" t="s">
        <v>203</v>
      </c>
      <c r="C618" s="18">
        <v>2035</v>
      </c>
      <c r="D618" t="s">
        <v>167</v>
      </c>
      <c r="E618" s="9">
        <v>16894.246763385701</v>
      </c>
      <c r="F618" s="9">
        <v>12203.6182783561</v>
      </c>
      <c r="G618" s="9">
        <v>16892.2141390053</v>
      </c>
      <c r="H618" s="9">
        <v>12203.057717863399</v>
      </c>
      <c r="I618" s="21">
        <f t="shared" si="18"/>
        <v>-0.5605604927004606</v>
      </c>
      <c r="J618" s="21">
        <f t="shared" si="19"/>
        <v>-2.0326243804011028</v>
      </c>
    </row>
    <row r="619" spans="1:10" hidden="1">
      <c r="A619" t="s">
        <v>201</v>
      </c>
      <c r="B619" t="s">
        <v>203</v>
      </c>
      <c r="C619" s="18">
        <v>2035</v>
      </c>
      <c r="D619" t="s">
        <v>206</v>
      </c>
      <c r="E619" s="9">
        <v>1145512.42462048</v>
      </c>
      <c r="F619" s="9">
        <v>210118.16993857</v>
      </c>
      <c r="G619" s="9">
        <v>1148972.16574985</v>
      </c>
      <c r="H619" s="9">
        <v>210290.98052792501</v>
      </c>
      <c r="I619" s="21">
        <f t="shared" si="18"/>
        <v>172.81058935500914</v>
      </c>
      <c r="J619" s="21">
        <f t="shared" si="19"/>
        <v>3459.7411293699406</v>
      </c>
    </row>
    <row r="620" spans="1:10" hidden="1">
      <c r="A620" t="s">
        <v>201</v>
      </c>
      <c r="B620" t="s">
        <v>203</v>
      </c>
      <c r="C620" s="18">
        <v>2035</v>
      </c>
      <c r="D620" t="s">
        <v>174</v>
      </c>
      <c r="E620" s="9">
        <v>123926.49276783501</v>
      </c>
      <c r="F620" s="9">
        <v>83567.938518019495</v>
      </c>
      <c r="G620" s="9">
        <v>124148.20719584401</v>
      </c>
      <c r="H620" s="9">
        <v>83695.117872879797</v>
      </c>
      <c r="I620" s="21">
        <f t="shared" si="18"/>
        <v>127.17935486030183</v>
      </c>
      <c r="J620" s="21">
        <f t="shared" si="19"/>
        <v>221.71442800899968</v>
      </c>
    </row>
    <row r="621" spans="1:10" hidden="1">
      <c r="A621" t="s">
        <v>201</v>
      </c>
      <c r="B621" t="s">
        <v>203</v>
      </c>
      <c r="C621" s="18">
        <v>2035</v>
      </c>
      <c r="D621" t="s">
        <v>178</v>
      </c>
      <c r="E621" s="9">
        <v>413938.29167947202</v>
      </c>
      <c r="F621" s="9">
        <v>383276.07106326998</v>
      </c>
      <c r="G621" s="9">
        <v>414533.16060314502</v>
      </c>
      <c r="H621" s="9">
        <v>383788.76252667198</v>
      </c>
      <c r="I621" s="21">
        <f t="shared" si="18"/>
        <v>512.69146340200678</v>
      </c>
      <c r="J621" s="21">
        <f t="shared" si="19"/>
        <v>594.86892367299879</v>
      </c>
    </row>
    <row r="622" spans="1:10" hidden="1">
      <c r="A622" t="s">
        <v>201</v>
      </c>
      <c r="B622" t="s">
        <v>203</v>
      </c>
      <c r="C622" s="18">
        <v>2035</v>
      </c>
      <c r="D622" t="s">
        <v>181</v>
      </c>
      <c r="E622" s="9">
        <v>713604.70171753096</v>
      </c>
      <c r="F622" s="9">
        <v>433495.165009288</v>
      </c>
      <c r="G622" s="9">
        <v>715331.78882210201</v>
      </c>
      <c r="H622" s="9">
        <v>434082.03155119502</v>
      </c>
      <c r="I622" s="21">
        <f t="shared" si="18"/>
        <v>586.86654190701665</v>
      </c>
      <c r="J622" s="21">
        <f t="shared" si="19"/>
        <v>1727.0871045710519</v>
      </c>
    </row>
    <row r="623" spans="1:10" hidden="1">
      <c r="A623" t="s">
        <v>201</v>
      </c>
      <c r="B623" t="s">
        <v>203</v>
      </c>
      <c r="C623" s="18">
        <v>2035</v>
      </c>
      <c r="D623" t="s">
        <v>184</v>
      </c>
      <c r="E623" s="9">
        <v>528191.53848910599</v>
      </c>
      <c r="F623" s="9">
        <v>288938.23959432502</v>
      </c>
      <c r="G623" s="9">
        <v>528818.37188395299</v>
      </c>
      <c r="H623" s="9">
        <v>289150.80243598297</v>
      </c>
      <c r="I623" s="21">
        <f t="shared" si="18"/>
        <v>212.5628416579566</v>
      </c>
      <c r="J623" s="21">
        <f t="shared" si="19"/>
        <v>626.83339484699536</v>
      </c>
    </row>
    <row r="624" spans="1:10" hidden="1">
      <c r="A624" t="s">
        <v>201</v>
      </c>
      <c r="B624" t="s">
        <v>203</v>
      </c>
      <c r="C624" s="18">
        <v>2035</v>
      </c>
      <c r="D624" t="s">
        <v>365</v>
      </c>
      <c r="E624" s="9">
        <v>44206.962132320099</v>
      </c>
      <c r="F624" s="9">
        <v>7419.9849391522202</v>
      </c>
      <c r="G624" s="9">
        <v>44206.707306712102</v>
      </c>
      <c r="H624" s="9">
        <v>7419.9788551932097</v>
      </c>
      <c r="I624" s="21">
        <f t="shared" si="18"/>
        <v>-6.0839590105388197E-3</v>
      </c>
      <c r="J624" s="21">
        <f t="shared" si="19"/>
        <v>-0.25482560799719067</v>
      </c>
    </row>
    <row r="625" spans="1:10" hidden="1">
      <c r="A625" t="s">
        <v>201</v>
      </c>
      <c r="B625" t="s">
        <v>203</v>
      </c>
      <c r="C625" s="18">
        <v>2036</v>
      </c>
      <c r="D625" t="s">
        <v>167</v>
      </c>
      <c r="E625" s="9">
        <v>17353.220146869899</v>
      </c>
      <c r="F625" s="9">
        <v>12507.6805784598</v>
      </c>
      <c r="G625" s="9">
        <v>17350.6546269342</v>
      </c>
      <c r="H625" s="9">
        <v>12506.9021026876</v>
      </c>
      <c r="I625" s="21">
        <f t="shared" si="18"/>
        <v>-0.77847577220018138</v>
      </c>
      <c r="J625" s="21">
        <f t="shared" si="19"/>
        <v>-2.5655199356988305</v>
      </c>
    </row>
    <row r="626" spans="1:10" hidden="1">
      <c r="A626" t="s">
        <v>201</v>
      </c>
      <c r="B626" t="s">
        <v>203</v>
      </c>
      <c r="C626" s="18">
        <v>2036</v>
      </c>
      <c r="D626" t="s">
        <v>206</v>
      </c>
      <c r="E626" s="9">
        <v>1154807.22305262</v>
      </c>
      <c r="F626" s="9">
        <v>218172.04914744801</v>
      </c>
      <c r="G626" s="9">
        <v>1158266.1377582899</v>
      </c>
      <c r="H626" s="9">
        <v>218370.687575925</v>
      </c>
      <c r="I626" s="21">
        <f t="shared" si="18"/>
        <v>198.63842847698834</v>
      </c>
      <c r="J626" s="21">
        <f t="shared" si="19"/>
        <v>3458.914705669973</v>
      </c>
    </row>
    <row r="627" spans="1:10" hidden="1">
      <c r="A627" t="s">
        <v>201</v>
      </c>
      <c r="B627" t="s">
        <v>203</v>
      </c>
      <c r="C627" s="18">
        <v>2036</v>
      </c>
      <c r="D627" t="s">
        <v>174</v>
      </c>
      <c r="E627" s="9">
        <v>126914.407026261</v>
      </c>
      <c r="F627" s="9">
        <v>85630.261328277804</v>
      </c>
      <c r="G627" s="9">
        <v>127138.451085333</v>
      </c>
      <c r="H627" s="9">
        <v>85765.564735317093</v>
      </c>
      <c r="I627" s="21">
        <f t="shared" si="18"/>
        <v>135.3034070392896</v>
      </c>
      <c r="J627" s="21">
        <f t="shared" si="19"/>
        <v>224.04405907199543</v>
      </c>
    </row>
    <row r="628" spans="1:10" hidden="1">
      <c r="A628" t="s">
        <v>201</v>
      </c>
      <c r="B628" t="s">
        <v>203</v>
      </c>
      <c r="C628" s="18">
        <v>2036</v>
      </c>
      <c r="D628" t="s">
        <v>178</v>
      </c>
      <c r="E628" s="9">
        <v>421633.53671900398</v>
      </c>
      <c r="F628" s="9">
        <v>390758.77229306003</v>
      </c>
      <c r="G628" s="9">
        <v>422232.65992213303</v>
      </c>
      <c r="H628" s="9">
        <v>391285.95573958702</v>
      </c>
      <c r="I628" s="21">
        <f t="shared" si="18"/>
        <v>527.18344652699307</v>
      </c>
      <c r="J628" s="21">
        <f t="shared" si="19"/>
        <v>599.12320312904194</v>
      </c>
    </row>
    <row r="629" spans="1:10" hidden="1">
      <c r="A629" t="s">
        <v>201</v>
      </c>
      <c r="B629" t="s">
        <v>203</v>
      </c>
      <c r="C629" s="18">
        <v>2036</v>
      </c>
      <c r="D629" t="s">
        <v>181</v>
      </c>
      <c r="E629" s="9">
        <v>726791.25290636695</v>
      </c>
      <c r="F629" s="9">
        <v>444096.74532813398</v>
      </c>
      <c r="G629" s="9">
        <v>728531.610160843</v>
      </c>
      <c r="H629" s="9">
        <v>444747.90756616899</v>
      </c>
      <c r="I629" s="21">
        <f t="shared" si="18"/>
        <v>651.16223803500179</v>
      </c>
      <c r="J629" s="21">
        <f t="shared" si="19"/>
        <v>1740.3572544760536</v>
      </c>
    </row>
    <row r="630" spans="1:10" hidden="1">
      <c r="A630" t="s">
        <v>201</v>
      </c>
      <c r="B630" t="s">
        <v>203</v>
      </c>
      <c r="C630" s="18">
        <v>2036</v>
      </c>
      <c r="D630" t="s">
        <v>184</v>
      </c>
      <c r="E630" s="9">
        <v>540425.31496707897</v>
      </c>
      <c r="F630" s="9">
        <v>298647.96986488003</v>
      </c>
      <c r="G630" s="9">
        <v>541052.28077363002</v>
      </c>
      <c r="H630" s="9">
        <v>298879.61130973301</v>
      </c>
      <c r="I630" s="21">
        <f t="shared" si="18"/>
        <v>231.64144485298311</v>
      </c>
      <c r="J630" s="21">
        <f t="shared" si="19"/>
        <v>626.96580655104481</v>
      </c>
    </row>
    <row r="631" spans="1:10" hidden="1">
      <c r="A631" t="s">
        <v>201</v>
      </c>
      <c r="B631" t="s">
        <v>203</v>
      </c>
      <c r="C631" s="18">
        <v>2036</v>
      </c>
      <c r="D631" t="s">
        <v>365</v>
      </c>
      <c r="E631" s="9">
        <v>44050.316340619604</v>
      </c>
      <c r="F631" s="9">
        <v>7453.3437039872497</v>
      </c>
      <c r="G631" s="9">
        <v>44049.998378272197</v>
      </c>
      <c r="H631" s="9">
        <v>7453.3351271514002</v>
      </c>
      <c r="I631" s="21">
        <f t="shared" si="18"/>
        <v>-8.5768358494533459E-3</v>
      </c>
      <c r="J631" s="21">
        <f t="shared" si="19"/>
        <v>-0.31796234740613727</v>
      </c>
    </row>
    <row r="632" spans="1:10" hidden="1">
      <c r="A632" t="s">
        <v>201</v>
      </c>
      <c r="B632" t="s">
        <v>203</v>
      </c>
      <c r="C632" s="18">
        <v>2037</v>
      </c>
      <c r="D632" t="s">
        <v>167</v>
      </c>
      <c r="E632" s="9">
        <v>17815.647480080399</v>
      </c>
      <c r="F632" s="9">
        <v>12808.5307987666</v>
      </c>
      <c r="G632" s="9">
        <v>17812.5035281772</v>
      </c>
      <c r="H632" s="9">
        <v>12807.501268399201</v>
      </c>
      <c r="I632" s="21">
        <f t="shared" si="18"/>
        <v>-1.0295303673992748</v>
      </c>
      <c r="J632" s="21">
        <f t="shared" si="19"/>
        <v>-3.1439519031991949</v>
      </c>
    </row>
    <row r="633" spans="1:10" hidden="1">
      <c r="A633" t="s">
        <v>201</v>
      </c>
      <c r="B633" t="s">
        <v>203</v>
      </c>
      <c r="C633" s="18">
        <v>2037</v>
      </c>
      <c r="D633" t="s">
        <v>206</v>
      </c>
      <c r="E633" s="9">
        <v>1163907.7215382201</v>
      </c>
      <c r="F633" s="9">
        <v>226148.77578143601</v>
      </c>
      <c r="G633" s="9">
        <v>1167364.6654137501</v>
      </c>
      <c r="H633" s="9">
        <v>226373.365626062</v>
      </c>
      <c r="I633" s="21">
        <f t="shared" si="18"/>
        <v>224.58984462599619</v>
      </c>
      <c r="J633" s="21">
        <f t="shared" si="19"/>
        <v>3456.9438755300362</v>
      </c>
    </row>
    <row r="634" spans="1:10" hidden="1">
      <c r="A634" t="s">
        <v>201</v>
      </c>
      <c r="B634" t="s">
        <v>203</v>
      </c>
      <c r="C634" s="18">
        <v>2037</v>
      </c>
      <c r="D634" t="s">
        <v>174</v>
      </c>
      <c r="E634" s="9">
        <v>129866.027938778</v>
      </c>
      <c r="F634" s="9">
        <v>87643.801358062701</v>
      </c>
      <c r="G634" s="9">
        <v>130092.112965313</v>
      </c>
      <c r="H634" s="9">
        <v>87785.873914228694</v>
      </c>
      <c r="I634" s="21">
        <f t="shared" si="18"/>
        <v>142.07255616599286</v>
      </c>
      <c r="J634" s="21">
        <f t="shared" si="19"/>
        <v>226.08502653500182</v>
      </c>
    </row>
    <row r="635" spans="1:10" hidden="1">
      <c r="A635" t="s">
        <v>201</v>
      </c>
      <c r="B635" t="s">
        <v>203</v>
      </c>
      <c r="C635" s="18">
        <v>2037</v>
      </c>
      <c r="D635" t="s">
        <v>178</v>
      </c>
      <c r="E635" s="9">
        <v>429072.20566059701</v>
      </c>
      <c r="F635" s="9">
        <v>397935.31138904497</v>
      </c>
      <c r="G635" s="9">
        <v>429674.679324948</v>
      </c>
      <c r="H635" s="9">
        <v>398473.81338660797</v>
      </c>
      <c r="I635" s="21">
        <f t="shared" si="18"/>
        <v>538.50199756299844</v>
      </c>
      <c r="J635" s="21">
        <f t="shared" si="19"/>
        <v>602.47366435098229</v>
      </c>
    </row>
    <row r="636" spans="1:10" hidden="1">
      <c r="A636" t="s">
        <v>201</v>
      </c>
      <c r="B636" t="s">
        <v>203</v>
      </c>
      <c r="C636" s="18">
        <v>2037</v>
      </c>
      <c r="D636" t="s">
        <v>181</v>
      </c>
      <c r="E636" s="9">
        <v>739509.531007824</v>
      </c>
      <c r="F636" s="9">
        <v>454457.143319175</v>
      </c>
      <c r="G636" s="9">
        <v>741261.42723499297</v>
      </c>
      <c r="H636" s="9">
        <v>455168.18452875799</v>
      </c>
      <c r="I636" s="21">
        <f t="shared" si="18"/>
        <v>711.04120958299609</v>
      </c>
      <c r="J636" s="21">
        <f t="shared" si="19"/>
        <v>1751.896227168967</v>
      </c>
    </row>
    <row r="637" spans="1:10" hidden="1">
      <c r="A637" t="s">
        <v>201</v>
      </c>
      <c r="B637" t="s">
        <v>203</v>
      </c>
      <c r="C637" s="18">
        <v>2037</v>
      </c>
      <c r="D637" t="s">
        <v>184</v>
      </c>
      <c r="E637" s="9">
        <v>552632.41755761905</v>
      </c>
      <c r="F637" s="9">
        <v>308417.167714371</v>
      </c>
      <c r="G637" s="9">
        <v>553258.51776135701</v>
      </c>
      <c r="H637" s="9">
        <v>308666.04356230202</v>
      </c>
      <c r="I637" s="21">
        <f t="shared" si="18"/>
        <v>248.87584793101996</v>
      </c>
      <c r="J637" s="21">
        <f t="shared" si="19"/>
        <v>626.10020373796578</v>
      </c>
    </row>
    <row r="638" spans="1:10" hidden="1">
      <c r="A638" t="s">
        <v>201</v>
      </c>
      <c r="B638" t="s">
        <v>203</v>
      </c>
      <c r="C638" s="18">
        <v>2037</v>
      </c>
      <c r="D638" t="s">
        <v>365</v>
      </c>
      <c r="E638" s="9">
        <v>43886.881557760898</v>
      </c>
      <c r="F638" s="9">
        <v>7485.6509562421197</v>
      </c>
      <c r="G638" s="9">
        <v>43886.496639761303</v>
      </c>
      <c r="H638" s="9">
        <v>7485.6394586101196</v>
      </c>
      <c r="I638" s="21">
        <f t="shared" si="18"/>
        <v>-1.1497632000100566E-2</v>
      </c>
      <c r="J638" s="21">
        <f t="shared" si="19"/>
        <v>-0.38491799959592754</v>
      </c>
    </row>
    <row r="639" spans="1:10" hidden="1">
      <c r="A639" t="s">
        <v>201</v>
      </c>
      <c r="B639" t="s">
        <v>203</v>
      </c>
      <c r="C639" s="18">
        <v>2038</v>
      </c>
      <c r="D639" t="s">
        <v>167</v>
      </c>
      <c r="E639" s="9">
        <v>18282.385238285799</v>
      </c>
      <c r="F639" s="9">
        <v>13109.570203998301</v>
      </c>
      <c r="G639" s="9">
        <v>18278.619531582299</v>
      </c>
      <c r="H639" s="9">
        <v>13108.258682167399</v>
      </c>
      <c r="I639" s="21">
        <f t="shared" si="18"/>
        <v>-1.3115218309012562</v>
      </c>
      <c r="J639" s="21">
        <f t="shared" si="19"/>
        <v>-3.7657067034997453</v>
      </c>
    </row>
    <row r="640" spans="1:10" hidden="1">
      <c r="A640" t="s">
        <v>201</v>
      </c>
      <c r="B640" t="s">
        <v>203</v>
      </c>
      <c r="C640" s="18">
        <v>2038</v>
      </c>
      <c r="D640" t="s">
        <v>206</v>
      </c>
      <c r="E640" s="9">
        <v>1172833.4675129401</v>
      </c>
      <c r="F640" s="9">
        <v>234035.65413829999</v>
      </c>
      <c r="G640" s="9">
        <v>1176286.23006217</v>
      </c>
      <c r="H640" s="9">
        <v>234286.30240329501</v>
      </c>
      <c r="I640" s="21">
        <f t="shared" si="18"/>
        <v>250.64826499501942</v>
      </c>
      <c r="J640" s="21">
        <f t="shared" si="19"/>
        <v>3452.7625492298976</v>
      </c>
    </row>
    <row r="641" spans="1:10" hidden="1">
      <c r="A641" t="s">
        <v>201</v>
      </c>
      <c r="B641" t="s">
        <v>203</v>
      </c>
      <c r="C641" s="18">
        <v>2038</v>
      </c>
      <c r="D641" t="s">
        <v>174</v>
      </c>
      <c r="E641" s="9">
        <v>132776.92341536199</v>
      </c>
      <c r="F641" s="9">
        <v>89615.162447733805</v>
      </c>
      <c r="G641" s="9">
        <v>133004.77137127001</v>
      </c>
      <c r="H641" s="9">
        <v>89762.908504627194</v>
      </c>
      <c r="I641" s="21">
        <f t="shared" si="18"/>
        <v>147.74605689338932</v>
      </c>
      <c r="J641" s="21">
        <f t="shared" si="19"/>
        <v>227.84795590801514</v>
      </c>
    </row>
    <row r="642" spans="1:10" hidden="1">
      <c r="A642" t="s">
        <v>201</v>
      </c>
      <c r="B642" t="s">
        <v>203</v>
      </c>
      <c r="C642" s="18">
        <v>2038</v>
      </c>
      <c r="D642" t="s">
        <v>178</v>
      </c>
      <c r="E642" s="9">
        <v>436273.379198329</v>
      </c>
      <c r="F642" s="9">
        <v>404837.513035424</v>
      </c>
      <c r="G642" s="9">
        <v>436878.35953831702</v>
      </c>
      <c r="H642" s="9">
        <v>405384.95777232101</v>
      </c>
      <c r="I642" s="21">
        <f t="shared" ref="I642:I705" si="20">H642-F642</f>
        <v>547.44473689701408</v>
      </c>
      <c r="J642" s="21">
        <f t="shared" ref="J642:J705" si="21">G642-E642</f>
        <v>604.98033998801839</v>
      </c>
    </row>
    <row r="643" spans="1:10" hidden="1">
      <c r="A643" t="s">
        <v>201</v>
      </c>
      <c r="B643" t="s">
        <v>203</v>
      </c>
      <c r="C643" s="18">
        <v>2038</v>
      </c>
      <c r="D643" t="s">
        <v>181</v>
      </c>
      <c r="E643" s="9">
        <v>751799.12442864</v>
      </c>
      <c r="F643" s="9">
        <v>464576.30502380698</v>
      </c>
      <c r="G643" s="9">
        <v>753560.82214679301</v>
      </c>
      <c r="H643" s="9">
        <v>465342.91786371003</v>
      </c>
      <c r="I643" s="21">
        <f t="shared" si="20"/>
        <v>766.61283990304219</v>
      </c>
      <c r="J643" s="21">
        <f t="shared" si="21"/>
        <v>1761.6977181530092</v>
      </c>
    </row>
    <row r="644" spans="1:10" hidden="1">
      <c r="A644" t="s">
        <v>201</v>
      </c>
      <c r="B644" t="s">
        <v>203</v>
      </c>
      <c r="C644" s="18">
        <v>2038</v>
      </c>
      <c r="D644" t="s">
        <v>184</v>
      </c>
      <c r="E644" s="9">
        <v>564779.53503467306</v>
      </c>
      <c r="F644" s="9">
        <v>318196.61518083297</v>
      </c>
      <c r="G644" s="9">
        <v>565403.75879938505</v>
      </c>
      <c r="H644" s="9">
        <v>318461.02224812203</v>
      </c>
      <c r="I644" s="21">
        <f t="shared" si="20"/>
        <v>264.40706728905207</v>
      </c>
      <c r="J644" s="21">
        <f t="shared" si="21"/>
        <v>624.22376471199095</v>
      </c>
    </row>
    <row r="645" spans="1:10" hidden="1">
      <c r="A645" t="s">
        <v>201</v>
      </c>
      <c r="B645" t="s">
        <v>203</v>
      </c>
      <c r="C645" s="18">
        <v>2038</v>
      </c>
      <c r="D645" t="s">
        <v>365</v>
      </c>
      <c r="E645" s="9">
        <v>43731.200014119502</v>
      </c>
      <c r="F645" s="9">
        <v>7517.7851770908701</v>
      </c>
      <c r="G645" s="9">
        <v>43730.744850638199</v>
      </c>
      <c r="H645" s="9">
        <v>7517.77035327065</v>
      </c>
      <c r="I645" s="21">
        <f t="shared" si="20"/>
        <v>-1.4823820220044581E-2</v>
      </c>
      <c r="J645" s="21">
        <f t="shared" si="21"/>
        <v>-0.45516348130331608</v>
      </c>
    </row>
    <row r="646" spans="1:10" hidden="1">
      <c r="A646" t="s">
        <v>201</v>
      </c>
      <c r="B646" t="s">
        <v>203</v>
      </c>
      <c r="C646" s="18">
        <v>2039</v>
      </c>
      <c r="D646" t="s">
        <v>167</v>
      </c>
      <c r="E646" s="9">
        <v>18756.521108996702</v>
      </c>
      <c r="F646" s="9">
        <v>13406.291987857699</v>
      </c>
      <c r="G646" s="9">
        <v>18752.090499402999</v>
      </c>
      <c r="H646" s="9">
        <v>13404.669620275599</v>
      </c>
      <c r="I646" s="21">
        <f t="shared" si="20"/>
        <v>-1.6223675821001962</v>
      </c>
      <c r="J646" s="21">
        <f t="shared" si="21"/>
        <v>-4.4306095937026839</v>
      </c>
    </row>
    <row r="647" spans="1:10" hidden="1">
      <c r="A647" t="s">
        <v>201</v>
      </c>
      <c r="B647" t="s">
        <v>203</v>
      </c>
      <c r="C647" s="18">
        <v>2039</v>
      </c>
      <c r="D647" t="s">
        <v>206</v>
      </c>
      <c r="E647" s="9">
        <v>1181291.71173989</v>
      </c>
      <c r="F647" s="9">
        <v>241855.404440293</v>
      </c>
      <c r="G647" s="9">
        <v>1184738.3918449101</v>
      </c>
      <c r="H647" s="9">
        <v>242132.19115316399</v>
      </c>
      <c r="I647" s="21">
        <f t="shared" si="20"/>
        <v>276.78671287099132</v>
      </c>
      <c r="J647" s="21">
        <f t="shared" si="21"/>
        <v>3446.6801050200593</v>
      </c>
    </row>
    <row r="648" spans="1:10" hidden="1">
      <c r="A648" t="s">
        <v>201</v>
      </c>
      <c r="B648" t="s">
        <v>203</v>
      </c>
      <c r="C648" s="18">
        <v>2039</v>
      </c>
      <c r="D648" t="s">
        <v>174</v>
      </c>
      <c r="E648" s="9">
        <v>135642.78515086099</v>
      </c>
      <c r="F648" s="9">
        <v>91563.821100991205</v>
      </c>
      <c r="G648" s="9">
        <v>135872.13136763001</v>
      </c>
      <c r="H648" s="9">
        <v>91716.366353602294</v>
      </c>
      <c r="I648" s="21">
        <f t="shared" si="20"/>
        <v>152.54525261108938</v>
      </c>
      <c r="J648" s="21">
        <f t="shared" si="21"/>
        <v>229.34621676901588</v>
      </c>
    </row>
    <row r="649" spans="1:10" hidden="1">
      <c r="A649" t="s">
        <v>201</v>
      </c>
      <c r="B649" t="s">
        <v>203</v>
      </c>
      <c r="C649" s="18">
        <v>2039</v>
      </c>
      <c r="D649" t="s">
        <v>178</v>
      </c>
      <c r="E649" s="9">
        <v>443299.17815063801</v>
      </c>
      <c r="F649" s="9">
        <v>411565.61199530098</v>
      </c>
      <c r="G649" s="9">
        <v>443905.980748337</v>
      </c>
      <c r="H649" s="9">
        <v>412120.21350488003</v>
      </c>
      <c r="I649" s="21">
        <f t="shared" si="20"/>
        <v>554.60150957904989</v>
      </c>
      <c r="J649" s="21">
        <f t="shared" si="21"/>
        <v>606.80259769898839</v>
      </c>
    </row>
    <row r="650" spans="1:10" hidden="1">
      <c r="A650" t="s">
        <v>201</v>
      </c>
      <c r="B650" t="s">
        <v>203</v>
      </c>
      <c r="C650" s="18">
        <v>2039</v>
      </c>
      <c r="D650" t="s">
        <v>181</v>
      </c>
      <c r="E650" s="9">
        <v>763758.19073421601</v>
      </c>
      <c r="F650" s="9">
        <v>474451.83350686199</v>
      </c>
      <c r="G650" s="9">
        <v>765528.46783885697</v>
      </c>
      <c r="H650" s="9">
        <v>475269.78752891801</v>
      </c>
      <c r="I650" s="21">
        <f t="shared" si="20"/>
        <v>817.95402205601567</v>
      </c>
      <c r="J650" s="21">
        <f t="shared" si="21"/>
        <v>1770.2771046409616</v>
      </c>
    </row>
    <row r="651" spans="1:10" hidden="1">
      <c r="A651" t="s">
        <v>201</v>
      </c>
      <c r="B651" t="s">
        <v>203</v>
      </c>
      <c r="C651" s="18">
        <v>2039</v>
      </c>
      <c r="D651" t="s">
        <v>184</v>
      </c>
      <c r="E651" s="9">
        <v>576793.16850651801</v>
      </c>
      <c r="F651" s="9">
        <v>327968.05498477299</v>
      </c>
      <c r="G651" s="9">
        <v>577414.514396235</v>
      </c>
      <c r="H651" s="9">
        <v>328246.40127636801</v>
      </c>
      <c r="I651" s="21">
        <f t="shared" si="20"/>
        <v>278.34629159502219</v>
      </c>
      <c r="J651" s="21">
        <f t="shared" si="21"/>
        <v>621.34588971699122</v>
      </c>
    </row>
    <row r="652" spans="1:10" hidden="1">
      <c r="A652" t="s">
        <v>201</v>
      </c>
      <c r="B652" t="s">
        <v>203</v>
      </c>
      <c r="C652" s="18">
        <v>2039</v>
      </c>
      <c r="D652" t="s">
        <v>365</v>
      </c>
      <c r="E652" s="9">
        <v>43589.373819107102</v>
      </c>
      <c r="F652" s="9">
        <v>7547.5783946641704</v>
      </c>
      <c r="G652" s="9">
        <v>43588.845456636998</v>
      </c>
      <c r="H652" s="9">
        <v>7547.5598608641003</v>
      </c>
      <c r="I652" s="21">
        <f t="shared" si="20"/>
        <v>-1.8533800070144935E-2</v>
      </c>
      <c r="J652" s="21">
        <f t="shared" si="21"/>
        <v>-0.52836247010418447</v>
      </c>
    </row>
    <row r="653" spans="1:10" hidden="1">
      <c r="A653" t="s">
        <v>201</v>
      </c>
      <c r="B653" t="s">
        <v>203</v>
      </c>
      <c r="C653" s="18">
        <v>2040</v>
      </c>
      <c r="D653" t="s">
        <v>167</v>
      </c>
      <c r="E653" s="9">
        <v>19240.876116949701</v>
      </c>
      <c r="F653" s="9">
        <v>13700.933355888399</v>
      </c>
      <c r="G653" s="9">
        <v>19235.736542927301</v>
      </c>
      <c r="H653" s="9">
        <v>13698.9721681132</v>
      </c>
      <c r="I653" s="21">
        <f t="shared" si="20"/>
        <v>-1.9611877751995053</v>
      </c>
      <c r="J653" s="21">
        <f t="shared" si="21"/>
        <v>-5.1395740223997564</v>
      </c>
    </row>
    <row r="654" spans="1:10" hidden="1">
      <c r="A654" t="s">
        <v>201</v>
      </c>
      <c r="B654" t="s">
        <v>203</v>
      </c>
      <c r="C654" s="18">
        <v>2040</v>
      </c>
      <c r="D654" t="s">
        <v>206</v>
      </c>
      <c r="E654" s="9">
        <v>1189195.71003919</v>
      </c>
      <c r="F654" s="9">
        <v>249591.49207150901</v>
      </c>
      <c r="G654" s="9">
        <v>1192634.43006365</v>
      </c>
      <c r="H654" s="9">
        <v>249894.478827588</v>
      </c>
      <c r="I654" s="21">
        <f t="shared" si="20"/>
        <v>302.98675607898622</v>
      </c>
      <c r="J654" s="21">
        <f t="shared" si="21"/>
        <v>3438.7200244599953</v>
      </c>
    </row>
    <row r="655" spans="1:10" hidden="1">
      <c r="A655" t="s">
        <v>201</v>
      </c>
      <c r="B655" t="s">
        <v>203</v>
      </c>
      <c r="C655" s="18">
        <v>2040</v>
      </c>
      <c r="D655" t="s">
        <v>174</v>
      </c>
      <c r="E655" s="9">
        <v>138459.20953849901</v>
      </c>
      <c r="F655" s="9">
        <v>93480.287478635306</v>
      </c>
      <c r="G655" s="9">
        <v>138689.796610277</v>
      </c>
      <c r="H655" s="9">
        <v>93636.896760059302</v>
      </c>
      <c r="I655" s="21">
        <f t="shared" si="20"/>
        <v>156.60928142399644</v>
      </c>
      <c r="J655" s="21">
        <f t="shared" si="21"/>
        <v>230.58707177799079</v>
      </c>
    </row>
    <row r="656" spans="1:10" hidden="1">
      <c r="A656" t="s">
        <v>201</v>
      </c>
      <c r="B656" t="s">
        <v>203</v>
      </c>
      <c r="C656" s="18">
        <v>2040</v>
      </c>
      <c r="D656" t="s">
        <v>178</v>
      </c>
      <c r="E656" s="9">
        <v>450233.66226879798</v>
      </c>
      <c r="F656" s="9">
        <v>418060.67490086198</v>
      </c>
      <c r="G656" s="9">
        <v>450841.764596063</v>
      </c>
      <c r="H656" s="9">
        <v>418620.90894817398</v>
      </c>
      <c r="I656" s="21">
        <f t="shared" si="20"/>
        <v>560.23404731199844</v>
      </c>
      <c r="J656" s="21">
        <f t="shared" si="21"/>
        <v>608.10232726501999</v>
      </c>
    </row>
    <row r="657" spans="1:10" hidden="1">
      <c r="A657" t="s">
        <v>201</v>
      </c>
      <c r="B657" t="s">
        <v>203</v>
      </c>
      <c r="C657" s="18">
        <v>2040</v>
      </c>
      <c r="D657" t="s">
        <v>181</v>
      </c>
      <c r="E657" s="9">
        <v>775310.92831529595</v>
      </c>
      <c r="F657" s="9">
        <v>484081.860588576</v>
      </c>
      <c r="G657" s="9">
        <v>777088.49670209095</v>
      </c>
      <c r="H657" s="9">
        <v>484947.105425179</v>
      </c>
      <c r="I657" s="21">
        <f t="shared" si="20"/>
        <v>865.24483660300029</v>
      </c>
      <c r="J657" s="21">
        <f t="shared" si="21"/>
        <v>1777.5683867949992</v>
      </c>
    </row>
    <row r="658" spans="1:10" hidden="1">
      <c r="A658" t="s">
        <v>201</v>
      </c>
      <c r="B658" t="s">
        <v>203</v>
      </c>
      <c r="C658" s="18">
        <v>2040</v>
      </c>
      <c r="D658" t="s">
        <v>184</v>
      </c>
      <c r="E658" s="9">
        <v>588742.13951193297</v>
      </c>
      <c r="F658" s="9">
        <v>337748.22541053803</v>
      </c>
      <c r="G658" s="9">
        <v>589359.73383284197</v>
      </c>
      <c r="H658" s="9">
        <v>338039.01043044601</v>
      </c>
      <c r="I658" s="21">
        <f t="shared" si="20"/>
        <v>290.78501990798395</v>
      </c>
      <c r="J658" s="21">
        <f t="shared" si="21"/>
        <v>617.59432090900373</v>
      </c>
    </row>
    <row r="659" spans="1:10" hidden="1">
      <c r="A659" t="s">
        <v>201</v>
      </c>
      <c r="B659" t="s">
        <v>203</v>
      </c>
      <c r="C659" s="18">
        <v>2040</v>
      </c>
      <c r="D659" t="s">
        <v>365</v>
      </c>
      <c r="E659" s="9">
        <v>43465.463940400303</v>
      </c>
      <c r="F659" s="9">
        <v>7573.7481684305803</v>
      </c>
      <c r="G659" s="9">
        <v>43464.859681883601</v>
      </c>
      <c r="H659" s="9">
        <v>7573.7255608269897</v>
      </c>
      <c r="I659" s="21">
        <f t="shared" si="20"/>
        <v>-2.2607603590586223E-2</v>
      </c>
      <c r="J659" s="21">
        <f t="shared" si="21"/>
        <v>-0.60425851670152042</v>
      </c>
    </row>
    <row r="660" spans="1:10" hidden="1">
      <c r="A660" t="s">
        <v>201</v>
      </c>
      <c r="B660" t="s">
        <v>203</v>
      </c>
      <c r="C660" s="18">
        <v>2041</v>
      </c>
      <c r="D660" t="s">
        <v>167</v>
      </c>
      <c r="E660" s="9">
        <v>19733.175862320299</v>
      </c>
      <c r="F660" s="9">
        <v>13993.9344071136</v>
      </c>
      <c r="G660" s="9">
        <v>19727.283486384</v>
      </c>
      <c r="H660" s="9">
        <v>13991.606690282801</v>
      </c>
      <c r="I660" s="21">
        <f t="shared" si="20"/>
        <v>-2.3277168307995453</v>
      </c>
      <c r="J660" s="21">
        <f t="shared" si="21"/>
        <v>-5.8923759362987767</v>
      </c>
    </row>
    <row r="661" spans="1:10" hidden="1">
      <c r="A661" t="s">
        <v>201</v>
      </c>
      <c r="B661" t="s">
        <v>203</v>
      </c>
      <c r="C661" s="18">
        <v>2041</v>
      </c>
      <c r="D661" t="s">
        <v>206</v>
      </c>
      <c r="E661" s="9">
        <v>1196558.88539346</v>
      </c>
      <c r="F661" s="9">
        <v>257269.775507477</v>
      </c>
      <c r="G661" s="9">
        <v>1199988.17586749</v>
      </c>
      <c r="H661" s="9">
        <v>257599.044002988</v>
      </c>
      <c r="I661" s="21">
        <f t="shared" si="20"/>
        <v>329.26849551100167</v>
      </c>
      <c r="J661" s="21">
        <f t="shared" si="21"/>
        <v>3429.2904740299564</v>
      </c>
    </row>
    <row r="662" spans="1:10" hidden="1">
      <c r="A662" t="s">
        <v>201</v>
      </c>
      <c r="B662" t="s">
        <v>203</v>
      </c>
      <c r="C662" s="18">
        <v>2041</v>
      </c>
      <c r="D662" t="s">
        <v>174</v>
      </c>
      <c r="E662" s="9">
        <v>141243.96200902099</v>
      </c>
      <c r="F662" s="9">
        <v>95366.941676083807</v>
      </c>
      <c r="G662" s="9">
        <v>141475.570851386</v>
      </c>
      <c r="H662" s="9">
        <v>95527.0063786807</v>
      </c>
      <c r="I662" s="21">
        <f t="shared" si="20"/>
        <v>160.06470259689377</v>
      </c>
      <c r="J662" s="21">
        <f t="shared" si="21"/>
        <v>231.60884236500715</v>
      </c>
    </row>
    <row r="663" spans="1:10" hidden="1">
      <c r="A663" t="s">
        <v>201</v>
      </c>
      <c r="B663" t="s">
        <v>203</v>
      </c>
      <c r="C663" s="18">
        <v>2041</v>
      </c>
      <c r="D663" t="s">
        <v>178</v>
      </c>
      <c r="E663" s="9">
        <v>457089.20415189402</v>
      </c>
      <c r="F663" s="9">
        <v>424441.03583188599</v>
      </c>
      <c r="G663" s="9">
        <v>457698.12813480198</v>
      </c>
      <c r="H663" s="9">
        <v>425005.77720965003</v>
      </c>
      <c r="I663" s="21">
        <f t="shared" si="20"/>
        <v>564.74137776403222</v>
      </c>
      <c r="J663" s="21">
        <f t="shared" si="21"/>
        <v>608.92398290795973</v>
      </c>
    </row>
    <row r="664" spans="1:10" hidden="1">
      <c r="A664" t="s">
        <v>201</v>
      </c>
      <c r="B664" t="s">
        <v>203</v>
      </c>
      <c r="C664" s="18">
        <v>2041</v>
      </c>
      <c r="D664" t="s">
        <v>181</v>
      </c>
      <c r="E664" s="9">
        <v>786509.48681167897</v>
      </c>
      <c r="F664" s="9">
        <v>493482.170418019</v>
      </c>
      <c r="G664" s="9">
        <v>788293.24275668897</v>
      </c>
      <c r="H664" s="9">
        <v>494390.87324825901</v>
      </c>
      <c r="I664" s="21">
        <f t="shared" si="20"/>
        <v>908.70283024001401</v>
      </c>
      <c r="J664" s="21">
        <f t="shared" si="21"/>
        <v>1783.7559450099943</v>
      </c>
    </row>
    <row r="665" spans="1:10" hidden="1">
      <c r="A665" t="s">
        <v>201</v>
      </c>
      <c r="B665" t="s">
        <v>203</v>
      </c>
      <c r="C665" s="18">
        <v>2041</v>
      </c>
      <c r="D665" t="s">
        <v>184</v>
      </c>
      <c r="E665" s="9">
        <v>600542.41207003698</v>
      </c>
      <c r="F665" s="9">
        <v>347622.89238443499</v>
      </c>
      <c r="G665" s="9">
        <v>601155.34094696096</v>
      </c>
      <c r="H665" s="9">
        <v>347924.76632707799</v>
      </c>
      <c r="I665" s="21">
        <f t="shared" si="20"/>
        <v>301.87394264299655</v>
      </c>
      <c r="J665" s="21">
        <f t="shared" si="21"/>
        <v>612.92887692397926</v>
      </c>
    </row>
    <row r="666" spans="1:10" hidden="1">
      <c r="A666" t="s">
        <v>201</v>
      </c>
      <c r="B666" t="s">
        <v>203</v>
      </c>
      <c r="C666" s="18">
        <v>2041</v>
      </c>
      <c r="D666" t="s">
        <v>365</v>
      </c>
      <c r="E666" s="9">
        <v>43361.618304404401</v>
      </c>
      <c r="F666" s="9">
        <v>7596.0223763927497</v>
      </c>
      <c r="G666" s="9">
        <v>43360.9356755525</v>
      </c>
      <c r="H666" s="9">
        <v>7595.9953338682099</v>
      </c>
      <c r="I666" s="21">
        <f t="shared" si="20"/>
        <v>-2.7042524539865553E-2</v>
      </c>
      <c r="J666" s="21">
        <f t="shared" si="21"/>
        <v>-0.68262885190051747</v>
      </c>
    </row>
    <row r="667" spans="1:10" hidden="1">
      <c r="A667" t="s">
        <v>201</v>
      </c>
      <c r="B667" t="s">
        <v>203</v>
      </c>
      <c r="C667" s="18">
        <v>2042</v>
      </c>
      <c r="D667" t="s">
        <v>167</v>
      </c>
      <c r="E667" s="9">
        <v>20228.9574885484</v>
      </c>
      <c r="F667" s="9">
        <v>14287.3396095363</v>
      </c>
      <c r="G667" s="9">
        <v>20222.268399164699</v>
      </c>
      <c r="H667" s="9">
        <v>14284.6169088399</v>
      </c>
      <c r="I667" s="21">
        <f t="shared" si="20"/>
        <v>-2.7227006964003522</v>
      </c>
      <c r="J667" s="21">
        <f t="shared" si="21"/>
        <v>-6.6890893837007752</v>
      </c>
    </row>
    <row r="668" spans="1:10" hidden="1">
      <c r="A668" t="s">
        <v>201</v>
      </c>
      <c r="B668" t="s">
        <v>203</v>
      </c>
      <c r="C668" s="18">
        <v>2042</v>
      </c>
      <c r="D668" t="s">
        <v>206</v>
      </c>
      <c r="E668" s="9">
        <v>1203381.1113345099</v>
      </c>
      <c r="F668" s="9">
        <v>264933.79979090299</v>
      </c>
      <c r="G668" s="9">
        <v>1206799.58929471</v>
      </c>
      <c r="H668" s="9">
        <v>265289.409116733</v>
      </c>
      <c r="I668" s="21">
        <f t="shared" si="20"/>
        <v>355.60932583000977</v>
      </c>
      <c r="J668" s="21">
        <f t="shared" si="21"/>
        <v>3418.477960200049</v>
      </c>
    </row>
    <row r="669" spans="1:10" hidden="1">
      <c r="A669" t="s">
        <v>201</v>
      </c>
      <c r="B669" t="s">
        <v>203</v>
      </c>
      <c r="C669" s="18">
        <v>2042</v>
      </c>
      <c r="D669" t="s">
        <v>174</v>
      </c>
      <c r="E669" s="9">
        <v>144015.62977175301</v>
      </c>
      <c r="F669" s="9">
        <v>97243.123386430903</v>
      </c>
      <c r="G669" s="9">
        <v>144248.066926011</v>
      </c>
      <c r="H669" s="9">
        <v>97406.156977096296</v>
      </c>
      <c r="I669" s="21">
        <f t="shared" si="20"/>
        <v>163.03359066539269</v>
      </c>
      <c r="J669" s="21">
        <f t="shared" si="21"/>
        <v>232.43715425799019</v>
      </c>
    </row>
    <row r="670" spans="1:10" hidden="1">
      <c r="A670" t="s">
        <v>201</v>
      </c>
      <c r="B670" t="s">
        <v>203</v>
      </c>
      <c r="C670" s="18">
        <v>2042</v>
      </c>
      <c r="D670" t="s">
        <v>178</v>
      </c>
      <c r="E670" s="9">
        <v>463877.74082735198</v>
      </c>
      <c r="F670" s="9">
        <v>430828.61265653599</v>
      </c>
      <c r="G670" s="9">
        <v>464487.03899019101</v>
      </c>
      <c r="H670" s="9">
        <v>431397.042999706</v>
      </c>
      <c r="I670" s="21">
        <f t="shared" si="20"/>
        <v>568.43034317001002</v>
      </c>
      <c r="J670" s="21">
        <f t="shared" si="21"/>
        <v>609.29816283902619</v>
      </c>
    </row>
    <row r="671" spans="1:10" hidden="1">
      <c r="A671" t="s">
        <v>201</v>
      </c>
      <c r="B671" t="s">
        <v>203</v>
      </c>
      <c r="C671" s="18">
        <v>2042</v>
      </c>
      <c r="D671" t="s">
        <v>181</v>
      </c>
      <c r="E671" s="9">
        <v>797436.58618160605</v>
      </c>
      <c r="F671" s="9">
        <v>502655.21568837698</v>
      </c>
      <c r="G671" s="9">
        <v>799225.499121645</v>
      </c>
      <c r="H671" s="9">
        <v>503603.80380956898</v>
      </c>
      <c r="I671" s="21">
        <f t="shared" si="20"/>
        <v>948.58812119200593</v>
      </c>
      <c r="J671" s="21">
        <f t="shared" si="21"/>
        <v>1788.9129400389502</v>
      </c>
    </row>
    <row r="672" spans="1:10" hidden="1">
      <c r="A672" t="s">
        <v>201</v>
      </c>
      <c r="B672" t="s">
        <v>203</v>
      </c>
      <c r="C672" s="18">
        <v>2042</v>
      </c>
      <c r="D672" t="s">
        <v>184</v>
      </c>
      <c r="E672" s="9">
        <v>612056.93255618098</v>
      </c>
      <c r="F672" s="9">
        <v>357619.21736376098</v>
      </c>
      <c r="G672" s="9">
        <v>612664.177038008</v>
      </c>
      <c r="H672" s="9">
        <v>357930.93950443697</v>
      </c>
      <c r="I672" s="21">
        <f t="shared" si="20"/>
        <v>311.7221406759927</v>
      </c>
      <c r="J672" s="21">
        <f t="shared" si="21"/>
        <v>607.24448182701599</v>
      </c>
    </row>
    <row r="673" spans="1:10" hidden="1">
      <c r="A673" t="s">
        <v>201</v>
      </c>
      <c r="B673" t="s">
        <v>203</v>
      </c>
      <c r="C673" s="18">
        <v>2042</v>
      </c>
      <c r="D673" t="s">
        <v>365</v>
      </c>
      <c r="E673" s="9">
        <v>43279.491797856601</v>
      </c>
      <c r="F673" s="9">
        <v>7616.6246484634403</v>
      </c>
      <c r="G673" s="9">
        <v>43278.728481607301</v>
      </c>
      <c r="H673" s="9">
        <v>7616.5928035502902</v>
      </c>
      <c r="I673" s="21">
        <f t="shared" si="20"/>
        <v>-3.1844913150052889E-2</v>
      </c>
      <c r="J673" s="21">
        <f t="shared" si="21"/>
        <v>-0.7633162493002601</v>
      </c>
    </row>
    <row r="674" spans="1:10" hidden="1">
      <c r="A674" t="s">
        <v>201</v>
      </c>
      <c r="B674" t="s">
        <v>203</v>
      </c>
      <c r="C674" s="18">
        <v>2043</v>
      </c>
      <c r="D674" t="s">
        <v>167</v>
      </c>
      <c r="E674" s="9">
        <v>20728.080146849599</v>
      </c>
      <c r="F674" s="9">
        <v>14576.029124143501</v>
      </c>
      <c r="G674" s="9">
        <v>20720.548205455299</v>
      </c>
      <c r="H674" s="9">
        <v>14572.883153271399</v>
      </c>
      <c r="I674" s="21">
        <f t="shared" si="20"/>
        <v>-3.1459708721013158</v>
      </c>
      <c r="J674" s="21">
        <f t="shared" si="21"/>
        <v>-7.5319413942997926</v>
      </c>
    </row>
    <row r="675" spans="1:10" hidden="1">
      <c r="A675" t="s">
        <v>201</v>
      </c>
      <c r="B675" t="s">
        <v>203</v>
      </c>
      <c r="C675" s="18">
        <v>2043</v>
      </c>
      <c r="D675" t="s">
        <v>206</v>
      </c>
      <c r="E675" s="9">
        <v>1209642.99133191</v>
      </c>
      <c r="F675" s="9">
        <v>272568.50036164699</v>
      </c>
      <c r="G675" s="9">
        <v>1213049.26096591</v>
      </c>
      <c r="H675" s="9">
        <v>272950.43541917799</v>
      </c>
      <c r="I675" s="21">
        <f t="shared" si="20"/>
        <v>381.93505753099453</v>
      </c>
      <c r="J675" s="21">
        <f t="shared" si="21"/>
        <v>3406.2696340000257</v>
      </c>
    </row>
    <row r="676" spans="1:10" hidden="1">
      <c r="A676" t="s">
        <v>201</v>
      </c>
      <c r="B676" t="s">
        <v>203</v>
      </c>
      <c r="C676" s="18">
        <v>2043</v>
      </c>
      <c r="D676" t="s">
        <v>174</v>
      </c>
      <c r="E676" s="9">
        <v>146760.76914150699</v>
      </c>
      <c r="F676" s="9">
        <v>99105.814377048693</v>
      </c>
      <c r="G676" s="9">
        <v>146993.81420820701</v>
      </c>
      <c r="H676" s="9">
        <v>99271.391168072907</v>
      </c>
      <c r="I676" s="21">
        <f t="shared" si="20"/>
        <v>165.57679102421389</v>
      </c>
      <c r="J676" s="21">
        <f t="shared" si="21"/>
        <v>233.04506670002593</v>
      </c>
    </row>
    <row r="677" spans="1:10" hidden="1">
      <c r="A677" t="s">
        <v>201</v>
      </c>
      <c r="B677" t="s">
        <v>203</v>
      </c>
      <c r="C677" s="18">
        <v>2043</v>
      </c>
      <c r="D677" t="s">
        <v>178</v>
      </c>
      <c r="E677" s="9">
        <v>470545.67676238797</v>
      </c>
      <c r="F677" s="9">
        <v>437108.73029978998</v>
      </c>
      <c r="G677" s="9">
        <v>471154.83958066901</v>
      </c>
      <c r="H677" s="9">
        <v>437679.98847184202</v>
      </c>
      <c r="I677" s="21">
        <f t="shared" si="20"/>
        <v>571.2581720520393</v>
      </c>
      <c r="J677" s="21">
        <f t="shared" si="21"/>
        <v>609.1628182810382</v>
      </c>
    </row>
    <row r="678" spans="1:10" hidden="1">
      <c r="A678" t="s">
        <v>201</v>
      </c>
      <c r="B678" t="s">
        <v>203</v>
      </c>
      <c r="C678" s="18">
        <v>2043</v>
      </c>
      <c r="D678" t="s">
        <v>181</v>
      </c>
      <c r="E678" s="9">
        <v>808221.47502265195</v>
      </c>
      <c r="F678" s="9">
        <v>511625.26178470498</v>
      </c>
      <c r="G678" s="9">
        <v>810014.77283431904</v>
      </c>
      <c r="H678" s="9">
        <v>512610.44917931297</v>
      </c>
      <c r="I678" s="21">
        <f t="shared" si="20"/>
        <v>985.18739460798679</v>
      </c>
      <c r="J678" s="21">
        <f t="shared" si="21"/>
        <v>1793.2978116670856</v>
      </c>
    </row>
    <row r="679" spans="1:10" hidden="1">
      <c r="A679" t="s">
        <v>201</v>
      </c>
      <c r="B679" t="s">
        <v>203</v>
      </c>
      <c r="C679" s="18">
        <v>2043</v>
      </c>
      <c r="D679" t="s">
        <v>184</v>
      </c>
      <c r="E679" s="9">
        <v>623352.700503423</v>
      </c>
      <c r="F679" s="9">
        <v>367638.77120843303</v>
      </c>
      <c r="G679" s="9">
        <v>623953.35649413895</v>
      </c>
      <c r="H679" s="9">
        <v>367959.059248153</v>
      </c>
      <c r="I679" s="21">
        <f t="shared" si="20"/>
        <v>320.28803971997695</v>
      </c>
      <c r="J679" s="21">
        <f t="shared" si="21"/>
        <v>600.65599071595352</v>
      </c>
    </row>
    <row r="680" spans="1:10" hidden="1">
      <c r="A680" t="s">
        <v>201</v>
      </c>
      <c r="B680" t="s">
        <v>203</v>
      </c>
      <c r="C680" s="18">
        <v>2043</v>
      </c>
      <c r="D680" t="s">
        <v>365</v>
      </c>
      <c r="E680" s="9">
        <v>43232.984750919401</v>
      </c>
      <c r="F680" s="9">
        <v>7634.6751183613897</v>
      </c>
      <c r="G680" s="9">
        <v>43232.1385441846</v>
      </c>
      <c r="H680" s="9">
        <v>7634.6380979097503</v>
      </c>
      <c r="I680" s="21">
        <f t="shared" si="20"/>
        <v>-3.7020451639364182E-2</v>
      </c>
      <c r="J680" s="21">
        <f t="shared" si="21"/>
        <v>-0.8462067348009441</v>
      </c>
    </row>
    <row r="681" spans="1:10" hidden="1">
      <c r="A681" t="s">
        <v>201</v>
      </c>
      <c r="B681" t="s">
        <v>203</v>
      </c>
      <c r="C681" s="18">
        <v>2044</v>
      </c>
      <c r="D681" t="s">
        <v>167</v>
      </c>
      <c r="E681" s="9">
        <v>21228.669716204498</v>
      </c>
      <c r="F681" s="9">
        <v>14865.0284532033</v>
      </c>
      <c r="G681" s="9">
        <v>21220.2473713984</v>
      </c>
      <c r="H681" s="9">
        <v>14861.4315691186</v>
      </c>
      <c r="I681" s="21">
        <f t="shared" si="20"/>
        <v>-3.5968840846999228</v>
      </c>
      <c r="J681" s="21">
        <f t="shared" si="21"/>
        <v>-8.4223448060984083</v>
      </c>
    </row>
    <row r="682" spans="1:10" hidden="1">
      <c r="A682" t="s">
        <v>201</v>
      </c>
      <c r="B682" t="s">
        <v>203</v>
      </c>
      <c r="C682" s="18">
        <v>2044</v>
      </c>
      <c r="D682" t="s">
        <v>206</v>
      </c>
      <c r="E682" s="9">
        <v>1215594.9529331999</v>
      </c>
      <c r="F682" s="9">
        <v>280098.27511158498</v>
      </c>
      <c r="G682" s="9">
        <v>1218988.4670045001</v>
      </c>
      <c r="H682" s="9">
        <v>280506.44153550803</v>
      </c>
      <c r="I682" s="21">
        <f t="shared" si="20"/>
        <v>408.16642392304493</v>
      </c>
      <c r="J682" s="21">
        <f t="shared" si="21"/>
        <v>3393.5140713001601</v>
      </c>
    </row>
    <row r="683" spans="1:10" hidden="1">
      <c r="A683" t="s">
        <v>201</v>
      </c>
      <c r="B683" t="s">
        <v>203</v>
      </c>
      <c r="C683" s="18">
        <v>2044</v>
      </c>
      <c r="D683" t="s">
        <v>174</v>
      </c>
      <c r="E683" s="9">
        <v>149462.812360654</v>
      </c>
      <c r="F683" s="9">
        <v>100944.557074123</v>
      </c>
      <c r="G683" s="9">
        <v>149696.21396730101</v>
      </c>
      <c r="H683" s="9">
        <v>101112.290089553</v>
      </c>
      <c r="I683" s="21">
        <f t="shared" si="20"/>
        <v>167.7330154299998</v>
      </c>
      <c r="J683" s="21">
        <f t="shared" si="21"/>
        <v>233.4016066470067</v>
      </c>
    </row>
    <row r="684" spans="1:10" hidden="1">
      <c r="A684" t="s">
        <v>201</v>
      </c>
      <c r="B684" t="s">
        <v>203</v>
      </c>
      <c r="C684" s="18">
        <v>2044</v>
      </c>
      <c r="D684" t="s">
        <v>178</v>
      </c>
      <c r="E684" s="9">
        <v>476972.93600427301</v>
      </c>
      <c r="F684" s="9">
        <v>443227.398416852</v>
      </c>
      <c r="G684" s="9">
        <v>477581.31483664498</v>
      </c>
      <c r="H684" s="9">
        <v>443800.63719739497</v>
      </c>
      <c r="I684" s="21">
        <f t="shared" si="20"/>
        <v>573.23878054297529</v>
      </c>
      <c r="J684" s="21">
        <f t="shared" si="21"/>
        <v>608.37883237196365</v>
      </c>
    </row>
    <row r="685" spans="1:10" hidden="1">
      <c r="A685" t="s">
        <v>201</v>
      </c>
      <c r="B685" t="s">
        <v>203</v>
      </c>
      <c r="C685" s="18">
        <v>2044</v>
      </c>
      <c r="D685" t="s">
        <v>181</v>
      </c>
      <c r="E685" s="9">
        <v>818945.32111994806</v>
      </c>
      <c r="F685" s="9">
        <v>520401.38156754599</v>
      </c>
      <c r="G685" s="9">
        <v>820742.37012193399</v>
      </c>
      <c r="H685" s="9">
        <v>521420.17033099697</v>
      </c>
      <c r="I685" s="21">
        <f t="shared" si="20"/>
        <v>1018.7887634509825</v>
      </c>
      <c r="J685" s="21">
        <f t="shared" si="21"/>
        <v>1797.049001985928</v>
      </c>
    </row>
    <row r="686" spans="1:10" hidden="1">
      <c r="A686" t="s">
        <v>201</v>
      </c>
      <c r="B686" t="s">
        <v>203</v>
      </c>
      <c r="C686" s="18">
        <v>2044</v>
      </c>
      <c r="D686" t="s">
        <v>184</v>
      </c>
      <c r="E686" s="9">
        <v>634431.33128027001</v>
      </c>
      <c r="F686" s="9">
        <v>377591.03879076301</v>
      </c>
      <c r="G686" s="9">
        <v>635024.54646764905</v>
      </c>
      <c r="H686" s="9">
        <v>377918.58989895799</v>
      </c>
      <c r="I686" s="21">
        <f t="shared" si="20"/>
        <v>327.55110819498077</v>
      </c>
      <c r="J686" s="21">
        <f t="shared" si="21"/>
        <v>593.21518737904262</v>
      </c>
    </row>
    <row r="687" spans="1:10" hidden="1">
      <c r="A687" t="s">
        <v>201</v>
      </c>
      <c r="B687" t="s">
        <v>203</v>
      </c>
      <c r="C687" s="18">
        <v>2044</v>
      </c>
      <c r="D687" t="s">
        <v>365</v>
      </c>
      <c r="E687" s="9">
        <v>43203.561141931597</v>
      </c>
      <c r="F687" s="9">
        <v>7652.7644005400298</v>
      </c>
      <c r="G687" s="9">
        <v>43202.630038859497</v>
      </c>
      <c r="H687" s="9">
        <v>7652.7218257366803</v>
      </c>
      <c r="I687" s="21">
        <f t="shared" si="20"/>
        <v>-4.257480334945285E-2</v>
      </c>
      <c r="J687" s="21">
        <f t="shared" si="21"/>
        <v>-0.93110307210008614</v>
      </c>
    </row>
    <row r="688" spans="1:10" hidden="1">
      <c r="A688" t="s">
        <v>201</v>
      </c>
      <c r="B688" t="s">
        <v>203</v>
      </c>
      <c r="C688" s="18">
        <v>2045</v>
      </c>
      <c r="D688" t="s">
        <v>167</v>
      </c>
      <c r="E688" s="9">
        <v>21726.975641222602</v>
      </c>
      <c r="F688" s="9">
        <v>15152.372724680799</v>
      </c>
      <c r="G688" s="9">
        <v>21717.616521529701</v>
      </c>
      <c r="H688" s="9">
        <v>15148.297956242301</v>
      </c>
      <c r="I688" s="21">
        <f t="shared" si="20"/>
        <v>-4.0747684384987224</v>
      </c>
      <c r="J688" s="21">
        <f t="shared" si="21"/>
        <v>-9.3591196929010039</v>
      </c>
    </row>
    <row r="689" spans="1:10" hidden="1">
      <c r="A689" t="s">
        <v>201</v>
      </c>
      <c r="B689" t="s">
        <v>203</v>
      </c>
      <c r="C689" s="18">
        <v>2045</v>
      </c>
      <c r="D689" t="s">
        <v>206</v>
      </c>
      <c r="E689" s="9">
        <v>1221288.5191087699</v>
      </c>
      <c r="F689" s="9">
        <v>287490.843674217</v>
      </c>
      <c r="G689" s="9">
        <v>1224668.96644768</v>
      </c>
      <c r="H689" s="9">
        <v>287925.04322278401</v>
      </c>
      <c r="I689" s="21">
        <f t="shared" si="20"/>
        <v>434.19954856700497</v>
      </c>
      <c r="J689" s="21">
        <f t="shared" si="21"/>
        <v>3380.4473389100749</v>
      </c>
    </row>
    <row r="690" spans="1:10" hidden="1">
      <c r="A690" t="s">
        <v>201</v>
      </c>
      <c r="B690" t="s">
        <v>203</v>
      </c>
      <c r="C690" s="18">
        <v>2045</v>
      </c>
      <c r="D690" t="s">
        <v>174</v>
      </c>
      <c r="E690" s="9">
        <v>152104.57158725199</v>
      </c>
      <c r="F690" s="9">
        <v>102765.757190709</v>
      </c>
      <c r="G690" s="9">
        <v>152338.05281588601</v>
      </c>
      <c r="H690" s="9">
        <v>102935.314985138</v>
      </c>
      <c r="I690" s="21">
        <f t="shared" si="20"/>
        <v>169.55779442899802</v>
      </c>
      <c r="J690" s="21">
        <f t="shared" si="21"/>
        <v>233.48122863401659</v>
      </c>
    </row>
    <row r="691" spans="1:10" hidden="1">
      <c r="A691" t="s">
        <v>201</v>
      </c>
      <c r="B691" t="s">
        <v>203</v>
      </c>
      <c r="C691" s="18">
        <v>2045</v>
      </c>
      <c r="D691" t="s">
        <v>178</v>
      </c>
      <c r="E691" s="9">
        <v>483116.58850303502</v>
      </c>
      <c r="F691" s="9">
        <v>449143.16905997001</v>
      </c>
      <c r="G691" s="9">
        <v>483723.51612219802</v>
      </c>
      <c r="H691" s="9">
        <v>449717.558047709</v>
      </c>
      <c r="I691" s="21">
        <f t="shared" si="20"/>
        <v>574.38898773898836</v>
      </c>
      <c r="J691" s="21">
        <f t="shared" si="21"/>
        <v>606.92761916300515</v>
      </c>
    </row>
    <row r="692" spans="1:10" hidden="1">
      <c r="A692" t="s">
        <v>201</v>
      </c>
      <c r="B692" t="s">
        <v>203</v>
      </c>
      <c r="C692" s="18">
        <v>2045</v>
      </c>
      <c r="D692" t="s">
        <v>181</v>
      </c>
      <c r="E692" s="9">
        <v>829669.97933245101</v>
      </c>
      <c r="F692" s="9">
        <v>528944.74370655802</v>
      </c>
      <c r="G692" s="9">
        <v>831470.21009817696</v>
      </c>
      <c r="H692" s="9">
        <v>529994.22695920803</v>
      </c>
      <c r="I692" s="21">
        <f t="shared" si="20"/>
        <v>1049.4832526500104</v>
      </c>
      <c r="J692" s="21">
        <f t="shared" si="21"/>
        <v>1800.2307657259516</v>
      </c>
    </row>
    <row r="693" spans="1:10" hidden="1">
      <c r="A693" t="s">
        <v>201</v>
      </c>
      <c r="B693" t="s">
        <v>203</v>
      </c>
      <c r="C693" s="18">
        <v>2045</v>
      </c>
      <c r="D693" t="s">
        <v>184</v>
      </c>
      <c r="E693" s="9">
        <v>645145.62344686803</v>
      </c>
      <c r="F693" s="9">
        <v>387417.17315624602</v>
      </c>
      <c r="G693" s="9">
        <v>645730.44769895996</v>
      </c>
      <c r="H693" s="9">
        <v>387750.67878189799</v>
      </c>
      <c r="I693" s="21">
        <f t="shared" si="20"/>
        <v>333.5056256519747</v>
      </c>
      <c r="J693" s="21">
        <f t="shared" si="21"/>
        <v>584.82425209193025</v>
      </c>
    </row>
    <row r="694" spans="1:10" hidden="1">
      <c r="A694" t="s">
        <v>201</v>
      </c>
      <c r="B694" t="s">
        <v>203</v>
      </c>
      <c r="C694" s="18">
        <v>2045</v>
      </c>
      <c r="D694" t="s">
        <v>365</v>
      </c>
      <c r="E694" s="9">
        <v>43191.621574310397</v>
      </c>
      <c r="F694" s="9">
        <v>7672.1167375407504</v>
      </c>
      <c r="G694" s="9">
        <v>43190.603751316099</v>
      </c>
      <c r="H694" s="9">
        <v>7672.0682267846396</v>
      </c>
      <c r="I694" s="21">
        <f t="shared" si="20"/>
        <v>-4.8510756110772491E-2</v>
      </c>
      <c r="J694" s="21">
        <f t="shared" si="21"/>
        <v>-1.0178229942976031</v>
      </c>
    </row>
    <row r="695" spans="1:10" hidden="1">
      <c r="A695" t="s">
        <v>201</v>
      </c>
      <c r="B695" t="s">
        <v>203</v>
      </c>
      <c r="C695" s="18">
        <v>2046</v>
      </c>
      <c r="D695" t="s">
        <v>167</v>
      </c>
      <c r="E695" s="9">
        <v>22221.315959589399</v>
      </c>
      <c r="F695" s="9">
        <v>15441.4736698339</v>
      </c>
      <c r="G695" s="9">
        <v>22210.974521910699</v>
      </c>
      <c r="H695" s="9">
        <v>15436.8918612077</v>
      </c>
      <c r="I695" s="21">
        <f t="shared" si="20"/>
        <v>-4.5818086262006545</v>
      </c>
      <c r="J695" s="21">
        <f t="shared" si="21"/>
        <v>-10.341437678700458</v>
      </c>
    </row>
    <row r="696" spans="1:10" hidden="1">
      <c r="A696" t="s">
        <v>201</v>
      </c>
      <c r="B696" t="s">
        <v>203</v>
      </c>
      <c r="C696" s="18">
        <v>2046</v>
      </c>
      <c r="D696" t="s">
        <v>206</v>
      </c>
      <c r="E696" s="9">
        <v>1226757.8248039701</v>
      </c>
      <c r="F696" s="9">
        <v>294705.97818082798</v>
      </c>
      <c r="G696" s="9">
        <v>1230125.0687766999</v>
      </c>
      <c r="H696" s="9">
        <v>295165.87720880198</v>
      </c>
      <c r="I696" s="21">
        <f t="shared" si="20"/>
        <v>459.89902797399554</v>
      </c>
      <c r="J696" s="21">
        <f t="shared" si="21"/>
        <v>3367.2439727298915</v>
      </c>
    </row>
    <row r="697" spans="1:10" hidden="1">
      <c r="A697" t="s">
        <v>201</v>
      </c>
      <c r="B697" t="s">
        <v>203</v>
      </c>
      <c r="C697" s="18">
        <v>2046</v>
      </c>
      <c r="D697" t="s">
        <v>174</v>
      </c>
      <c r="E697" s="9">
        <v>154685.90041878101</v>
      </c>
      <c r="F697" s="9">
        <v>104560.065675288</v>
      </c>
      <c r="G697" s="9">
        <v>154919.18519988199</v>
      </c>
      <c r="H697" s="9">
        <v>104731.13398431199</v>
      </c>
      <c r="I697" s="21">
        <f t="shared" si="20"/>
        <v>171.06830902399088</v>
      </c>
      <c r="J697" s="21">
        <f t="shared" si="21"/>
        <v>233.28478110098513</v>
      </c>
    </row>
    <row r="698" spans="1:10" hidden="1">
      <c r="A698" t="s">
        <v>201</v>
      </c>
      <c r="B698" t="s">
        <v>203</v>
      </c>
      <c r="C698" s="18">
        <v>2046</v>
      </c>
      <c r="D698" t="s">
        <v>178</v>
      </c>
      <c r="E698" s="9">
        <v>488954.76574505999</v>
      </c>
      <c r="F698" s="9">
        <v>454735.45642727998</v>
      </c>
      <c r="G698" s="9">
        <v>489559.56948849699</v>
      </c>
      <c r="H698" s="9">
        <v>455310.080020589</v>
      </c>
      <c r="I698" s="21">
        <f t="shared" si="20"/>
        <v>574.62359330902109</v>
      </c>
      <c r="J698" s="21">
        <f t="shared" si="21"/>
        <v>604.80374343699077</v>
      </c>
    </row>
    <row r="699" spans="1:10" hidden="1">
      <c r="A699" t="s">
        <v>201</v>
      </c>
      <c r="B699" t="s">
        <v>203</v>
      </c>
      <c r="C699" s="18">
        <v>2046</v>
      </c>
      <c r="D699" t="s">
        <v>181</v>
      </c>
      <c r="E699" s="9">
        <v>840219.76588499197</v>
      </c>
      <c r="F699" s="9">
        <v>537362.60962073295</v>
      </c>
      <c r="G699" s="9">
        <v>842022.211146035</v>
      </c>
      <c r="H699" s="9">
        <v>538440.16822828504</v>
      </c>
      <c r="I699" s="21">
        <f t="shared" si="20"/>
        <v>1077.5586075520841</v>
      </c>
      <c r="J699" s="21">
        <f t="shared" si="21"/>
        <v>1802.4452610430308</v>
      </c>
    </row>
    <row r="700" spans="1:10" hidden="1">
      <c r="A700" t="s">
        <v>201</v>
      </c>
      <c r="B700" t="s">
        <v>203</v>
      </c>
      <c r="C700" s="18">
        <v>2046</v>
      </c>
      <c r="D700" t="s">
        <v>184</v>
      </c>
      <c r="E700" s="9">
        <v>655447.76053973101</v>
      </c>
      <c r="F700" s="9">
        <v>397093.77860814403</v>
      </c>
      <c r="G700" s="9">
        <v>656023.20384824695</v>
      </c>
      <c r="H700" s="9">
        <v>397431.95060261199</v>
      </c>
      <c r="I700" s="21">
        <f t="shared" si="20"/>
        <v>338.1719944679644</v>
      </c>
      <c r="J700" s="21">
        <f t="shared" si="21"/>
        <v>575.44330851593986</v>
      </c>
    </row>
    <row r="701" spans="1:10" hidden="1">
      <c r="A701" t="s">
        <v>201</v>
      </c>
      <c r="B701" t="s">
        <v>203</v>
      </c>
      <c r="C701" s="18">
        <v>2046</v>
      </c>
      <c r="D701" t="s">
        <v>365</v>
      </c>
      <c r="E701" s="9">
        <v>43197.416721956499</v>
      </c>
      <c r="F701" s="9">
        <v>7693.6118665873501</v>
      </c>
      <c r="G701" s="9">
        <v>43196.310323112302</v>
      </c>
      <c r="H701" s="9">
        <v>7693.5570486562501</v>
      </c>
      <c r="I701" s="21">
        <f t="shared" si="20"/>
        <v>-5.4817931099933048E-2</v>
      </c>
      <c r="J701" s="21">
        <f t="shared" si="21"/>
        <v>-1.1063988441965193</v>
      </c>
    </row>
    <row r="702" spans="1:10" hidden="1">
      <c r="A702" t="s">
        <v>201</v>
      </c>
      <c r="B702" t="s">
        <v>203</v>
      </c>
      <c r="C702" s="18">
        <v>2047</v>
      </c>
      <c r="D702" t="s">
        <v>167</v>
      </c>
      <c r="E702" s="9">
        <v>22711.0314220654</v>
      </c>
      <c r="F702" s="9">
        <v>15733.6054700062</v>
      </c>
      <c r="G702" s="9">
        <v>22699.6629629007</v>
      </c>
      <c r="H702" s="9">
        <v>15728.485494730299</v>
      </c>
      <c r="I702" s="21">
        <f t="shared" si="20"/>
        <v>-5.1199752759002877</v>
      </c>
      <c r="J702" s="21">
        <f t="shared" si="21"/>
        <v>-11.368459164699743</v>
      </c>
    </row>
    <row r="703" spans="1:10" hidden="1">
      <c r="A703" t="s">
        <v>201</v>
      </c>
      <c r="B703" t="s">
        <v>203</v>
      </c>
      <c r="C703" s="18">
        <v>2047</v>
      </c>
      <c r="D703" t="s">
        <v>206</v>
      </c>
      <c r="E703" s="9">
        <v>1231920.93801205</v>
      </c>
      <c r="F703" s="9">
        <v>301695.362438777</v>
      </c>
      <c r="G703" s="9">
        <v>1235274.66521773</v>
      </c>
      <c r="H703" s="9">
        <v>302180.55031250097</v>
      </c>
      <c r="I703" s="21">
        <f t="shared" si="20"/>
        <v>485.18787372397492</v>
      </c>
      <c r="J703" s="21">
        <f t="shared" si="21"/>
        <v>3353.7272056799848</v>
      </c>
    </row>
    <row r="704" spans="1:10" hidden="1">
      <c r="A704" t="s">
        <v>201</v>
      </c>
      <c r="B704" t="s">
        <v>203</v>
      </c>
      <c r="C704" s="18">
        <v>2047</v>
      </c>
      <c r="D704" t="s">
        <v>174</v>
      </c>
      <c r="E704" s="9">
        <v>157203.130104907</v>
      </c>
      <c r="F704" s="9">
        <v>106315.401654613</v>
      </c>
      <c r="G704" s="9">
        <v>157435.937342911</v>
      </c>
      <c r="H704" s="9">
        <v>106487.67776034201</v>
      </c>
      <c r="I704" s="21">
        <f t="shared" si="20"/>
        <v>172.27610572900448</v>
      </c>
      <c r="J704" s="21">
        <f t="shared" si="21"/>
        <v>232.80723800399574</v>
      </c>
    </row>
    <row r="705" spans="1:10" hidden="1">
      <c r="A705" t="s">
        <v>201</v>
      </c>
      <c r="B705" t="s">
        <v>203</v>
      </c>
      <c r="C705" s="18">
        <v>2047</v>
      </c>
      <c r="D705" t="s">
        <v>178</v>
      </c>
      <c r="E705" s="9">
        <v>494445.363835353</v>
      </c>
      <c r="F705" s="9">
        <v>459965.47156842198</v>
      </c>
      <c r="G705" s="9">
        <v>495047.33168069902</v>
      </c>
      <c r="H705" s="9">
        <v>460539.427749469</v>
      </c>
      <c r="I705" s="21">
        <f t="shared" si="20"/>
        <v>573.95618104701862</v>
      </c>
      <c r="J705" s="21">
        <f t="shared" si="21"/>
        <v>601.96784534602193</v>
      </c>
    </row>
    <row r="706" spans="1:10" hidden="1">
      <c r="A706" t="s">
        <v>201</v>
      </c>
      <c r="B706" t="s">
        <v>203</v>
      </c>
      <c r="C706" s="18">
        <v>2047</v>
      </c>
      <c r="D706" t="s">
        <v>181</v>
      </c>
      <c r="E706" s="9">
        <v>850553.30806759896</v>
      </c>
      <c r="F706" s="9">
        <v>545789.52630067396</v>
      </c>
      <c r="G706" s="9">
        <v>852357.03689663101</v>
      </c>
      <c r="H706" s="9">
        <v>546892.884748123</v>
      </c>
      <c r="I706" s="21">
        <f t="shared" ref="I706:I769" si="22">H706-F706</f>
        <v>1103.358447449049</v>
      </c>
      <c r="J706" s="21">
        <f t="shared" ref="J706:J769" si="23">G706-E706</f>
        <v>1803.728829032043</v>
      </c>
    </row>
    <row r="707" spans="1:10" hidden="1">
      <c r="A707" t="s">
        <v>201</v>
      </c>
      <c r="B707" t="s">
        <v>203</v>
      </c>
      <c r="C707" s="18">
        <v>2047</v>
      </c>
      <c r="D707" t="s">
        <v>184</v>
      </c>
      <c r="E707" s="9">
        <v>665395.39878067805</v>
      </c>
      <c r="F707" s="9">
        <v>406596.79683397303</v>
      </c>
      <c r="G707" s="9">
        <v>665960.53053760703</v>
      </c>
      <c r="H707" s="9">
        <v>406938.30985862098</v>
      </c>
      <c r="I707" s="21">
        <f t="shared" si="22"/>
        <v>341.51302464795299</v>
      </c>
      <c r="J707" s="21">
        <f t="shared" si="23"/>
        <v>565.13175692898221</v>
      </c>
    </row>
    <row r="708" spans="1:10" hidden="1">
      <c r="A708" t="s">
        <v>201</v>
      </c>
      <c r="B708" t="s">
        <v>203</v>
      </c>
      <c r="C708" s="18">
        <v>2047</v>
      </c>
      <c r="D708" t="s">
        <v>365</v>
      </c>
      <c r="E708" s="9">
        <v>43218.831076921902</v>
      </c>
      <c r="F708" s="9">
        <v>7716.3260163192199</v>
      </c>
      <c r="G708" s="9">
        <v>43217.634192350401</v>
      </c>
      <c r="H708" s="9">
        <v>7716.2645250788601</v>
      </c>
      <c r="I708" s="21">
        <f t="shared" si="22"/>
        <v>-6.1491240359828225E-2</v>
      </c>
      <c r="J708" s="21">
        <f t="shared" si="23"/>
        <v>-1.1968845715018688</v>
      </c>
    </row>
    <row r="709" spans="1:10" hidden="1">
      <c r="A709" t="s">
        <v>201</v>
      </c>
      <c r="B709" t="s">
        <v>203</v>
      </c>
      <c r="C709" s="18">
        <v>2048</v>
      </c>
      <c r="D709" t="s">
        <v>167</v>
      </c>
      <c r="E709" s="9">
        <v>23192.214576917999</v>
      </c>
      <c r="F709" s="9">
        <v>16030.905169698</v>
      </c>
      <c r="G709" s="9">
        <v>23179.777529823201</v>
      </c>
      <c r="H709" s="9">
        <v>16025.2187605858</v>
      </c>
      <c r="I709" s="21">
        <f t="shared" si="22"/>
        <v>-5.6864091122006357</v>
      </c>
      <c r="J709" s="21">
        <f t="shared" si="23"/>
        <v>-12.43704709479789</v>
      </c>
    </row>
    <row r="710" spans="1:10" hidden="1">
      <c r="A710" t="s">
        <v>201</v>
      </c>
      <c r="B710" t="s">
        <v>203</v>
      </c>
      <c r="C710" s="18">
        <v>2048</v>
      </c>
      <c r="D710" t="s">
        <v>206</v>
      </c>
      <c r="E710" s="9">
        <v>1236868.87936865</v>
      </c>
      <c r="F710" s="9">
        <v>308454.24911953998</v>
      </c>
      <c r="G710" s="9">
        <v>1240209.10376068</v>
      </c>
      <c r="H710" s="9">
        <v>308964.31037728197</v>
      </c>
      <c r="I710" s="21">
        <f t="shared" si="22"/>
        <v>510.06125774199609</v>
      </c>
      <c r="J710" s="21">
        <f t="shared" si="23"/>
        <v>3340.2243920299225</v>
      </c>
    </row>
    <row r="711" spans="1:10" hidden="1">
      <c r="A711" t="s">
        <v>201</v>
      </c>
      <c r="B711" t="s">
        <v>203</v>
      </c>
      <c r="C711" s="18">
        <v>2048</v>
      </c>
      <c r="D711" t="s">
        <v>174</v>
      </c>
      <c r="E711" s="9">
        <v>159645.025837377</v>
      </c>
      <c r="F711" s="9">
        <v>108032.095325267</v>
      </c>
      <c r="G711" s="9">
        <v>159877.06955740901</v>
      </c>
      <c r="H711" s="9">
        <v>108205.309376064</v>
      </c>
      <c r="I711" s="21">
        <f t="shared" si="22"/>
        <v>173.21405079700344</v>
      </c>
      <c r="J711" s="21">
        <f t="shared" si="23"/>
        <v>232.04372003200115</v>
      </c>
    </row>
    <row r="712" spans="1:10" hidden="1">
      <c r="A712" t="s">
        <v>201</v>
      </c>
      <c r="B712" t="s">
        <v>203</v>
      </c>
      <c r="C712" s="18">
        <v>2048</v>
      </c>
      <c r="D712" t="s">
        <v>178</v>
      </c>
      <c r="E712" s="9">
        <v>499653.41059895401</v>
      </c>
      <c r="F712" s="9">
        <v>464985.81968661898</v>
      </c>
      <c r="G712" s="9">
        <v>500251.96367663803</v>
      </c>
      <c r="H712" s="9">
        <v>465558.478994868</v>
      </c>
      <c r="I712" s="21">
        <f t="shared" si="22"/>
        <v>572.65930824901443</v>
      </c>
      <c r="J712" s="21">
        <f t="shared" si="23"/>
        <v>598.5530776840169</v>
      </c>
    </row>
    <row r="713" spans="1:10" hidden="1">
      <c r="A713" t="s">
        <v>201</v>
      </c>
      <c r="B713" t="s">
        <v>203</v>
      </c>
      <c r="C713" s="18">
        <v>2048</v>
      </c>
      <c r="D713" t="s">
        <v>181</v>
      </c>
      <c r="E713" s="9">
        <v>860617.20118379302</v>
      </c>
      <c r="F713" s="9">
        <v>554092.48487345595</v>
      </c>
      <c r="G713" s="9">
        <v>862421.19766606798</v>
      </c>
      <c r="H713" s="9">
        <v>555219.25427407597</v>
      </c>
      <c r="I713" s="21">
        <f t="shared" si="22"/>
        <v>1126.7694006200181</v>
      </c>
      <c r="J713" s="21">
        <f t="shared" si="23"/>
        <v>1803.9964822749607</v>
      </c>
    </row>
    <row r="714" spans="1:10" hidden="1">
      <c r="A714" t="s">
        <v>201</v>
      </c>
      <c r="B714" t="s">
        <v>203</v>
      </c>
      <c r="C714" s="18">
        <v>2048</v>
      </c>
      <c r="D714" t="s">
        <v>184</v>
      </c>
      <c r="E714" s="9">
        <v>674984.10200982296</v>
      </c>
      <c r="F714" s="9">
        <v>415877.65324738302</v>
      </c>
      <c r="G714" s="9">
        <v>675538.06713143899</v>
      </c>
      <c r="H714" s="9">
        <v>416221.14564351598</v>
      </c>
      <c r="I714" s="21">
        <f t="shared" si="22"/>
        <v>343.49239613296231</v>
      </c>
      <c r="J714" s="21">
        <f t="shared" si="23"/>
        <v>553.96512161602732</v>
      </c>
    </row>
    <row r="715" spans="1:10" hidden="1">
      <c r="A715" t="s">
        <v>201</v>
      </c>
      <c r="B715" t="s">
        <v>203</v>
      </c>
      <c r="C715" s="18">
        <v>2048</v>
      </c>
      <c r="D715" t="s">
        <v>365</v>
      </c>
      <c r="E715" s="9">
        <v>43248.405546047397</v>
      </c>
      <c r="F715" s="9">
        <v>7741.0367739231497</v>
      </c>
      <c r="G715" s="9">
        <v>43247.116568268502</v>
      </c>
      <c r="H715" s="9">
        <v>7740.9682323091401</v>
      </c>
      <c r="I715" s="21">
        <f t="shared" si="22"/>
        <v>-6.8541614009518526E-2</v>
      </c>
      <c r="J715" s="21">
        <f t="shared" si="23"/>
        <v>-1.2889777788950596</v>
      </c>
    </row>
    <row r="716" spans="1:10" hidden="1">
      <c r="A716" t="s">
        <v>201</v>
      </c>
      <c r="B716" t="s">
        <v>203</v>
      </c>
      <c r="C716" s="18">
        <v>2049</v>
      </c>
      <c r="D716" t="s">
        <v>167</v>
      </c>
      <c r="E716" s="9">
        <v>23663.903938011499</v>
      </c>
      <c r="F716" s="9">
        <v>16328.8915562825</v>
      </c>
      <c r="G716" s="9">
        <v>23650.361484044901</v>
      </c>
      <c r="H716" s="9">
        <v>16322.61151708</v>
      </c>
      <c r="I716" s="21">
        <f t="shared" si="22"/>
        <v>-6.2800392025001202</v>
      </c>
      <c r="J716" s="21">
        <f t="shared" si="23"/>
        <v>-13.542453966598259</v>
      </c>
    </row>
    <row r="717" spans="1:10" hidden="1">
      <c r="A717" t="s">
        <v>201</v>
      </c>
      <c r="B717" t="s">
        <v>203</v>
      </c>
      <c r="C717" s="18">
        <v>2049</v>
      </c>
      <c r="D717" t="s">
        <v>206</v>
      </c>
      <c r="E717" s="9">
        <v>1241631.5552502701</v>
      </c>
      <c r="F717" s="9">
        <v>314994.162975966</v>
      </c>
      <c r="G717" s="9">
        <v>1244958.37630862</v>
      </c>
      <c r="H717" s="9">
        <v>315528.65457465599</v>
      </c>
      <c r="I717" s="21">
        <f t="shared" si="22"/>
        <v>534.49159868998686</v>
      </c>
      <c r="J717" s="21">
        <f t="shared" si="23"/>
        <v>3326.8210583499167</v>
      </c>
    </row>
    <row r="718" spans="1:10" hidden="1">
      <c r="A718" t="s">
        <v>201</v>
      </c>
      <c r="B718" t="s">
        <v>203</v>
      </c>
      <c r="C718" s="18">
        <v>2049</v>
      </c>
      <c r="D718" t="s">
        <v>174</v>
      </c>
      <c r="E718" s="9">
        <v>162007.13002013601</v>
      </c>
      <c r="F718" s="9">
        <v>109708.463739336</v>
      </c>
      <c r="G718" s="9">
        <v>162238.134685625</v>
      </c>
      <c r="H718" s="9">
        <v>109882.371148655</v>
      </c>
      <c r="I718" s="21">
        <f t="shared" si="22"/>
        <v>173.90740931899927</v>
      </c>
      <c r="J718" s="21">
        <f t="shared" si="23"/>
        <v>231.00466548898839</v>
      </c>
    </row>
    <row r="719" spans="1:10" hidden="1">
      <c r="A719" t="s">
        <v>201</v>
      </c>
      <c r="B719" t="s">
        <v>203</v>
      </c>
      <c r="C719" s="18">
        <v>2049</v>
      </c>
      <c r="D719" t="s">
        <v>178</v>
      </c>
      <c r="E719" s="9">
        <v>504621.24450108799</v>
      </c>
      <c r="F719" s="9">
        <v>469813.05161414901</v>
      </c>
      <c r="G719" s="9">
        <v>505215.90050813899</v>
      </c>
      <c r="H719" s="9">
        <v>470383.880162835</v>
      </c>
      <c r="I719" s="21">
        <f t="shared" si="22"/>
        <v>570.82854868599679</v>
      </c>
      <c r="J719" s="21">
        <f t="shared" si="23"/>
        <v>594.65600705100223</v>
      </c>
    </row>
    <row r="720" spans="1:10" hidden="1">
      <c r="A720" t="s">
        <v>201</v>
      </c>
      <c r="B720" t="s">
        <v>203</v>
      </c>
      <c r="C720" s="18">
        <v>2049</v>
      </c>
      <c r="D720" t="s">
        <v>181</v>
      </c>
      <c r="E720" s="9">
        <v>870236.52046328504</v>
      </c>
      <c r="F720" s="9">
        <v>562190.03805939795</v>
      </c>
      <c r="G720" s="9">
        <v>872039.41256190802</v>
      </c>
      <c r="H720" s="9">
        <v>563337.76559367101</v>
      </c>
      <c r="I720" s="21">
        <f t="shared" si="22"/>
        <v>1147.7275342730572</v>
      </c>
      <c r="J720" s="21">
        <f t="shared" si="23"/>
        <v>1802.8920986229787</v>
      </c>
    </row>
    <row r="721" spans="1:10" hidden="1">
      <c r="A721" t="s">
        <v>201</v>
      </c>
      <c r="B721" t="s">
        <v>203</v>
      </c>
      <c r="C721" s="18">
        <v>2049</v>
      </c>
      <c r="D721" t="s">
        <v>184</v>
      </c>
      <c r="E721" s="9">
        <v>684257.45106349804</v>
      </c>
      <c r="F721" s="9">
        <v>424867.20252216997</v>
      </c>
      <c r="G721" s="9">
        <v>684799.51924341801</v>
      </c>
      <c r="H721" s="9">
        <v>425211.29480666103</v>
      </c>
      <c r="I721" s="21">
        <f t="shared" si="22"/>
        <v>344.09228449105285</v>
      </c>
      <c r="J721" s="21">
        <f t="shared" si="23"/>
        <v>542.0681799199665</v>
      </c>
    </row>
    <row r="722" spans="1:10" hidden="1">
      <c r="A722" t="s">
        <v>201</v>
      </c>
      <c r="B722" t="s">
        <v>203</v>
      </c>
      <c r="C722" s="18">
        <v>2049</v>
      </c>
      <c r="D722" t="s">
        <v>365</v>
      </c>
      <c r="E722" s="9">
        <v>43289.0763499405</v>
      </c>
      <c r="F722" s="9">
        <v>7764.5010330627701</v>
      </c>
      <c r="G722" s="9">
        <v>43287.694118175197</v>
      </c>
      <c r="H722" s="9">
        <v>7764.4250577338198</v>
      </c>
      <c r="I722" s="21">
        <f t="shared" si="22"/>
        <v>-7.5975328950335097E-2</v>
      </c>
      <c r="J722" s="21">
        <f t="shared" si="23"/>
        <v>-1.3822317653030041</v>
      </c>
    </row>
    <row r="723" spans="1:10" hidden="1">
      <c r="A723" t="s">
        <v>201</v>
      </c>
      <c r="B723" t="s">
        <v>203</v>
      </c>
      <c r="C723" s="18">
        <v>2050</v>
      </c>
      <c r="D723" t="s">
        <v>167</v>
      </c>
      <c r="E723" s="9">
        <v>24125.110789279599</v>
      </c>
      <c r="F723" s="9">
        <v>16625.8225148862</v>
      </c>
      <c r="G723" s="9">
        <v>24110.4306261692</v>
      </c>
      <c r="H723" s="9">
        <v>16618.923709126098</v>
      </c>
      <c r="I723" s="21">
        <f t="shared" si="22"/>
        <v>-6.8988057601018227</v>
      </c>
      <c r="J723" s="21">
        <f t="shared" si="23"/>
        <v>-14.680163110399008</v>
      </c>
    </row>
    <row r="724" spans="1:10" hidden="1">
      <c r="A724" t="s">
        <v>201</v>
      </c>
      <c r="B724" t="s">
        <v>203</v>
      </c>
      <c r="C724" s="18">
        <v>2050</v>
      </c>
      <c r="D724" t="s">
        <v>206</v>
      </c>
      <c r="E724" s="9">
        <v>1246261.3010485</v>
      </c>
      <c r="F724" s="9">
        <v>321307.69234375202</v>
      </c>
      <c r="G724" s="9">
        <v>1249574.9812984299</v>
      </c>
      <c r="H724" s="9">
        <v>321866.14542390499</v>
      </c>
      <c r="I724" s="21">
        <f t="shared" si="22"/>
        <v>558.45308015297633</v>
      </c>
      <c r="J724" s="21">
        <f t="shared" si="23"/>
        <v>3313.6802499298938</v>
      </c>
    </row>
    <row r="725" spans="1:10" hidden="1">
      <c r="A725" t="s">
        <v>201</v>
      </c>
      <c r="B725" t="s">
        <v>203</v>
      </c>
      <c r="C725" s="18">
        <v>2050</v>
      </c>
      <c r="D725" t="s">
        <v>174</v>
      </c>
      <c r="E725" s="9">
        <v>164297.23120790001</v>
      </c>
      <c r="F725" s="9">
        <v>111321.91583549599</v>
      </c>
      <c r="G725" s="9">
        <v>164526.94959842</v>
      </c>
      <c r="H725" s="9">
        <v>111496.260054028</v>
      </c>
      <c r="I725" s="21">
        <f t="shared" si="22"/>
        <v>174.34421853200183</v>
      </c>
      <c r="J725" s="21">
        <f t="shared" si="23"/>
        <v>229.71839051999268</v>
      </c>
    </row>
    <row r="726" spans="1:10" hidden="1">
      <c r="A726" t="s">
        <v>201</v>
      </c>
      <c r="B726" t="s">
        <v>203</v>
      </c>
      <c r="C726" s="18">
        <v>2050</v>
      </c>
      <c r="D726" t="s">
        <v>178</v>
      </c>
      <c r="E726" s="9">
        <v>509333.50795922597</v>
      </c>
      <c r="F726" s="9">
        <v>474324.90254841599</v>
      </c>
      <c r="G726" s="9">
        <v>509923.79465326603</v>
      </c>
      <c r="H726" s="9">
        <v>474893.25455494301</v>
      </c>
      <c r="I726" s="21">
        <f t="shared" si="22"/>
        <v>568.35200652701315</v>
      </c>
      <c r="J726" s="21">
        <f t="shared" si="23"/>
        <v>590.28669404005632</v>
      </c>
    </row>
    <row r="727" spans="1:10" hidden="1">
      <c r="A727" t="s">
        <v>201</v>
      </c>
      <c r="B727" t="s">
        <v>203</v>
      </c>
      <c r="C727" s="18">
        <v>2050</v>
      </c>
      <c r="D727" t="s">
        <v>181</v>
      </c>
      <c r="E727" s="9">
        <v>879419.66849986499</v>
      </c>
      <c r="F727" s="9">
        <v>570138.61306968494</v>
      </c>
      <c r="G727" s="9">
        <v>881220.21017861494</v>
      </c>
      <c r="H727" s="9">
        <v>571305.13066545594</v>
      </c>
      <c r="I727" s="21">
        <f t="shared" si="22"/>
        <v>1166.5175957710017</v>
      </c>
      <c r="J727" s="21">
        <f t="shared" si="23"/>
        <v>1800.5416787499562</v>
      </c>
    </row>
    <row r="728" spans="1:10" hidden="1">
      <c r="A728" t="s">
        <v>201</v>
      </c>
      <c r="B728" t="s">
        <v>203</v>
      </c>
      <c r="C728" s="18">
        <v>2050</v>
      </c>
      <c r="D728" t="s">
        <v>184</v>
      </c>
      <c r="E728" s="9">
        <v>693303.76525605796</v>
      </c>
      <c r="F728" s="9">
        <v>433584.72546376399</v>
      </c>
      <c r="G728" s="9">
        <v>693833.37581002596</v>
      </c>
      <c r="H728" s="9">
        <v>433928.11684243701</v>
      </c>
      <c r="I728" s="21">
        <f t="shared" si="22"/>
        <v>343.39137867302634</v>
      </c>
      <c r="J728" s="21">
        <f t="shared" si="23"/>
        <v>529.61055396799929</v>
      </c>
    </row>
    <row r="729" spans="1:10" hidden="1">
      <c r="A729" t="s">
        <v>201</v>
      </c>
      <c r="B729" t="s">
        <v>203</v>
      </c>
      <c r="C729" s="18">
        <v>2050</v>
      </c>
      <c r="D729" t="s">
        <v>365</v>
      </c>
      <c r="E729" s="9">
        <v>43338.810348016603</v>
      </c>
      <c r="F729" s="9">
        <v>7785.67630111771</v>
      </c>
      <c r="G729" s="9">
        <v>43337.334071848098</v>
      </c>
      <c r="H729" s="9">
        <v>7785.5925162465101</v>
      </c>
      <c r="I729" s="21">
        <f t="shared" si="22"/>
        <v>-8.3784871199895861E-2</v>
      </c>
      <c r="J729" s="21">
        <f t="shared" si="23"/>
        <v>-1.4762761685051373</v>
      </c>
    </row>
    <row r="730" spans="1:10" hidden="1">
      <c r="A730" t="s">
        <v>212</v>
      </c>
      <c r="B730" t="s">
        <v>214</v>
      </c>
      <c r="C730" s="18">
        <v>2025</v>
      </c>
      <c r="D730" t="s">
        <v>167</v>
      </c>
      <c r="E730" s="9">
        <v>12347.3896757033</v>
      </c>
      <c r="F730" s="9">
        <v>8975.3084972287597</v>
      </c>
      <c r="G730" s="9">
        <v>12347.3896757033</v>
      </c>
      <c r="H730" s="9">
        <v>8975.3084972287597</v>
      </c>
      <c r="I730" s="21">
        <f t="shared" si="22"/>
        <v>0</v>
      </c>
      <c r="J730" s="21">
        <f t="shared" si="23"/>
        <v>0</v>
      </c>
    </row>
    <row r="731" spans="1:10" hidden="1">
      <c r="A731" t="s">
        <v>212</v>
      </c>
      <c r="B731" t="s">
        <v>214</v>
      </c>
      <c r="C731" s="18">
        <v>2025</v>
      </c>
      <c r="D731" t="s">
        <v>206</v>
      </c>
      <c r="E731" s="9">
        <v>1026043.97207164</v>
      </c>
      <c r="F731" s="9">
        <v>129403.02283067199</v>
      </c>
      <c r="G731" s="9">
        <v>1026043.97207164</v>
      </c>
      <c r="H731" s="9">
        <v>129403.02283067199</v>
      </c>
      <c r="I731" s="21">
        <f t="shared" si="22"/>
        <v>0</v>
      </c>
      <c r="J731" s="21">
        <f t="shared" si="23"/>
        <v>0</v>
      </c>
    </row>
    <row r="732" spans="1:10" hidden="1">
      <c r="A732" t="s">
        <v>212</v>
      </c>
      <c r="B732" t="s">
        <v>214</v>
      </c>
      <c r="C732" s="18">
        <v>2025</v>
      </c>
      <c r="D732" t="s">
        <v>174</v>
      </c>
      <c r="E732" s="9">
        <v>91684.509014274605</v>
      </c>
      <c r="F732" s="9">
        <v>63318.751825202096</v>
      </c>
      <c r="G732" s="9">
        <v>91684.509014274605</v>
      </c>
      <c r="H732" s="9">
        <v>63318.751825202096</v>
      </c>
      <c r="I732" s="21">
        <f t="shared" si="22"/>
        <v>0</v>
      </c>
      <c r="J732" s="21">
        <f t="shared" si="23"/>
        <v>0</v>
      </c>
    </row>
    <row r="733" spans="1:10" hidden="1">
      <c r="A733" t="s">
        <v>212</v>
      </c>
      <c r="B733" t="s">
        <v>214</v>
      </c>
      <c r="C733" s="18">
        <v>2025</v>
      </c>
      <c r="D733" t="s">
        <v>178</v>
      </c>
      <c r="E733" s="9">
        <v>327817.99211152899</v>
      </c>
      <c r="F733" s="9">
        <v>300216.82861998002</v>
      </c>
      <c r="G733" s="9">
        <v>327817.99211152899</v>
      </c>
      <c r="H733" s="9">
        <v>300216.82861998002</v>
      </c>
      <c r="I733" s="21">
        <f t="shared" si="22"/>
        <v>0</v>
      </c>
      <c r="J733" s="21">
        <f t="shared" si="23"/>
        <v>0</v>
      </c>
    </row>
    <row r="734" spans="1:10" hidden="1">
      <c r="A734" t="s">
        <v>212</v>
      </c>
      <c r="B734" t="s">
        <v>214</v>
      </c>
      <c r="C734" s="18">
        <v>2025</v>
      </c>
      <c r="D734" t="s">
        <v>181</v>
      </c>
      <c r="E734" s="9">
        <v>563964.12892884796</v>
      </c>
      <c r="F734" s="9">
        <v>321188.16298793198</v>
      </c>
      <c r="G734" s="9">
        <v>563964.12892884796</v>
      </c>
      <c r="H734" s="9">
        <v>321188.16298793198</v>
      </c>
      <c r="I734" s="21">
        <f t="shared" si="22"/>
        <v>0</v>
      </c>
      <c r="J734" s="21">
        <f t="shared" si="23"/>
        <v>0</v>
      </c>
    </row>
    <row r="735" spans="1:10" hidden="1">
      <c r="A735" t="s">
        <v>212</v>
      </c>
      <c r="B735" t="s">
        <v>214</v>
      </c>
      <c r="C735" s="18">
        <v>2025</v>
      </c>
      <c r="D735" t="s">
        <v>184</v>
      </c>
      <c r="E735" s="9">
        <v>396205.91279756802</v>
      </c>
      <c r="F735" s="9">
        <v>191954.71357959701</v>
      </c>
      <c r="G735" s="9">
        <v>396205.91279756802</v>
      </c>
      <c r="H735" s="9">
        <v>191954.71357959701</v>
      </c>
      <c r="I735" s="21">
        <f t="shared" si="22"/>
        <v>0</v>
      </c>
      <c r="J735" s="21">
        <f t="shared" si="23"/>
        <v>0</v>
      </c>
    </row>
    <row r="736" spans="1:10" hidden="1">
      <c r="A736" t="s">
        <v>212</v>
      </c>
      <c r="B736" t="s">
        <v>214</v>
      </c>
      <c r="C736" s="18">
        <v>2025</v>
      </c>
      <c r="D736" t="s">
        <v>365</v>
      </c>
      <c r="E736" s="9">
        <v>44024.855784556101</v>
      </c>
      <c r="F736" s="9">
        <v>6961.0286695127397</v>
      </c>
      <c r="G736" s="9">
        <v>44024.855784556101</v>
      </c>
      <c r="H736" s="9">
        <v>6961.0286695127397</v>
      </c>
      <c r="I736" s="21">
        <f t="shared" si="22"/>
        <v>0</v>
      </c>
      <c r="J736" s="21">
        <f t="shared" si="23"/>
        <v>0</v>
      </c>
    </row>
    <row r="737" spans="1:10" hidden="1">
      <c r="A737" t="s">
        <v>212</v>
      </c>
      <c r="B737" t="s">
        <v>214</v>
      </c>
      <c r="C737" s="18">
        <v>2026</v>
      </c>
      <c r="D737" t="s">
        <v>167</v>
      </c>
      <c r="E737" s="9">
        <v>12812.507871628</v>
      </c>
      <c r="F737" s="9">
        <v>9308.2642091095495</v>
      </c>
      <c r="G737" s="9">
        <v>12812.507871628</v>
      </c>
      <c r="H737" s="9">
        <v>9308.2642091095495</v>
      </c>
      <c r="I737" s="21">
        <f t="shared" si="22"/>
        <v>0</v>
      </c>
      <c r="J737" s="21">
        <f t="shared" si="23"/>
        <v>0</v>
      </c>
    </row>
    <row r="738" spans="1:10" hidden="1">
      <c r="A738" t="s">
        <v>212</v>
      </c>
      <c r="B738" t="s">
        <v>214</v>
      </c>
      <c r="C738" s="18">
        <v>2026</v>
      </c>
      <c r="D738" t="s">
        <v>206</v>
      </c>
      <c r="E738" s="9">
        <v>1040956.74283153</v>
      </c>
      <c r="F738" s="9">
        <v>137191.89613692299</v>
      </c>
      <c r="G738" s="9">
        <v>1040956.74283153</v>
      </c>
      <c r="H738" s="9">
        <v>137191.89613692299</v>
      </c>
      <c r="I738" s="21">
        <f t="shared" si="22"/>
        <v>0</v>
      </c>
      <c r="J738" s="21">
        <f t="shared" si="23"/>
        <v>0</v>
      </c>
    </row>
    <row r="739" spans="1:10" hidden="1">
      <c r="A739" t="s">
        <v>212</v>
      </c>
      <c r="B739" t="s">
        <v>214</v>
      </c>
      <c r="C739" s="18">
        <v>2026</v>
      </c>
      <c r="D739" t="s">
        <v>174</v>
      </c>
      <c r="E739" s="9">
        <v>95077.183303526501</v>
      </c>
      <c r="F739" s="9">
        <v>65164.470413401701</v>
      </c>
      <c r="G739" s="9">
        <v>95077.183303526501</v>
      </c>
      <c r="H739" s="9">
        <v>65164.470413401701</v>
      </c>
      <c r="I739" s="21">
        <f t="shared" si="22"/>
        <v>0</v>
      </c>
      <c r="J739" s="21">
        <f t="shared" si="23"/>
        <v>0</v>
      </c>
    </row>
    <row r="740" spans="1:10" hidden="1">
      <c r="A740" t="s">
        <v>212</v>
      </c>
      <c r="B740" t="s">
        <v>214</v>
      </c>
      <c r="C740" s="18">
        <v>2026</v>
      </c>
      <c r="D740" t="s">
        <v>178</v>
      </c>
      <c r="E740" s="9">
        <v>336875.42349560501</v>
      </c>
      <c r="F740" s="9">
        <v>308606.943045308</v>
      </c>
      <c r="G740" s="9">
        <v>336875.42349560501</v>
      </c>
      <c r="H740" s="9">
        <v>308606.943045308</v>
      </c>
      <c r="I740" s="21">
        <f t="shared" si="22"/>
        <v>0</v>
      </c>
      <c r="J740" s="21">
        <f t="shared" si="23"/>
        <v>0</v>
      </c>
    </row>
    <row r="741" spans="1:10" hidden="1">
      <c r="A741" t="s">
        <v>212</v>
      </c>
      <c r="B741" t="s">
        <v>214</v>
      </c>
      <c r="C741" s="18">
        <v>2026</v>
      </c>
      <c r="D741" t="s">
        <v>181</v>
      </c>
      <c r="E741" s="9">
        <v>580111.54195764905</v>
      </c>
      <c r="F741" s="9">
        <v>332896.18576831103</v>
      </c>
      <c r="G741" s="9">
        <v>580111.54195764905</v>
      </c>
      <c r="H741" s="9">
        <v>332896.18576831103</v>
      </c>
      <c r="I741" s="21">
        <f t="shared" si="22"/>
        <v>0</v>
      </c>
      <c r="J741" s="21">
        <f t="shared" si="23"/>
        <v>0</v>
      </c>
    </row>
    <row r="742" spans="1:10" hidden="1">
      <c r="A742" t="s">
        <v>212</v>
      </c>
      <c r="B742" t="s">
        <v>214</v>
      </c>
      <c r="C742" s="18">
        <v>2026</v>
      </c>
      <c r="D742" t="s">
        <v>184</v>
      </c>
      <c r="E742" s="9">
        <v>409829.87281699001</v>
      </c>
      <c r="F742" s="9">
        <v>202008.19978323701</v>
      </c>
      <c r="G742" s="9">
        <v>409829.87281699001</v>
      </c>
      <c r="H742" s="9">
        <v>202008.19978323701</v>
      </c>
      <c r="I742" s="21">
        <f t="shared" si="22"/>
        <v>0</v>
      </c>
      <c r="J742" s="21">
        <f t="shared" si="23"/>
        <v>0</v>
      </c>
    </row>
    <row r="743" spans="1:10" hidden="1">
      <c r="A743" t="s">
        <v>212</v>
      </c>
      <c r="B743" t="s">
        <v>214</v>
      </c>
      <c r="C743" s="18">
        <v>2026</v>
      </c>
      <c r="D743" t="s">
        <v>365</v>
      </c>
      <c r="E743" s="9">
        <v>44219.170751765298</v>
      </c>
      <c r="F743" s="9">
        <v>7023.7712687228704</v>
      </c>
      <c r="G743" s="9">
        <v>44219.170751765298</v>
      </c>
      <c r="H743" s="9">
        <v>7023.7712687228704</v>
      </c>
      <c r="I743" s="21">
        <f t="shared" si="22"/>
        <v>0</v>
      </c>
      <c r="J743" s="21">
        <f t="shared" si="23"/>
        <v>0</v>
      </c>
    </row>
    <row r="744" spans="1:10" hidden="1">
      <c r="A744" t="s">
        <v>212</v>
      </c>
      <c r="B744" t="s">
        <v>214</v>
      </c>
      <c r="C744" s="18">
        <v>2027</v>
      </c>
      <c r="D744" t="s">
        <v>167</v>
      </c>
      <c r="E744" s="9">
        <v>13273.481772584</v>
      </c>
      <c r="F744" s="9">
        <v>9640.7153077701696</v>
      </c>
      <c r="G744" s="9">
        <v>13273.481772584</v>
      </c>
      <c r="H744" s="9">
        <v>9640.7153077701696</v>
      </c>
      <c r="I744" s="21">
        <f t="shared" si="22"/>
        <v>0</v>
      </c>
      <c r="J744" s="21">
        <f t="shared" si="23"/>
        <v>0</v>
      </c>
    </row>
    <row r="745" spans="1:10" hidden="1">
      <c r="A745" t="s">
        <v>212</v>
      </c>
      <c r="B745" t="s">
        <v>214</v>
      </c>
      <c r="C745" s="18">
        <v>2027</v>
      </c>
      <c r="D745" t="s">
        <v>206</v>
      </c>
      <c r="E745" s="9">
        <v>1053988.9023648</v>
      </c>
      <c r="F745" s="9">
        <v>145087.13077641799</v>
      </c>
      <c r="G745" s="9">
        <v>1055255.40879996</v>
      </c>
      <c r="H745" s="9">
        <v>145087.13077641799</v>
      </c>
      <c r="I745" s="21">
        <f t="shared" si="22"/>
        <v>0</v>
      </c>
      <c r="J745" s="21">
        <f t="shared" si="23"/>
        <v>1266.5064351600595</v>
      </c>
    </row>
    <row r="746" spans="1:10" hidden="1">
      <c r="A746" t="s">
        <v>212</v>
      </c>
      <c r="B746" t="s">
        <v>214</v>
      </c>
      <c r="C746" s="18">
        <v>2027</v>
      </c>
      <c r="D746" t="s">
        <v>174</v>
      </c>
      <c r="E746" s="9">
        <v>98448.827883966893</v>
      </c>
      <c r="F746" s="9">
        <v>67068.016908610196</v>
      </c>
      <c r="G746" s="9">
        <v>98448.827883966893</v>
      </c>
      <c r="H746" s="9">
        <v>67068.016908610196</v>
      </c>
      <c r="I746" s="21">
        <f t="shared" si="22"/>
        <v>0</v>
      </c>
      <c r="J746" s="21">
        <f t="shared" si="23"/>
        <v>0</v>
      </c>
    </row>
    <row r="747" spans="1:10" hidden="1">
      <c r="A747" t="s">
        <v>212</v>
      </c>
      <c r="B747" t="s">
        <v>214</v>
      </c>
      <c r="C747" s="18">
        <v>2027</v>
      </c>
      <c r="D747" t="s">
        <v>178</v>
      </c>
      <c r="E747" s="9">
        <v>345707.57056446298</v>
      </c>
      <c r="F747" s="9">
        <v>317119.55355255498</v>
      </c>
      <c r="G747" s="9">
        <v>345936.70671640302</v>
      </c>
      <c r="H747" s="9">
        <v>317119.55355255498</v>
      </c>
      <c r="I747" s="21">
        <f t="shared" si="22"/>
        <v>0</v>
      </c>
      <c r="J747" s="21">
        <f t="shared" si="23"/>
        <v>229.13615194003796</v>
      </c>
    </row>
    <row r="748" spans="1:10" hidden="1">
      <c r="A748" t="s">
        <v>212</v>
      </c>
      <c r="B748" t="s">
        <v>214</v>
      </c>
      <c r="C748" s="18">
        <v>2027</v>
      </c>
      <c r="D748" t="s">
        <v>181</v>
      </c>
      <c r="E748" s="9">
        <v>595030.06117755501</v>
      </c>
      <c r="F748" s="9">
        <v>344517.274659827</v>
      </c>
      <c r="G748" s="9">
        <v>596148.83233467594</v>
      </c>
      <c r="H748" s="9">
        <v>344517.274659827</v>
      </c>
      <c r="I748" s="21">
        <f t="shared" si="22"/>
        <v>0</v>
      </c>
      <c r="J748" s="21">
        <f t="shared" si="23"/>
        <v>1118.7711571209366</v>
      </c>
    </row>
    <row r="749" spans="1:10" hidden="1">
      <c r="A749" t="s">
        <v>212</v>
      </c>
      <c r="B749" t="s">
        <v>214</v>
      </c>
      <c r="C749" s="18">
        <v>2027</v>
      </c>
      <c r="D749" t="s">
        <v>184</v>
      </c>
      <c r="E749" s="9">
        <v>422953.443122953</v>
      </c>
      <c r="F749" s="9">
        <v>211995.48802417101</v>
      </c>
      <c r="G749" s="9">
        <v>423485.10132199898</v>
      </c>
      <c r="H749" s="9">
        <v>211995.48802417101</v>
      </c>
      <c r="I749" s="21">
        <f t="shared" si="22"/>
        <v>0</v>
      </c>
      <c r="J749" s="21">
        <f t="shared" si="23"/>
        <v>531.65819904598175</v>
      </c>
    </row>
    <row r="750" spans="1:10" hidden="1">
      <c r="A750" t="s">
        <v>212</v>
      </c>
      <c r="B750" t="s">
        <v>214</v>
      </c>
      <c r="C750" s="18">
        <v>2027</v>
      </c>
      <c r="D750" t="s">
        <v>365</v>
      </c>
      <c r="E750" s="9">
        <v>44384.2018393689</v>
      </c>
      <c r="F750" s="9">
        <v>7080.0570056816796</v>
      </c>
      <c r="G750" s="9">
        <v>44384.2018393689</v>
      </c>
      <c r="H750" s="9">
        <v>7080.0570056816796</v>
      </c>
      <c r="I750" s="21">
        <f t="shared" si="22"/>
        <v>0</v>
      </c>
      <c r="J750" s="21">
        <f t="shared" si="23"/>
        <v>0</v>
      </c>
    </row>
    <row r="751" spans="1:10" hidden="1">
      <c r="A751" t="s">
        <v>212</v>
      </c>
      <c r="B751" t="s">
        <v>214</v>
      </c>
      <c r="C751" s="18">
        <v>2028</v>
      </c>
      <c r="D751" t="s">
        <v>167</v>
      </c>
      <c r="E751" s="9">
        <v>13729.5005000864</v>
      </c>
      <c r="F751" s="9">
        <v>9971.4547216338906</v>
      </c>
      <c r="G751" s="9">
        <v>13729.5005000864</v>
      </c>
      <c r="H751" s="9">
        <v>9971.4547216338906</v>
      </c>
      <c r="I751" s="21">
        <f t="shared" si="22"/>
        <v>0</v>
      </c>
      <c r="J751" s="21">
        <f t="shared" si="23"/>
        <v>0</v>
      </c>
    </row>
    <row r="752" spans="1:10" hidden="1">
      <c r="A752" t="s">
        <v>212</v>
      </c>
      <c r="B752" t="s">
        <v>214</v>
      </c>
      <c r="C752" s="18">
        <v>2028</v>
      </c>
      <c r="D752" t="s">
        <v>206</v>
      </c>
      <c r="E752" s="9">
        <v>1066526.5789270401</v>
      </c>
      <c r="F752" s="9">
        <v>153069.270625148</v>
      </c>
      <c r="G752" s="9">
        <v>1069005.07088018</v>
      </c>
      <c r="H752" s="9">
        <v>153077.86738724401</v>
      </c>
      <c r="I752" s="21">
        <f t="shared" si="22"/>
        <v>8.5967620960145723</v>
      </c>
      <c r="J752" s="21">
        <f t="shared" si="23"/>
        <v>2478.4919531398918</v>
      </c>
    </row>
    <row r="753" spans="1:10" hidden="1">
      <c r="A753" t="s">
        <v>212</v>
      </c>
      <c r="B753" t="s">
        <v>214</v>
      </c>
      <c r="C753" s="18">
        <v>2028</v>
      </c>
      <c r="D753" t="s">
        <v>174</v>
      </c>
      <c r="E753" s="9">
        <v>101797.96761407</v>
      </c>
      <c r="F753" s="9">
        <v>69019.933123164999</v>
      </c>
      <c r="G753" s="9">
        <v>101797.96761407</v>
      </c>
      <c r="H753" s="9">
        <v>69019.933123164999</v>
      </c>
      <c r="I753" s="21">
        <f t="shared" si="22"/>
        <v>0</v>
      </c>
      <c r="J753" s="21">
        <f t="shared" si="23"/>
        <v>0</v>
      </c>
    </row>
    <row r="754" spans="1:10" hidden="1">
      <c r="A754" t="s">
        <v>212</v>
      </c>
      <c r="B754" t="s">
        <v>214</v>
      </c>
      <c r="C754" s="18">
        <v>2028</v>
      </c>
      <c r="D754" t="s">
        <v>178</v>
      </c>
      <c r="E754" s="9">
        <v>354510.454084764</v>
      </c>
      <c r="F754" s="9">
        <v>325589.07283060701</v>
      </c>
      <c r="G754" s="9">
        <v>354965.53581913299</v>
      </c>
      <c r="H754" s="9">
        <v>325690.68301689299</v>
      </c>
      <c r="I754" s="21">
        <f t="shared" si="22"/>
        <v>101.61018628597958</v>
      </c>
      <c r="J754" s="21">
        <f t="shared" si="23"/>
        <v>455.08173436898505</v>
      </c>
    </row>
    <row r="755" spans="1:10" hidden="1">
      <c r="A755" t="s">
        <v>212</v>
      </c>
      <c r="B755" t="s">
        <v>214</v>
      </c>
      <c r="C755" s="18">
        <v>2028</v>
      </c>
      <c r="D755" t="s">
        <v>181</v>
      </c>
      <c r="E755" s="9">
        <v>609812.93912038999</v>
      </c>
      <c r="F755" s="9">
        <v>356000.37889125902</v>
      </c>
      <c r="G755" s="9">
        <v>612031.65944475099</v>
      </c>
      <c r="H755" s="9">
        <v>356073.57143805898</v>
      </c>
      <c r="I755" s="21">
        <f t="shared" si="22"/>
        <v>73.192546799953561</v>
      </c>
      <c r="J755" s="21">
        <f t="shared" si="23"/>
        <v>2218.7203243609983</v>
      </c>
    </row>
    <row r="756" spans="1:10" hidden="1">
      <c r="A756" t="s">
        <v>212</v>
      </c>
      <c r="B756" t="s">
        <v>214</v>
      </c>
      <c r="C756" s="18">
        <v>2028</v>
      </c>
      <c r="D756" t="s">
        <v>184</v>
      </c>
      <c r="E756" s="9">
        <v>436099.67375844502</v>
      </c>
      <c r="F756" s="9">
        <v>221866.828554729</v>
      </c>
      <c r="G756" s="9">
        <v>437159.75519195799</v>
      </c>
      <c r="H756" s="9">
        <v>221908.95856330299</v>
      </c>
      <c r="I756" s="21">
        <f t="shared" si="22"/>
        <v>42.130008573993109</v>
      </c>
      <c r="J756" s="21">
        <f t="shared" si="23"/>
        <v>1060.0814335129689</v>
      </c>
    </row>
    <row r="757" spans="1:10" hidden="1">
      <c r="A757" t="s">
        <v>212</v>
      </c>
      <c r="B757" t="s">
        <v>214</v>
      </c>
      <c r="C757" s="18">
        <v>2028</v>
      </c>
      <c r="D757" t="s">
        <v>365</v>
      </c>
      <c r="E757" s="9">
        <v>44510.064962992903</v>
      </c>
      <c r="F757" s="9">
        <v>7131.0701635649802</v>
      </c>
      <c r="G757" s="9">
        <v>44510.064962992903</v>
      </c>
      <c r="H757" s="9">
        <v>7131.0701635649802</v>
      </c>
      <c r="I757" s="21">
        <f t="shared" si="22"/>
        <v>0</v>
      </c>
      <c r="J757" s="21">
        <f t="shared" si="23"/>
        <v>0</v>
      </c>
    </row>
    <row r="758" spans="1:10" hidden="1">
      <c r="A758" t="s">
        <v>212</v>
      </c>
      <c r="B758" t="s">
        <v>214</v>
      </c>
      <c r="C758" s="18">
        <v>2029</v>
      </c>
      <c r="D758" t="s">
        <v>167</v>
      </c>
      <c r="E758" s="9">
        <v>14181.508615102401</v>
      </c>
      <c r="F758" s="9">
        <v>10301.2295792609</v>
      </c>
      <c r="G758" s="9">
        <v>14181.423637546701</v>
      </c>
      <c r="H758" s="9">
        <v>10301.2295792609</v>
      </c>
      <c r="I758" s="21">
        <f t="shared" si="22"/>
        <v>0</v>
      </c>
      <c r="J758" s="21">
        <f t="shared" si="23"/>
        <v>-8.4977555699879304E-2</v>
      </c>
    </row>
    <row r="759" spans="1:10" hidden="1">
      <c r="A759" t="s">
        <v>212</v>
      </c>
      <c r="B759" t="s">
        <v>214</v>
      </c>
      <c r="C759" s="18">
        <v>2029</v>
      </c>
      <c r="D759" t="s">
        <v>206</v>
      </c>
      <c r="E759" s="9">
        <v>1078617.5278539101</v>
      </c>
      <c r="F759" s="9">
        <v>161135.30648845399</v>
      </c>
      <c r="G759" s="9">
        <v>1082252.3942307399</v>
      </c>
      <c r="H759" s="9">
        <v>161161.06213209301</v>
      </c>
      <c r="I759" s="21">
        <f t="shared" si="22"/>
        <v>25.755643639015034</v>
      </c>
      <c r="J759" s="21">
        <f t="shared" si="23"/>
        <v>3634.8663768297993</v>
      </c>
    </row>
    <row r="760" spans="1:10" hidden="1">
      <c r="A760" t="s">
        <v>212</v>
      </c>
      <c r="B760" t="s">
        <v>214</v>
      </c>
      <c r="C760" s="18">
        <v>2029</v>
      </c>
      <c r="D760" t="s">
        <v>174</v>
      </c>
      <c r="E760" s="9">
        <v>105115.190735746</v>
      </c>
      <c r="F760" s="9">
        <v>71042.054429439493</v>
      </c>
      <c r="G760" s="9">
        <v>105114.693344183</v>
      </c>
      <c r="H760" s="9">
        <v>71042.054429439493</v>
      </c>
      <c r="I760" s="21">
        <f t="shared" si="22"/>
        <v>0</v>
      </c>
      <c r="J760" s="21">
        <f t="shared" si="23"/>
        <v>-0.49739156299619935</v>
      </c>
    </row>
    <row r="761" spans="1:10" hidden="1">
      <c r="A761" t="s">
        <v>212</v>
      </c>
      <c r="B761" t="s">
        <v>214</v>
      </c>
      <c r="C761" s="18">
        <v>2029</v>
      </c>
      <c r="D761" t="s">
        <v>178</v>
      </c>
      <c r="E761" s="9">
        <v>363219.41828642</v>
      </c>
      <c r="F761" s="9">
        <v>334048.327978649</v>
      </c>
      <c r="G761" s="9">
        <v>363896.20424716797</v>
      </c>
      <c r="H761" s="9">
        <v>334292.677138926</v>
      </c>
      <c r="I761" s="21">
        <f t="shared" si="22"/>
        <v>244.34916027699364</v>
      </c>
      <c r="J761" s="21">
        <f t="shared" si="23"/>
        <v>676.78596074797679</v>
      </c>
    </row>
    <row r="762" spans="1:10" hidden="1">
      <c r="A762" t="s">
        <v>212</v>
      </c>
      <c r="B762" t="s">
        <v>214</v>
      </c>
      <c r="C762" s="18">
        <v>2029</v>
      </c>
      <c r="D762" t="s">
        <v>181</v>
      </c>
      <c r="E762" s="9">
        <v>624430.06224850297</v>
      </c>
      <c r="F762" s="9">
        <v>367362.33320806798</v>
      </c>
      <c r="G762" s="9">
        <v>627726.33689879405</v>
      </c>
      <c r="H762" s="9">
        <v>367575.22274735</v>
      </c>
      <c r="I762" s="21">
        <f t="shared" si="22"/>
        <v>212.88953928201227</v>
      </c>
      <c r="J762" s="21">
        <f t="shared" si="23"/>
        <v>3296.2746502910741</v>
      </c>
    </row>
    <row r="763" spans="1:10" hidden="1">
      <c r="A763" t="s">
        <v>212</v>
      </c>
      <c r="B763" t="s">
        <v>214</v>
      </c>
      <c r="C763" s="18">
        <v>2029</v>
      </c>
      <c r="D763" t="s">
        <v>184</v>
      </c>
      <c r="E763" s="9">
        <v>449203.621470752</v>
      </c>
      <c r="F763" s="9">
        <v>231589.73724270999</v>
      </c>
      <c r="G763" s="9">
        <v>450786.13401356898</v>
      </c>
      <c r="H763" s="9">
        <v>231708.01887569</v>
      </c>
      <c r="I763" s="21">
        <f t="shared" si="22"/>
        <v>118.28163298001164</v>
      </c>
      <c r="J763" s="21">
        <f t="shared" si="23"/>
        <v>1582.5125428169849</v>
      </c>
    </row>
    <row r="764" spans="1:10" hidden="1">
      <c r="A764" t="s">
        <v>212</v>
      </c>
      <c r="B764" t="s">
        <v>214</v>
      </c>
      <c r="C764" s="18">
        <v>2029</v>
      </c>
      <c r="D764" t="s">
        <v>365</v>
      </c>
      <c r="E764" s="9">
        <v>44600.271729463799</v>
      </c>
      <c r="F764" s="9">
        <v>7178.2193159725202</v>
      </c>
      <c r="G764" s="9">
        <v>44600.261443595497</v>
      </c>
      <c r="H764" s="9">
        <v>7178.2193159725202</v>
      </c>
      <c r="I764" s="21">
        <f t="shared" si="22"/>
        <v>0</v>
      </c>
      <c r="J764" s="21">
        <f t="shared" si="23"/>
        <v>-1.0285868302162271E-2</v>
      </c>
    </row>
    <row r="765" spans="1:10" hidden="1">
      <c r="A765" t="s">
        <v>212</v>
      </c>
      <c r="B765" t="s">
        <v>214</v>
      </c>
      <c r="C765" s="18">
        <v>2030</v>
      </c>
      <c r="D765" t="s">
        <v>167</v>
      </c>
      <c r="E765" s="9">
        <v>14631.236178241699</v>
      </c>
      <c r="F765" s="9">
        <v>10630.287080861401</v>
      </c>
      <c r="G765" s="9">
        <v>14630.9263575645</v>
      </c>
      <c r="H765" s="9">
        <v>10630.2702680602</v>
      </c>
      <c r="I765" s="21">
        <f t="shared" si="22"/>
        <v>-1.6812801201012917E-2</v>
      </c>
      <c r="J765" s="21">
        <f t="shared" si="23"/>
        <v>-0.30982067719924089</v>
      </c>
    </row>
    <row r="766" spans="1:10" hidden="1">
      <c r="A766" t="s">
        <v>212</v>
      </c>
      <c r="B766" t="s">
        <v>214</v>
      </c>
      <c r="C766" s="18">
        <v>2030</v>
      </c>
      <c r="D766" t="s">
        <v>206</v>
      </c>
      <c r="E766" s="9">
        <v>1090221.6109754301</v>
      </c>
      <c r="F766" s="9">
        <v>169263.49289999501</v>
      </c>
      <c r="G766" s="9">
        <v>1094956.8444496701</v>
      </c>
      <c r="H766" s="9">
        <v>169314.83403803801</v>
      </c>
      <c r="I766" s="21">
        <f t="shared" si="22"/>
        <v>51.341138043004321</v>
      </c>
      <c r="J766" s="21">
        <f t="shared" si="23"/>
        <v>4735.2334742399398</v>
      </c>
    </row>
    <row r="767" spans="1:10" hidden="1">
      <c r="A767" t="s">
        <v>212</v>
      </c>
      <c r="B767" t="s">
        <v>214</v>
      </c>
      <c r="C767" s="18">
        <v>2030</v>
      </c>
      <c r="D767" t="s">
        <v>174</v>
      </c>
      <c r="E767" s="9">
        <v>108395.599009489</v>
      </c>
      <c r="F767" s="9">
        <v>73120.877797225199</v>
      </c>
      <c r="G767" s="9">
        <v>108393.77376611999</v>
      </c>
      <c r="H767" s="9">
        <v>73120.8011068864</v>
      </c>
      <c r="I767" s="21">
        <f t="shared" si="22"/>
        <v>-7.6690338799380697E-2</v>
      </c>
      <c r="J767" s="21">
        <f t="shared" si="23"/>
        <v>-1.8252433690067846</v>
      </c>
    </row>
    <row r="768" spans="1:10" hidden="1">
      <c r="A768" t="s">
        <v>212</v>
      </c>
      <c r="B768" t="s">
        <v>214</v>
      </c>
      <c r="C768" s="18">
        <v>2030</v>
      </c>
      <c r="D768" t="s">
        <v>178</v>
      </c>
      <c r="E768" s="9">
        <v>371848.411464401</v>
      </c>
      <c r="F768" s="9">
        <v>342480.655761211</v>
      </c>
      <c r="G768" s="9">
        <v>372741.79546126397</v>
      </c>
      <c r="H768" s="9">
        <v>342889.63536639401</v>
      </c>
      <c r="I768" s="21">
        <f t="shared" si="22"/>
        <v>408.97960518300533</v>
      </c>
      <c r="J768" s="21">
        <f t="shared" si="23"/>
        <v>893.38399686297635</v>
      </c>
    </row>
    <row r="769" spans="1:10" hidden="1">
      <c r="A769" t="s">
        <v>212</v>
      </c>
      <c r="B769" t="s">
        <v>214</v>
      </c>
      <c r="C769" s="18">
        <v>2030</v>
      </c>
      <c r="D769" t="s">
        <v>181</v>
      </c>
      <c r="E769" s="9">
        <v>638805.75722213194</v>
      </c>
      <c r="F769" s="9">
        <v>378527.83748126001</v>
      </c>
      <c r="G769" s="9">
        <v>643154.21130562795</v>
      </c>
      <c r="H769" s="9">
        <v>378940.23126744502</v>
      </c>
      <c r="I769" s="21">
        <f t="shared" si="22"/>
        <v>412.3937861850136</v>
      </c>
      <c r="J769" s="21">
        <f t="shared" si="23"/>
        <v>4348.4540834960062</v>
      </c>
    </row>
    <row r="770" spans="1:10" hidden="1">
      <c r="A770" t="s">
        <v>212</v>
      </c>
      <c r="B770" t="s">
        <v>214</v>
      </c>
      <c r="C770" s="18">
        <v>2030</v>
      </c>
      <c r="D770" t="s">
        <v>184</v>
      </c>
      <c r="E770" s="9">
        <v>462263.55366759101</v>
      </c>
      <c r="F770" s="9">
        <v>241087.22484029201</v>
      </c>
      <c r="G770" s="9">
        <v>464360.51810377202</v>
      </c>
      <c r="H770" s="9">
        <v>241310.309903655</v>
      </c>
      <c r="I770" s="21">
        <f t="shared" ref="I770:I833" si="24">H770-F770</f>
        <v>223.08506336298888</v>
      </c>
      <c r="J770" s="21">
        <f t="shared" ref="J770:J833" si="25">G770-E770</f>
        <v>2096.964436181006</v>
      </c>
    </row>
    <row r="771" spans="1:10" hidden="1">
      <c r="A771" t="s">
        <v>212</v>
      </c>
      <c r="B771" t="s">
        <v>214</v>
      </c>
      <c r="C771" s="18">
        <v>2030</v>
      </c>
      <c r="D771" t="s">
        <v>365</v>
      </c>
      <c r="E771" s="9">
        <v>44647.306371235602</v>
      </c>
      <c r="F771" s="9">
        <v>7223.1104787355598</v>
      </c>
      <c r="G771" s="9">
        <v>44647.268915282999</v>
      </c>
      <c r="H771" s="9">
        <v>7223.1103147423601</v>
      </c>
      <c r="I771" s="21">
        <f t="shared" si="24"/>
        <v>-1.63993199748802E-4</v>
      </c>
      <c r="J771" s="21">
        <f t="shared" si="25"/>
        <v>-3.7455952602613252E-2</v>
      </c>
    </row>
    <row r="772" spans="1:10" hidden="1">
      <c r="A772" t="s">
        <v>212</v>
      </c>
      <c r="B772" t="s">
        <v>214</v>
      </c>
      <c r="C772" s="18">
        <v>2031</v>
      </c>
      <c r="D772" t="s">
        <v>167</v>
      </c>
      <c r="E772" s="9">
        <v>15081.1008016292</v>
      </c>
      <c r="F772" s="9">
        <v>10955.498572450901</v>
      </c>
      <c r="G772" s="9">
        <v>15080.3825495532</v>
      </c>
      <c r="H772" s="9">
        <v>10955.4255331558</v>
      </c>
      <c r="I772" s="21">
        <f t="shared" si="24"/>
        <v>-7.3039295100898016E-2</v>
      </c>
      <c r="J772" s="21">
        <f t="shared" si="25"/>
        <v>-0.71825207599977148</v>
      </c>
    </row>
    <row r="773" spans="1:10" hidden="1">
      <c r="A773" t="s">
        <v>212</v>
      </c>
      <c r="B773" t="s">
        <v>214</v>
      </c>
      <c r="C773" s="18">
        <v>2031</v>
      </c>
      <c r="D773" t="s">
        <v>206</v>
      </c>
      <c r="E773" s="9">
        <v>1101247.4991613899</v>
      </c>
      <c r="F773" s="9">
        <v>177425.771720914</v>
      </c>
      <c r="G773" s="9">
        <v>1107027.6916289399</v>
      </c>
      <c r="H773" s="9">
        <v>177510.90619666901</v>
      </c>
      <c r="I773" s="21">
        <f t="shared" si="24"/>
        <v>85.134475755010499</v>
      </c>
      <c r="J773" s="21">
        <f t="shared" si="25"/>
        <v>5780.1924675500486</v>
      </c>
    </row>
    <row r="774" spans="1:10" hidden="1">
      <c r="A774" t="s">
        <v>212</v>
      </c>
      <c r="B774" t="s">
        <v>214</v>
      </c>
      <c r="C774" s="18">
        <v>2031</v>
      </c>
      <c r="D774" t="s">
        <v>174</v>
      </c>
      <c r="E774" s="9">
        <v>111637.197132737</v>
      </c>
      <c r="F774" s="9">
        <v>75230.556987572505</v>
      </c>
      <c r="G774" s="9">
        <v>111632.94755435199</v>
      </c>
      <c r="H774" s="9">
        <v>75230.219664338001</v>
      </c>
      <c r="I774" s="21">
        <f t="shared" si="24"/>
        <v>-0.33732323450385593</v>
      </c>
      <c r="J774" s="21">
        <f t="shared" si="25"/>
        <v>-4.2495783850026783</v>
      </c>
    </row>
    <row r="775" spans="1:10" hidden="1">
      <c r="A775" t="s">
        <v>212</v>
      </c>
      <c r="B775" t="s">
        <v>214</v>
      </c>
      <c r="C775" s="18">
        <v>2031</v>
      </c>
      <c r="D775" t="s">
        <v>178</v>
      </c>
      <c r="E775" s="9">
        <v>380366.21909226698</v>
      </c>
      <c r="F775" s="9">
        <v>350847.03934535198</v>
      </c>
      <c r="G775" s="9">
        <v>381470.26678102103</v>
      </c>
      <c r="H775" s="9">
        <v>351432.51867295097</v>
      </c>
      <c r="I775" s="21">
        <f t="shared" si="24"/>
        <v>585.47932759899413</v>
      </c>
      <c r="J775" s="21">
        <f t="shared" si="25"/>
        <v>1104.0476887540426</v>
      </c>
    </row>
    <row r="776" spans="1:10" hidden="1">
      <c r="A776" t="s">
        <v>212</v>
      </c>
      <c r="B776" t="s">
        <v>214</v>
      </c>
      <c r="C776" s="18">
        <v>2031</v>
      </c>
      <c r="D776" t="s">
        <v>181</v>
      </c>
      <c r="E776" s="9">
        <v>652909.01293521805</v>
      </c>
      <c r="F776" s="9">
        <v>389515.85839060397</v>
      </c>
      <c r="G776" s="9">
        <v>658282.14926881401</v>
      </c>
      <c r="H776" s="9">
        <v>390181.00302030199</v>
      </c>
      <c r="I776" s="21">
        <f t="shared" si="24"/>
        <v>665.14462969801389</v>
      </c>
      <c r="J776" s="21">
        <f t="shared" si="25"/>
        <v>5373.1363335959613</v>
      </c>
    </row>
    <row r="777" spans="1:10" hidden="1">
      <c r="A777" t="s">
        <v>212</v>
      </c>
      <c r="B777" t="s">
        <v>214</v>
      </c>
      <c r="C777" s="18">
        <v>2031</v>
      </c>
      <c r="D777" t="s">
        <v>184</v>
      </c>
      <c r="E777" s="9">
        <v>475176.87656423898</v>
      </c>
      <c r="F777" s="9">
        <v>250463.44781148201</v>
      </c>
      <c r="G777" s="9">
        <v>477778.14604748198</v>
      </c>
      <c r="H777" s="9">
        <v>250815.78266259201</v>
      </c>
      <c r="I777" s="21">
        <f t="shared" si="24"/>
        <v>352.33485111000482</v>
      </c>
      <c r="J777" s="21">
        <f t="shared" si="25"/>
        <v>2601.2694832429988</v>
      </c>
    </row>
    <row r="778" spans="1:10" hidden="1">
      <c r="A778" t="s">
        <v>212</v>
      </c>
      <c r="B778" t="s">
        <v>214</v>
      </c>
      <c r="C778" s="18">
        <v>2031</v>
      </c>
      <c r="D778" t="s">
        <v>365</v>
      </c>
      <c r="E778" s="9">
        <v>44640.433751435798</v>
      </c>
      <c r="F778" s="9">
        <v>7266.7667305035202</v>
      </c>
      <c r="G778" s="9">
        <v>44640.347295477797</v>
      </c>
      <c r="H778" s="9">
        <v>7266.7660002075399</v>
      </c>
      <c r="I778" s="21">
        <f t="shared" si="24"/>
        <v>-7.3029598024731968E-4</v>
      </c>
      <c r="J778" s="21">
        <f t="shared" si="25"/>
        <v>-8.6455958000442479E-2</v>
      </c>
    </row>
    <row r="779" spans="1:10" hidden="1">
      <c r="A779" t="s">
        <v>212</v>
      </c>
      <c r="B779" t="s">
        <v>214</v>
      </c>
      <c r="C779" s="18">
        <v>2032</v>
      </c>
      <c r="D779" t="s">
        <v>167</v>
      </c>
      <c r="E779" s="9">
        <v>15532.6059251693</v>
      </c>
      <c r="F779" s="9">
        <v>11274.6883053532</v>
      </c>
      <c r="G779" s="9">
        <v>15531.2601955666</v>
      </c>
      <c r="H779" s="9">
        <v>11274.495449735199</v>
      </c>
      <c r="I779" s="21">
        <f t="shared" si="24"/>
        <v>-0.19285561800097639</v>
      </c>
      <c r="J779" s="21">
        <f t="shared" si="25"/>
        <v>-1.3457296027008852</v>
      </c>
    </row>
    <row r="780" spans="1:10" hidden="1">
      <c r="A780" t="s">
        <v>212</v>
      </c>
      <c r="B780" t="s">
        <v>214</v>
      </c>
      <c r="C780" s="18">
        <v>2032</v>
      </c>
      <c r="D780" t="s">
        <v>206</v>
      </c>
      <c r="E780" s="9">
        <v>1111706.11448774</v>
      </c>
      <c r="F780" s="9">
        <v>185599.15305611299</v>
      </c>
      <c r="G780" s="9">
        <v>1118477.3274982399</v>
      </c>
      <c r="H780" s="9">
        <v>185725.99905880101</v>
      </c>
      <c r="I780" s="21">
        <f t="shared" si="24"/>
        <v>126.84600268802023</v>
      </c>
      <c r="J780" s="21">
        <f t="shared" si="25"/>
        <v>6771.2130104999524</v>
      </c>
    </row>
    <row r="781" spans="1:10" hidden="1">
      <c r="A781" t="s">
        <v>212</v>
      </c>
      <c r="B781" t="s">
        <v>214</v>
      </c>
      <c r="C781" s="18">
        <v>2032</v>
      </c>
      <c r="D781" t="s">
        <v>174</v>
      </c>
      <c r="E781" s="9">
        <v>114843.20894690001</v>
      </c>
      <c r="F781" s="9">
        <v>77353.961417621496</v>
      </c>
      <c r="G781" s="9">
        <v>114835.221802653</v>
      </c>
      <c r="H781" s="9">
        <v>77353.061023932896</v>
      </c>
      <c r="I781" s="21">
        <f t="shared" si="24"/>
        <v>-0.90039368860016111</v>
      </c>
      <c r="J781" s="21">
        <f t="shared" si="25"/>
        <v>-7.9871442470030161</v>
      </c>
    </row>
    <row r="782" spans="1:10" hidden="1">
      <c r="A782" t="s">
        <v>212</v>
      </c>
      <c r="B782" t="s">
        <v>214</v>
      </c>
      <c r="C782" s="18">
        <v>2032</v>
      </c>
      <c r="D782" t="s">
        <v>178</v>
      </c>
      <c r="E782" s="9">
        <v>388690.544306411</v>
      </c>
      <c r="F782" s="9">
        <v>359066.77296436997</v>
      </c>
      <c r="G782" s="9">
        <v>389998.37668875401</v>
      </c>
      <c r="H782" s="9">
        <v>359834.54685286601</v>
      </c>
      <c r="I782" s="21">
        <f t="shared" si="24"/>
        <v>767.77388849604176</v>
      </c>
      <c r="J782" s="21">
        <f t="shared" si="25"/>
        <v>1307.832382343011</v>
      </c>
    </row>
    <row r="783" spans="1:10" hidden="1">
      <c r="A783" t="s">
        <v>212</v>
      </c>
      <c r="B783" t="s">
        <v>214</v>
      </c>
      <c r="C783" s="18">
        <v>2032</v>
      </c>
      <c r="D783" t="s">
        <v>181</v>
      </c>
      <c r="E783" s="9">
        <v>666764.71666165395</v>
      </c>
      <c r="F783" s="9">
        <v>400353.43313811201</v>
      </c>
      <c r="G783" s="9">
        <v>673133.88827326603</v>
      </c>
      <c r="H783" s="9">
        <v>401318.28619347198</v>
      </c>
      <c r="I783" s="21">
        <f t="shared" si="24"/>
        <v>964.85305535997031</v>
      </c>
      <c r="J783" s="21">
        <f t="shared" si="25"/>
        <v>6369.1716116120806</v>
      </c>
    </row>
    <row r="784" spans="1:10" hidden="1">
      <c r="A784" t="s">
        <v>212</v>
      </c>
      <c r="B784" t="s">
        <v>214</v>
      </c>
      <c r="C784" s="18">
        <v>2032</v>
      </c>
      <c r="D784" t="s">
        <v>184</v>
      </c>
      <c r="E784" s="9">
        <v>487811.69974813302</v>
      </c>
      <c r="F784" s="9">
        <v>259844.37600048201</v>
      </c>
      <c r="G784" s="9">
        <v>490904.70344577997</v>
      </c>
      <c r="H784" s="9">
        <v>260346.937343717</v>
      </c>
      <c r="I784" s="21">
        <f t="shared" si="24"/>
        <v>502.56134323499282</v>
      </c>
      <c r="J784" s="21">
        <f t="shared" si="25"/>
        <v>3093.0036976469564</v>
      </c>
    </row>
    <row r="785" spans="1:10" hidden="1">
      <c r="A785" t="s">
        <v>212</v>
      </c>
      <c r="B785" t="s">
        <v>214</v>
      </c>
      <c r="C785" s="18">
        <v>2032</v>
      </c>
      <c r="D785" t="s">
        <v>365</v>
      </c>
      <c r="E785" s="9">
        <v>44583.406555207497</v>
      </c>
      <c r="F785" s="9">
        <v>7308.6915373270604</v>
      </c>
      <c r="G785" s="9">
        <v>44583.245501595899</v>
      </c>
      <c r="H785" s="9">
        <v>7308.6895683399798</v>
      </c>
      <c r="I785" s="21">
        <f t="shared" si="24"/>
        <v>-1.9689870805450482E-3</v>
      </c>
      <c r="J785" s="21">
        <f t="shared" si="25"/>
        <v>-0.16105361159861786</v>
      </c>
    </row>
    <row r="786" spans="1:10" hidden="1">
      <c r="A786" t="s">
        <v>212</v>
      </c>
      <c r="B786" t="s">
        <v>214</v>
      </c>
      <c r="C786" s="18">
        <v>2033</v>
      </c>
      <c r="D786" t="s">
        <v>167</v>
      </c>
      <c r="E786" s="9">
        <v>15985.9398887199</v>
      </c>
      <c r="F786" s="9">
        <v>11587.3327948323</v>
      </c>
      <c r="G786" s="9">
        <v>15983.7175379286</v>
      </c>
      <c r="H786" s="9">
        <v>11586.9335708044</v>
      </c>
      <c r="I786" s="21">
        <f t="shared" si="24"/>
        <v>-0.39922402790034539</v>
      </c>
      <c r="J786" s="21">
        <f t="shared" si="25"/>
        <v>-2.2223507913004141</v>
      </c>
    </row>
    <row r="787" spans="1:10" hidden="1">
      <c r="A787" t="s">
        <v>212</v>
      </c>
      <c r="B787" t="s">
        <v>214</v>
      </c>
      <c r="C787" s="18">
        <v>2033</v>
      </c>
      <c r="D787" t="s">
        <v>206</v>
      </c>
      <c r="E787" s="9">
        <v>1121524.5258653201</v>
      </c>
      <c r="F787" s="9">
        <v>193777.06096041799</v>
      </c>
      <c r="G787" s="9">
        <v>1129233.47845058</v>
      </c>
      <c r="H787" s="9">
        <v>193953.224223645</v>
      </c>
      <c r="I787" s="21">
        <f t="shared" si="24"/>
        <v>176.16326322700479</v>
      </c>
      <c r="J787" s="21">
        <f t="shared" si="25"/>
        <v>7708.9525852599181</v>
      </c>
    </row>
    <row r="788" spans="1:10" hidden="1">
      <c r="A788" t="s">
        <v>212</v>
      </c>
      <c r="B788" t="s">
        <v>214</v>
      </c>
      <c r="C788" s="18">
        <v>2033</v>
      </c>
      <c r="D788" t="s">
        <v>174</v>
      </c>
      <c r="E788" s="9">
        <v>118011.946594194</v>
      </c>
      <c r="F788" s="9">
        <v>79482.360883389003</v>
      </c>
      <c r="G788" s="9">
        <v>117998.73843744201</v>
      </c>
      <c r="H788" s="9">
        <v>79480.4761690429</v>
      </c>
      <c r="I788" s="21">
        <f t="shared" si="24"/>
        <v>-1.8847143461025553</v>
      </c>
      <c r="J788" s="21">
        <f t="shared" si="25"/>
        <v>-13.208156751992647</v>
      </c>
    </row>
    <row r="789" spans="1:10" hidden="1">
      <c r="A789" t="s">
        <v>212</v>
      </c>
      <c r="B789" t="s">
        <v>214</v>
      </c>
      <c r="C789" s="18">
        <v>2033</v>
      </c>
      <c r="D789" t="s">
        <v>178</v>
      </c>
      <c r="E789" s="9">
        <v>396850.16753961297</v>
      </c>
      <c r="F789" s="9">
        <v>367099.940213928</v>
      </c>
      <c r="G789" s="9">
        <v>398354.344992358</v>
      </c>
      <c r="H789" s="9">
        <v>368051.62457544298</v>
      </c>
      <c r="I789" s="21">
        <f t="shared" si="24"/>
        <v>951.68436151498463</v>
      </c>
      <c r="J789" s="21">
        <f t="shared" si="25"/>
        <v>1504.1774527450325</v>
      </c>
    </row>
    <row r="790" spans="1:10" hidden="1">
      <c r="A790" t="s">
        <v>212</v>
      </c>
      <c r="B790" t="s">
        <v>214</v>
      </c>
      <c r="C790" s="18">
        <v>2033</v>
      </c>
      <c r="D790" t="s">
        <v>181</v>
      </c>
      <c r="E790" s="9">
        <v>680300.17950202303</v>
      </c>
      <c r="F790" s="9">
        <v>411041.91091091698</v>
      </c>
      <c r="G790" s="9">
        <v>687634.69954692596</v>
      </c>
      <c r="H790" s="9">
        <v>412348.075678578</v>
      </c>
      <c r="I790" s="21">
        <f t="shared" si="24"/>
        <v>1306.1647676610155</v>
      </c>
      <c r="J790" s="21">
        <f t="shared" si="25"/>
        <v>7334.5200449029217</v>
      </c>
    </row>
    <row r="791" spans="1:10" hidden="1">
      <c r="A791" t="s">
        <v>212</v>
      </c>
      <c r="B791" t="s">
        <v>214</v>
      </c>
      <c r="C791" s="18">
        <v>2033</v>
      </c>
      <c r="D791" t="s">
        <v>184</v>
      </c>
      <c r="E791" s="9">
        <v>500180.50625539501</v>
      </c>
      <c r="F791" s="9">
        <v>269212.91141861997</v>
      </c>
      <c r="G791" s="9">
        <v>503751.109420694</v>
      </c>
      <c r="H791" s="9">
        <v>269883.407599987</v>
      </c>
      <c r="I791" s="21">
        <f t="shared" si="24"/>
        <v>670.49618136702338</v>
      </c>
      <c r="J791" s="21">
        <f t="shared" si="25"/>
        <v>3570.6031652989914</v>
      </c>
    </row>
    <row r="792" spans="1:10" hidden="1">
      <c r="A792" t="s">
        <v>212</v>
      </c>
      <c r="B792" t="s">
        <v>214</v>
      </c>
      <c r="C792" s="18">
        <v>2033</v>
      </c>
      <c r="D792" t="s">
        <v>365</v>
      </c>
      <c r="E792" s="9">
        <v>44483.947756179201</v>
      </c>
      <c r="F792" s="9">
        <v>7348.0782979066298</v>
      </c>
      <c r="G792" s="9">
        <v>44483.683589841297</v>
      </c>
      <c r="H792" s="9">
        <v>7348.0741473220596</v>
      </c>
      <c r="I792" s="21">
        <f t="shared" si="24"/>
        <v>-4.1505845701976796E-3</v>
      </c>
      <c r="J792" s="21">
        <f t="shared" si="25"/>
        <v>-0.26416633790358901</v>
      </c>
    </row>
    <row r="793" spans="1:10" hidden="1">
      <c r="A793" t="s">
        <v>212</v>
      </c>
      <c r="B793" t="s">
        <v>214</v>
      </c>
      <c r="C793" s="18">
        <v>2034</v>
      </c>
      <c r="D793" t="s">
        <v>167</v>
      </c>
      <c r="E793" s="9">
        <v>16440.302889971601</v>
      </c>
      <c r="F793" s="9">
        <v>11897.0955982041</v>
      </c>
      <c r="G793" s="9">
        <v>16436.9312806497</v>
      </c>
      <c r="H793" s="9">
        <v>11896.382318738601</v>
      </c>
      <c r="I793" s="21">
        <f t="shared" si="24"/>
        <v>-0.71327946549899934</v>
      </c>
      <c r="J793" s="21">
        <f t="shared" si="25"/>
        <v>-3.3716093219009053</v>
      </c>
    </row>
    <row r="794" spans="1:10" hidden="1">
      <c r="A794" t="s">
        <v>212</v>
      </c>
      <c r="B794" t="s">
        <v>214</v>
      </c>
      <c r="C794" s="18">
        <v>2034</v>
      </c>
      <c r="D794" t="s">
        <v>206</v>
      </c>
      <c r="E794" s="9">
        <v>1130764.2131436099</v>
      </c>
      <c r="F794" s="9">
        <v>201914.52540460299</v>
      </c>
      <c r="G794" s="9">
        <v>1139357.0195160699</v>
      </c>
      <c r="H794" s="9">
        <v>202147.27044605001</v>
      </c>
      <c r="I794" s="21">
        <f t="shared" si="24"/>
        <v>232.74504144702223</v>
      </c>
      <c r="J794" s="21">
        <f t="shared" si="25"/>
        <v>8592.8063724599779</v>
      </c>
    </row>
    <row r="795" spans="1:10" hidden="1">
      <c r="A795" t="s">
        <v>212</v>
      </c>
      <c r="B795" t="s">
        <v>214</v>
      </c>
      <c r="C795" s="18">
        <v>2034</v>
      </c>
      <c r="D795" t="s">
        <v>174</v>
      </c>
      <c r="E795" s="9">
        <v>121125.51030571001</v>
      </c>
      <c r="F795" s="9">
        <v>81598.349011367798</v>
      </c>
      <c r="G795" s="9">
        <v>121105.471839437</v>
      </c>
      <c r="H795" s="9">
        <v>81594.948233921197</v>
      </c>
      <c r="I795" s="21">
        <f t="shared" si="24"/>
        <v>-3.4007774466008414</v>
      </c>
      <c r="J795" s="21">
        <f t="shared" si="25"/>
        <v>-20.038466273006634</v>
      </c>
    </row>
    <row r="796" spans="1:10" hidden="1">
      <c r="A796" t="s">
        <v>212</v>
      </c>
      <c r="B796" t="s">
        <v>214</v>
      </c>
      <c r="C796" s="18">
        <v>2034</v>
      </c>
      <c r="D796" t="s">
        <v>178</v>
      </c>
      <c r="E796" s="9">
        <v>404867.23882590001</v>
      </c>
      <c r="F796" s="9">
        <v>374893.75018585601</v>
      </c>
      <c r="G796" s="9">
        <v>406559.86735378799</v>
      </c>
      <c r="H796" s="9">
        <v>376028.13227833499</v>
      </c>
      <c r="I796" s="21">
        <f t="shared" si="24"/>
        <v>1134.3820924789761</v>
      </c>
      <c r="J796" s="21">
        <f t="shared" si="25"/>
        <v>1692.6285278879805</v>
      </c>
    </row>
    <row r="797" spans="1:10" hidden="1">
      <c r="A797" t="s">
        <v>212</v>
      </c>
      <c r="B797" t="s">
        <v>214</v>
      </c>
      <c r="C797" s="18">
        <v>2034</v>
      </c>
      <c r="D797" t="s">
        <v>181</v>
      </c>
      <c r="E797" s="9">
        <v>693425.40055626701</v>
      </c>
      <c r="F797" s="9">
        <v>421575.31977817701</v>
      </c>
      <c r="G797" s="9">
        <v>701691.67735876795</v>
      </c>
      <c r="H797" s="9">
        <v>423259.10059080599</v>
      </c>
      <c r="I797" s="21">
        <f t="shared" si="24"/>
        <v>1683.7808126289747</v>
      </c>
      <c r="J797" s="21">
        <f t="shared" si="25"/>
        <v>8266.2768025009427</v>
      </c>
    </row>
    <row r="798" spans="1:10" hidden="1">
      <c r="A798" t="s">
        <v>212</v>
      </c>
      <c r="B798" t="s">
        <v>214</v>
      </c>
      <c r="C798" s="18">
        <v>2034</v>
      </c>
      <c r="D798" t="s">
        <v>184</v>
      </c>
      <c r="E798" s="9">
        <v>512373.37103924598</v>
      </c>
      <c r="F798" s="9">
        <v>278631.60519493598</v>
      </c>
      <c r="G798" s="9">
        <v>516406.53850878001</v>
      </c>
      <c r="H798" s="9">
        <v>279484.98028522899</v>
      </c>
      <c r="I798" s="21">
        <f t="shared" si="24"/>
        <v>853.37509029300418</v>
      </c>
      <c r="J798" s="21">
        <f t="shared" si="25"/>
        <v>4033.1674695340334</v>
      </c>
    </row>
    <row r="799" spans="1:10" hidden="1">
      <c r="A799" t="s">
        <v>212</v>
      </c>
      <c r="B799" t="s">
        <v>214</v>
      </c>
      <c r="C799" s="18">
        <v>2034</v>
      </c>
      <c r="D799" t="s">
        <v>365</v>
      </c>
      <c r="E799" s="9">
        <v>44355.582396370002</v>
      </c>
      <c r="F799" s="9">
        <v>7385.0484756096503</v>
      </c>
      <c r="G799" s="9">
        <v>44355.184450178996</v>
      </c>
      <c r="H799" s="9">
        <v>7385.0409467521704</v>
      </c>
      <c r="I799" s="21">
        <f t="shared" si="24"/>
        <v>-7.5288574798832997E-3</v>
      </c>
      <c r="J799" s="21">
        <f t="shared" si="25"/>
        <v>-0.39794619100575801</v>
      </c>
    </row>
    <row r="800" spans="1:10" hidden="1">
      <c r="A800" t="s">
        <v>212</v>
      </c>
      <c r="B800" t="s">
        <v>214</v>
      </c>
      <c r="C800" s="18">
        <v>2035</v>
      </c>
      <c r="D800" t="s">
        <v>167</v>
      </c>
      <c r="E800" s="9">
        <v>16897.026359301599</v>
      </c>
      <c r="F800" s="9">
        <v>12204.211060206</v>
      </c>
      <c r="G800" s="9">
        <v>16892.2141390053</v>
      </c>
      <c r="H800" s="9">
        <v>12203.057717863399</v>
      </c>
      <c r="I800" s="21">
        <f t="shared" si="24"/>
        <v>-1.1533423426008085</v>
      </c>
      <c r="J800" s="21">
        <f t="shared" si="25"/>
        <v>-4.8122202962986194</v>
      </c>
    </row>
    <row r="801" spans="1:10" hidden="1">
      <c r="A801" t="s">
        <v>212</v>
      </c>
      <c r="B801" t="s">
        <v>214</v>
      </c>
      <c r="C801" s="18">
        <v>2035</v>
      </c>
      <c r="D801" t="s">
        <v>206</v>
      </c>
      <c r="E801" s="9">
        <v>1139548.5578865099</v>
      </c>
      <c r="F801" s="9">
        <v>209994.764450199</v>
      </c>
      <c r="G801" s="9">
        <v>1148972.16574985</v>
      </c>
      <c r="H801" s="9">
        <v>210290.98052792501</v>
      </c>
      <c r="I801" s="21">
        <f t="shared" si="24"/>
        <v>296.21607772601419</v>
      </c>
      <c r="J801" s="21">
        <f t="shared" si="25"/>
        <v>9423.6078633400612</v>
      </c>
    </row>
    <row r="802" spans="1:10" hidden="1">
      <c r="A802" t="s">
        <v>212</v>
      </c>
      <c r="B802" t="s">
        <v>214</v>
      </c>
      <c r="C802" s="18">
        <v>2035</v>
      </c>
      <c r="D802" t="s">
        <v>174</v>
      </c>
      <c r="E802" s="9">
        <v>124176.774780098</v>
      </c>
      <c r="F802" s="9">
        <v>83700.664574419206</v>
      </c>
      <c r="G802" s="9">
        <v>124148.20719584401</v>
      </c>
      <c r="H802" s="9">
        <v>83695.117872879797</v>
      </c>
      <c r="I802" s="21">
        <f t="shared" si="24"/>
        <v>-5.5467015394096961</v>
      </c>
      <c r="J802" s="21">
        <f t="shared" si="25"/>
        <v>-28.567584253993118</v>
      </c>
    </row>
    <row r="803" spans="1:10" hidden="1">
      <c r="A803" t="s">
        <v>212</v>
      </c>
      <c r="B803" t="s">
        <v>214</v>
      </c>
      <c r="C803" s="18">
        <v>2035</v>
      </c>
      <c r="D803" t="s">
        <v>178</v>
      </c>
      <c r="E803" s="9">
        <v>412660.75488679</v>
      </c>
      <c r="F803" s="9">
        <v>382474.84291568201</v>
      </c>
      <c r="G803" s="9">
        <v>414533.16060314502</v>
      </c>
      <c r="H803" s="9">
        <v>383788.76252667198</v>
      </c>
      <c r="I803" s="21">
        <f t="shared" si="24"/>
        <v>1313.9196109899785</v>
      </c>
      <c r="J803" s="21">
        <f t="shared" si="25"/>
        <v>1872.4057163550169</v>
      </c>
    </row>
    <row r="804" spans="1:10" hidden="1">
      <c r="A804" t="s">
        <v>212</v>
      </c>
      <c r="B804" t="s">
        <v>214</v>
      </c>
      <c r="C804" s="18">
        <v>2035</v>
      </c>
      <c r="D804" t="s">
        <v>181</v>
      </c>
      <c r="E804" s="9">
        <v>706168.56925765797</v>
      </c>
      <c r="F804" s="9">
        <v>431989.26405142399</v>
      </c>
      <c r="G804" s="9">
        <v>715331.78882210201</v>
      </c>
      <c r="H804" s="9">
        <v>434082.03155119502</v>
      </c>
      <c r="I804" s="21">
        <f t="shared" si="24"/>
        <v>2092.7674997710274</v>
      </c>
      <c r="J804" s="21">
        <f t="shared" si="25"/>
        <v>9163.2195644440362</v>
      </c>
    </row>
    <row r="805" spans="1:10" hidden="1">
      <c r="A805" t="s">
        <v>212</v>
      </c>
      <c r="B805" t="s">
        <v>214</v>
      </c>
      <c r="C805" s="18">
        <v>2035</v>
      </c>
      <c r="D805" t="s">
        <v>184</v>
      </c>
      <c r="E805" s="9">
        <v>524339.19968775101</v>
      </c>
      <c r="F805" s="9">
        <v>288101.99555233098</v>
      </c>
      <c r="G805" s="9">
        <v>528818.37188395299</v>
      </c>
      <c r="H805" s="9">
        <v>289150.80243598297</v>
      </c>
      <c r="I805" s="21">
        <f t="shared" si="24"/>
        <v>1048.806883651996</v>
      </c>
      <c r="J805" s="21">
        <f t="shared" si="25"/>
        <v>4479.1721962019801</v>
      </c>
    </row>
    <row r="806" spans="1:10" hidden="1">
      <c r="A806" t="s">
        <v>212</v>
      </c>
      <c r="B806" t="s">
        <v>214</v>
      </c>
      <c r="C806" s="18">
        <v>2035</v>
      </c>
      <c r="D806" t="s">
        <v>365</v>
      </c>
      <c r="E806" s="9">
        <v>44207.271227022997</v>
      </c>
      <c r="F806" s="9">
        <v>7419.9911828809099</v>
      </c>
      <c r="G806" s="9">
        <v>44206.707306712102</v>
      </c>
      <c r="H806" s="9">
        <v>7419.9788551932097</v>
      </c>
      <c r="I806" s="21">
        <f t="shared" si="24"/>
        <v>-1.2327687700235401E-2</v>
      </c>
      <c r="J806" s="21">
        <f t="shared" si="25"/>
        <v>-0.56392031089490047</v>
      </c>
    </row>
    <row r="807" spans="1:10" hidden="1">
      <c r="A807" t="s">
        <v>212</v>
      </c>
      <c r="B807" t="s">
        <v>214</v>
      </c>
      <c r="C807" s="18">
        <v>2036</v>
      </c>
      <c r="D807" t="s">
        <v>167</v>
      </c>
      <c r="E807" s="9">
        <v>17357.214608274</v>
      </c>
      <c r="F807" s="9">
        <v>12508.6371091493</v>
      </c>
      <c r="G807" s="9">
        <v>17350.6546269342</v>
      </c>
      <c r="H807" s="9">
        <v>12506.9021026876</v>
      </c>
      <c r="I807" s="21">
        <f t="shared" si="24"/>
        <v>-1.7350064617003227</v>
      </c>
      <c r="J807" s="21">
        <f t="shared" si="25"/>
        <v>-6.559981339800288</v>
      </c>
    </row>
    <row r="808" spans="1:10" hidden="1">
      <c r="A808" t="s">
        <v>212</v>
      </c>
      <c r="B808" t="s">
        <v>214</v>
      </c>
      <c r="C808" s="18">
        <v>2036</v>
      </c>
      <c r="D808" t="s">
        <v>206</v>
      </c>
      <c r="E808" s="9">
        <v>1148062.2353808801</v>
      </c>
      <c r="F808" s="9">
        <v>218004.50783292</v>
      </c>
      <c r="G808" s="9">
        <v>1158266.1377582899</v>
      </c>
      <c r="H808" s="9">
        <v>218370.687575925</v>
      </c>
      <c r="I808" s="21">
        <f t="shared" si="24"/>
        <v>366.17974300499191</v>
      </c>
      <c r="J808" s="21">
        <f t="shared" si="25"/>
        <v>10203.90237740986</v>
      </c>
    </row>
    <row r="809" spans="1:10" hidden="1">
      <c r="A809" t="s">
        <v>212</v>
      </c>
      <c r="B809" t="s">
        <v>214</v>
      </c>
      <c r="C809" s="18">
        <v>2036</v>
      </c>
      <c r="D809" t="s">
        <v>174</v>
      </c>
      <c r="E809" s="9">
        <v>127177.313442589</v>
      </c>
      <c r="F809" s="9">
        <v>85773.970661057407</v>
      </c>
      <c r="G809" s="9">
        <v>127138.451085333</v>
      </c>
      <c r="H809" s="9">
        <v>85765.564735317093</v>
      </c>
      <c r="I809" s="21">
        <f t="shared" si="24"/>
        <v>-8.4059257403132506</v>
      </c>
      <c r="J809" s="21">
        <f t="shared" si="25"/>
        <v>-38.862357256002724</v>
      </c>
    </row>
    <row r="810" spans="1:10" hidden="1">
      <c r="A810" t="s">
        <v>212</v>
      </c>
      <c r="B810" t="s">
        <v>214</v>
      </c>
      <c r="C810" s="18">
        <v>2036</v>
      </c>
      <c r="D810" t="s">
        <v>178</v>
      </c>
      <c r="E810" s="9">
        <v>420189.72553116299</v>
      </c>
      <c r="F810" s="9">
        <v>389797.41891722102</v>
      </c>
      <c r="G810" s="9">
        <v>422232.65992213303</v>
      </c>
      <c r="H810" s="9">
        <v>391285.95573958702</v>
      </c>
      <c r="I810" s="21">
        <f t="shared" si="24"/>
        <v>1488.5368223660043</v>
      </c>
      <c r="J810" s="21">
        <f t="shared" si="25"/>
        <v>2042.9343909700401</v>
      </c>
    </row>
    <row r="811" spans="1:10" hidden="1">
      <c r="A811" t="s">
        <v>212</v>
      </c>
      <c r="B811" t="s">
        <v>214</v>
      </c>
      <c r="C811" s="18">
        <v>2036</v>
      </c>
      <c r="D811" t="s">
        <v>181</v>
      </c>
      <c r="E811" s="9">
        <v>718507.55880458502</v>
      </c>
      <c r="F811" s="9">
        <v>442219.74734363798</v>
      </c>
      <c r="G811" s="9">
        <v>728531.610160843</v>
      </c>
      <c r="H811" s="9">
        <v>444747.90756616899</v>
      </c>
      <c r="I811" s="21">
        <f t="shared" si="24"/>
        <v>2528.1602225310053</v>
      </c>
      <c r="J811" s="21">
        <f t="shared" si="25"/>
        <v>10024.051356257987</v>
      </c>
    </row>
    <row r="812" spans="1:10" hidden="1">
      <c r="A812" t="s">
        <v>212</v>
      </c>
      <c r="B812" t="s">
        <v>214</v>
      </c>
      <c r="C812" s="18">
        <v>2036</v>
      </c>
      <c r="D812" t="s">
        <v>184</v>
      </c>
      <c r="E812" s="9">
        <v>536143.96844078403</v>
      </c>
      <c r="F812" s="9">
        <v>297624.929960904</v>
      </c>
      <c r="G812" s="9">
        <v>541052.28077363002</v>
      </c>
      <c r="H812" s="9">
        <v>298879.61130973301</v>
      </c>
      <c r="I812" s="21">
        <f t="shared" si="24"/>
        <v>1254.6813488290063</v>
      </c>
      <c r="J812" s="21">
        <f t="shared" si="25"/>
        <v>4908.3123328459915</v>
      </c>
    </row>
    <row r="813" spans="1:10" hidden="1">
      <c r="A813" t="s">
        <v>212</v>
      </c>
      <c r="B813" t="s">
        <v>214</v>
      </c>
      <c r="C813" s="18">
        <v>2036</v>
      </c>
      <c r="D813" t="s">
        <v>365</v>
      </c>
      <c r="E813" s="9">
        <v>44050.761447740602</v>
      </c>
      <c r="F813" s="9">
        <v>7453.3538626293803</v>
      </c>
      <c r="G813" s="9">
        <v>44049.998378272197</v>
      </c>
      <c r="H813" s="9">
        <v>7453.3351271514002</v>
      </c>
      <c r="I813" s="21">
        <f t="shared" si="24"/>
        <v>-1.8735477980044379E-2</v>
      </c>
      <c r="J813" s="21">
        <f t="shared" si="25"/>
        <v>-0.76306946840486489</v>
      </c>
    </row>
    <row r="814" spans="1:10" hidden="1">
      <c r="A814" t="s">
        <v>212</v>
      </c>
      <c r="B814" t="s">
        <v>214</v>
      </c>
      <c r="C814" s="18">
        <v>2037</v>
      </c>
      <c r="D814" t="s">
        <v>167</v>
      </c>
      <c r="E814" s="9">
        <v>17821.132135961801</v>
      </c>
      <c r="F814" s="9">
        <v>12809.97209531</v>
      </c>
      <c r="G814" s="9">
        <v>17812.5035281772</v>
      </c>
      <c r="H814" s="9">
        <v>12807.501268399201</v>
      </c>
      <c r="I814" s="21">
        <f t="shared" si="24"/>
        <v>-2.4708269107995875</v>
      </c>
      <c r="J814" s="21">
        <f t="shared" si="25"/>
        <v>-8.6286077846016269</v>
      </c>
    </row>
    <row r="815" spans="1:10" hidden="1">
      <c r="A815" t="s">
        <v>212</v>
      </c>
      <c r="B815" t="s">
        <v>214</v>
      </c>
      <c r="C815" s="18">
        <v>2037</v>
      </c>
      <c r="D815" t="s">
        <v>206</v>
      </c>
      <c r="E815" s="9">
        <v>1156428.36765482</v>
      </c>
      <c r="F815" s="9">
        <v>225931.10879226099</v>
      </c>
      <c r="G815" s="9">
        <v>1167364.6654137501</v>
      </c>
      <c r="H815" s="9">
        <v>226373.365626062</v>
      </c>
      <c r="I815" s="21">
        <f t="shared" si="24"/>
        <v>442.25683380101691</v>
      </c>
      <c r="J815" s="21">
        <f t="shared" si="25"/>
        <v>10936.29775893013</v>
      </c>
    </row>
    <row r="816" spans="1:10" hidden="1">
      <c r="A816" t="s">
        <v>212</v>
      </c>
      <c r="B816" t="s">
        <v>214</v>
      </c>
      <c r="C816" s="18">
        <v>2037</v>
      </c>
      <c r="D816" t="s">
        <v>174</v>
      </c>
      <c r="E816" s="9">
        <v>130143.08848989299</v>
      </c>
      <c r="F816" s="9">
        <v>87797.920753359896</v>
      </c>
      <c r="G816" s="9">
        <v>130092.112965313</v>
      </c>
      <c r="H816" s="9">
        <v>87785.873914228694</v>
      </c>
      <c r="I816" s="21">
        <f t="shared" si="24"/>
        <v>-12.046839131202432</v>
      </c>
      <c r="J816" s="21">
        <f t="shared" si="25"/>
        <v>-50.975524579989724</v>
      </c>
    </row>
    <row r="817" spans="1:10" hidden="1">
      <c r="A817" t="s">
        <v>212</v>
      </c>
      <c r="B817" t="s">
        <v>214</v>
      </c>
      <c r="C817" s="18">
        <v>2037</v>
      </c>
      <c r="D817" t="s">
        <v>178</v>
      </c>
      <c r="E817" s="9">
        <v>427470.69145496999</v>
      </c>
      <c r="F817" s="9">
        <v>396817.03096364503</v>
      </c>
      <c r="G817" s="9">
        <v>429674.679324948</v>
      </c>
      <c r="H817" s="9">
        <v>398473.81338660797</v>
      </c>
      <c r="I817" s="21">
        <f t="shared" si="24"/>
        <v>1656.7824229629477</v>
      </c>
      <c r="J817" s="21">
        <f t="shared" si="25"/>
        <v>2203.9878699780093</v>
      </c>
    </row>
    <row r="818" spans="1:10" hidden="1">
      <c r="A818" t="s">
        <v>212</v>
      </c>
      <c r="B818" t="s">
        <v>214</v>
      </c>
      <c r="C818" s="18">
        <v>2037</v>
      </c>
      <c r="D818" t="s">
        <v>181</v>
      </c>
      <c r="E818" s="9">
        <v>730413.89698103303</v>
      </c>
      <c r="F818" s="9">
        <v>452183.11932154</v>
      </c>
      <c r="G818" s="9">
        <v>741261.42723499297</v>
      </c>
      <c r="H818" s="9">
        <v>455168.18452875799</v>
      </c>
      <c r="I818" s="21">
        <f t="shared" si="24"/>
        <v>2985.0652072179946</v>
      </c>
      <c r="J818" s="21">
        <f t="shared" si="25"/>
        <v>10847.530253959936</v>
      </c>
    </row>
    <row r="819" spans="1:10" hidden="1">
      <c r="A819" t="s">
        <v>212</v>
      </c>
      <c r="B819" t="s">
        <v>214</v>
      </c>
      <c r="C819" s="18">
        <v>2037</v>
      </c>
      <c r="D819" t="s">
        <v>184</v>
      </c>
      <c r="E819" s="9">
        <v>547937.05044856295</v>
      </c>
      <c r="F819" s="9">
        <v>307196.84553876799</v>
      </c>
      <c r="G819" s="9">
        <v>553258.51776135701</v>
      </c>
      <c r="H819" s="9">
        <v>308666.04356230202</v>
      </c>
      <c r="I819" s="21">
        <f t="shared" si="24"/>
        <v>1469.1980235340307</v>
      </c>
      <c r="J819" s="21">
        <f t="shared" si="25"/>
        <v>5321.4673127940623</v>
      </c>
    </row>
    <row r="820" spans="1:10" hidden="1">
      <c r="A820" t="s">
        <v>212</v>
      </c>
      <c r="B820" t="s">
        <v>214</v>
      </c>
      <c r="C820" s="18">
        <v>2037</v>
      </c>
      <c r="D820" t="s">
        <v>365</v>
      </c>
      <c r="E820" s="9">
        <v>43887.492404905897</v>
      </c>
      <c r="F820" s="9">
        <v>7485.6663640869201</v>
      </c>
      <c r="G820" s="9">
        <v>43886.496639761303</v>
      </c>
      <c r="H820" s="9">
        <v>7485.6394586101196</v>
      </c>
      <c r="I820" s="21">
        <f t="shared" si="24"/>
        <v>-2.6905476800493489E-2</v>
      </c>
      <c r="J820" s="21">
        <f t="shared" si="25"/>
        <v>-0.99576514459477039</v>
      </c>
    </row>
    <row r="821" spans="1:10" hidden="1">
      <c r="A821" t="s">
        <v>212</v>
      </c>
      <c r="B821" t="s">
        <v>214</v>
      </c>
      <c r="C821" s="18">
        <v>2038</v>
      </c>
      <c r="D821" t="s">
        <v>167</v>
      </c>
      <c r="E821" s="9">
        <v>18289.648330461001</v>
      </c>
      <c r="F821" s="9">
        <v>13111.6294354745</v>
      </c>
      <c r="G821" s="9">
        <v>18278.619531582299</v>
      </c>
      <c r="H821" s="9">
        <v>13108.258682167399</v>
      </c>
      <c r="I821" s="21">
        <f t="shared" si="24"/>
        <v>-3.3707533071010403</v>
      </c>
      <c r="J821" s="21">
        <f t="shared" si="25"/>
        <v>-11.028798878702219</v>
      </c>
    </row>
    <row r="822" spans="1:10" hidden="1">
      <c r="A822" t="s">
        <v>212</v>
      </c>
      <c r="B822" t="s">
        <v>214</v>
      </c>
      <c r="C822" s="18">
        <v>2038</v>
      </c>
      <c r="D822" t="s">
        <v>206</v>
      </c>
      <c r="E822" s="9">
        <v>1164667.75262902</v>
      </c>
      <c r="F822" s="9">
        <v>233762.18936128699</v>
      </c>
      <c r="G822" s="9">
        <v>1176286.23006217</v>
      </c>
      <c r="H822" s="9">
        <v>234286.30240329501</v>
      </c>
      <c r="I822" s="21">
        <f t="shared" si="24"/>
        <v>524.11304200801533</v>
      </c>
      <c r="J822" s="21">
        <f t="shared" si="25"/>
        <v>11618.477433149936</v>
      </c>
    </row>
    <row r="823" spans="1:10" hidden="1">
      <c r="A823" t="s">
        <v>212</v>
      </c>
      <c r="B823" t="s">
        <v>214</v>
      </c>
      <c r="C823" s="18">
        <v>2038</v>
      </c>
      <c r="D823" t="s">
        <v>174</v>
      </c>
      <c r="E823" s="9">
        <v>133069.70146184601</v>
      </c>
      <c r="F823" s="9">
        <v>89779.433040410702</v>
      </c>
      <c r="G823" s="9">
        <v>133004.77137127001</v>
      </c>
      <c r="H823" s="9">
        <v>89762.908504627194</v>
      </c>
      <c r="I823" s="21">
        <f t="shared" si="24"/>
        <v>-16.524535783508327</v>
      </c>
      <c r="J823" s="21">
        <f t="shared" si="25"/>
        <v>-64.93009057600284</v>
      </c>
    </row>
    <row r="824" spans="1:10" hidden="1">
      <c r="A824" t="s">
        <v>212</v>
      </c>
      <c r="B824" t="s">
        <v>214</v>
      </c>
      <c r="C824" s="18">
        <v>2038</v>
      </c>
      <c r="D824" t="s">
        <v>178</v>
      </c>
      <c r="E824" s="9">
        <v>434523.01394444599</v>
      </c>
      <c r="F824" s="9">
        <v>403567.05560052098</v>
      </c>
      <c r="G824" s="9">
        <v>436878.35953831702</v>
      </c>
      <c r="H824" s="9">
        <v>405384.95777232101</v>
      </c>
      <c r="I824" s="21">
        <f t="shared" si="24"/>
        <v>1817.9021718000295</v>
      </c>
      <c r="J824" s="21">
        <f t="shared" si="25"/>
        <v>2355.3455938710249</v>
      </c>
    </row>
    <row r="825" spans="1:10" hidden="1">
      <c r="A825" t="s">
        <v>212</v>
      </c>
      <c r="B825" t="s">
        <v>214</v>
      </c>
      <c r="C825" s="18">
        <v>2038</v>
      </c>
      <c r="D825" t="s">
        <v>181</v>
      </c>
      <c r="E825" s="9">
        <v>741928.34881456697</v>
      </c>
      <c r="F825" s="9">
        <v>461884.14771532401</v>
      </c>
      <c r="G825" s="9">
        <v>753560.82214679301</v>
      </c>
      <c r="H825" s="9">
        <v>465342.91786371003</v>
      </c>
      <c r="I825" s="21">
        <f t="shared" si="24"/>
        <v>3458.7701483860146</v>
      </c>
      <c r="J825" s="21">
        <f t="shared" si="25"/>
        <v>11632.473332226044</v>
      </c>
    </row>
    <row r="826" spans="1:10" hidden="1">
      <c r="A826" t="s">
        <v>212</v>
      </c>
      <c r="B826" t="s">
        <v>214</v>
      </c>
      <c r="C826" s="18">
        <v>2038</v>
      </c>
      <c r="D826" t="s">
        <v>184</v>
      </c>
      <c r="E826" s="9">
        <v>559686.07723588601</v>
      </c>
      <c r="F826" s="9">
        <v>316770.41541487799</v>
      </c>
      <c r="G826" s="9">
        <v>565403.75879938505</v>
      </c>
      <c r="H826" s="9">
        <v>318461.02224812203</v>
      </c>
      <c r="I826" s="21">
        <f t="shared" si="24"/>
        <v>1690.6068332440336</v>
      </c>
      <c r="J826" s="21">
        <f t="shared" si="25"/>
        <v>5717.6815634990344</v>
      </c>
    </row>
    <row r="827" spans="1:10" hidden="1">
      <c r="A827" t="s">
        <v>212</v>
      </c>
      <c r="B827" t="s">
        <v>214</v>
      </c>
      <c r="C827" s="18">
        <v>2038</v>
      </c>
      <c r="D827" t="s">
        <v>365</v>
      </c>
      <c r="E827" s="9">
        <v>43732.006987978399</v>
      </c>
      <c r="F827" s="9">
        <v>7517.8073293401403</v>
      </c>
      <c r="G827" s="9">
        <v>43730.744850638199</v>
      </c>
      <c r="H827" s="9">
        <v>7517.77035327065</v>
      </c>
      <c r="I827" s="21">
        <f t="shared" si="24"/>
        <v>-3.6976069490265218E-2</v>
      </c>
      <c r="J827" s="21">
        <f t="shared" si="25"/>
        <v>-1.2621373401998426</v>
      </c>
    </row>
    <row r="828" spans="1:10" hidden="1">
      <c r="A828" t="s">
        <v>212</v>
      </c>
      <c r="B828" t="s">
        <v>214</v>
      </c>
      <c r="C828" s="18">
        <v>2039</v>
      </c>
      <c r="D828" t="s">
        <v>167</v>
      </c>
      <c r="E828" s="9">
        <v>18765.865008214299</v>
      </c>
      <c r="F828" s="9">
        <v>13409.112206560299</v>
      </c>
      <c r="G828" s="9">
        <v>18752.090499402999</v>
      </c>
      <c r="H828" s="9">
        <v>13404.669620275599</v>
      </c>
      <c r="I828" s="21">
        <f t="shared" si="24"/>
        <v>-4.4425862847001554</v>
      </c>
      <c r="J828" s="21">
        <f t="shared" si="25"/>
        <v>-13.77450881130062</v>
      </c>
    </row>
    <row r="829" spans="1:10" hidden="1">
      <c r="A829" t="s">
        <v>212</v>
      </c>
      <c r="B829" t="s">
        <v>214</v>
      </c>
      <c r="C829" s="18">
        <v>2039</v>
      </c>
      <c r="D829" t="s">
        <v>206</v>
      </c>
      <c r="E829" s="9">
        <v>1172486.3099808299</v>
      </c>
      <c r="F829" s="9">
        <v>241520.8207558</v>
      </c>
      <c r="G829" s="9">
        <v>1184738.3918449101</v>
      </c>
      <c r="H829" s="9">
        <v>242132.19115316399</v>
      </c>
      <c r="I829" s="21">
        <f t="shared" si="24"/>
        <v>611.37039736399311</v>
      </c>
      <c r="J829" s="21">
        <f t="shared" si="25"/>
        <v>12252.081864080159</v>
      </c>
    </row>
    <row r="830" spans="1:10" hidden="1">
      <c r="A830" t="s">
        <v>212</v>
      </c>
      <c r="B830" t="s">
        <v>214</v>
      </c>
      <c r="C830" s="18">
        <v>2039</v>
      </c>
      <c r="D830" t="s">
        <v>174</v>
      </c>
      <c r="E830" s="9">
        <v>135952.86677999599</v>
      </c>
      <c r="F830" s="9">
        <v>91738.254513652602</v>
      </c>
      <c r="G830" s="9">
        <v>135872.13136763001</v>
      </c>
      <c r="H830" s="9">
        <v>91716.366353602294</v>
      </c>
      <c r="I830" s="21">
        <f t="shared" si="24"/>
        <v>-21.888160050308215</v>
      </c>
      <c r="J830" s="21">
        <f t="shared" si="25"/>
        <v>-80.73541236598976</v>
      </c>
    </row>
    <row r="831" spans="1:10" hidden="1">
      <c r="A831" t="s">
        <v>212</v>
      </c>
      <c r="B831" t="s">
        <v>214</v>
      </c>
      <c r="C831" s="18">
        <v>2039</v>
      </c>
      <c r="D831" t="s">
        <v>178</v>
      </c>
      <c r="E831" s="9">
        <v>441408.684125092</v>
      </c>
      <c r="F831" s="9">
        <v>410148.63105706399</v>
      </c>
      <c r="G831" s="9">
        <v>443905.980748337</v>
      </c>
      <c r="H831" s="9">
        <v>412120.21350488003</v>
      </c>
      <c r="I831" s="21">
        <f t="shared" si="24"/>
        <v>1971.5824478160357</v>
      </c>
      <c r="J831" s="21">
        <f t="shared" si="25"/>
        <v>2497.296623244998</v>
      </c>
    </row>
    <row r="832" spans="1:10" hidden="1">
      <c r="A832" t="s">
        <v>212</v>
      </c>
      <c r="B832" t="s">
        <v>214</v>
      </c>
      <c r="C832" s="18">
        <v>2039</v>
      </c>
      <c r="D832" t="s">
        <v>181</v>
      </c>
      <c r="E832" s="9">
        <v>753147.12665506406</v>
      </c>
      <c r="F832" s="9">
        <v>471325.08767532703</v>
      </c>
      <c r="G832" s="9">
        <v>765528.46783885697</v>
      </c>
      <c r="H832" s="9">
        <v>475269.78752891801</v>
      </c>
      <c r="I832" s="21">
        <f t="shared" si="24"/>
        <v>3944.6998535909806</v>
      </c>
      <c r="J832" s="21">
        <f t="shared" si="25"/>
        <v>12381.341183792916</v>
      </c>
    </row>
    <row r="833" spans="1:10" hidden="1">
      <c r="A833" t="s">
        <v>212</v>
      </c>
      <c r="B833" t="s">
        <v>214</v>
      </c>
      <c r="C833" s="18">
        <v>2039</v>
      </c>
      <c r="D833" t="s">
        <v>184</v>
      </c>
      <c r="E833" s="9">
        <v>571318.31110650697</v>
      </c>
      <c r="F833" s="9">
        <v>326329.05947775202</v>
      </c>
      <c r="G833" s="9">
        <v>577414.514396235</v>
      </c>
      <c r="H833" s="9">
        <v>328246.40127636801</v>
      </c>
      <c r="I833" s="21">
        <f t="shared" si="24"/>
        <v>1917.3417986159911</v>
      </c>
      <c r="J833" s="21">
        <f t="shared" si="25"/>
        <v>6096.2032897280296</v>
      </c>
    </row>
    <row r="834" spans="1:10" hidden="1">
      <c r="A834" t="s">
        <v>212</v>
      </c>
      <c r="B834" t="s">
        <v>214</v>
      </c>
      <c r="C834" s="18">
        <v>2039</v>
      </c>
      <c r="D834" t="s">
        <v>365</v>
      </c>
      <c r="E834" s="9">
        <v>43590.407732471402</v>
      </c>
      <c r="F834" s="9">
        <v>7547.6089201120003</v>
      </c>
      <c r="G834" s="9">
        <v>43588.845456636998</v>
      </c>
      <c r="H834" s="9">
        <v>7547.5598608641003</v>
      </c>
      <c r="I834" s="21">
        <f t="shared" ref="I834:I897" si="26">H834-F834</f>
        <v>-4.9059247900004266E-2</v>
      </c>
      <c r="J834" s="21">
        <f t="shared" ref="J834:J897" si="27">G834-E834</f>
        <v>-1.5622758344034082</v>
      </c>
    </row>
    <row r="835" spans="1:10" hidden="1">
      <c r="A835" t="s">
        <v>212</v>
      </c>
      <c r="B835" t="s">
        <v>214</v>
      </c>
      <c r="C835" s="18">
        <v>2040</v>
      </c>
      <c r="D835" t="s">
        <v>167</v>
      </c>
      <c r="E835" s="9">
        <v>19252.618888487399</v>
      </c>
      <c r="F835" s="9">
        <v>13704.667906611599</v>
      </c>
      <c r="G835" s="9">
        <v>19235.736542927301</v>
      </c>
      <c r="H835" s="9">
        <v>13698.9721681132</v>
      </c>
      <c r="I835" s="21">
        <f t="shared" si="26"/>
        <v>-5.6957384983998054</v>
      </c>
      <c r="J835" s="21">
        <f t="shared" si="27"/>
        <v>-16.882345560097747</v>
      </c>
    </row>
    <row r="836" spans="1:10" hidden="1">
      <c r="A836" t="s">
        <v>212</v>
      </c>
      <c r="B836" t="s">
        <v>214</v>
      </c>
      <c r="C836" s="18">
        <v>2040</v>
      </c>
      <c r="D836" t="s">
        <v>206</v>
      </c>
      <c r="E836" s="9">
        <v>1179796.4001424101</v>
      </c>
      <c r="F836" s="9">
        <v>249190.82417432099</v>
      </c>
      <c r="G836" s="9">
        <v>1192634.43006365</v>
      </c>
      <c r="H836" s="9">
        <v>249894.478827588</v>
      </c>
      <c r="I836" s="21">
        <f t="shared" si="26"/>
        <v>703.6546532670036</v>
      </c>
      <c r="J836" s="21">
        <f t="shared" si="27"/>
        <v>12838.02992123994</v>
      </c>
    </row>
    <row r="837" spans="1:10" hidden="1">
      <c r="A837" t="s">
        <v>212</v>
      </c>
      <c r="B837" t="s">
        <v>214</v>
      </c>
      <c r="C837" s="18">
        <v>2040</v>
      </c>
      <c r="D837" t="s">
        <v>174</v>
      </c>
      <c r="E837" s="9">
        <v>138788.188847574</v>
      </c>
      <c r="F837" s="9">
        <v>93665.071351532097</v>
      </c>
      <c r="G837" s="9">
        <v>138689.796610277</v>
      </c>
      <c r="H837" s="9">
        <v>93636.896760059302</v>
      </c>
      <c r="I837" s="21">
        <f t="shared" si="26"/>
        <v>-28.174591472794418</v>
      </c>
      <c r="J837" s="21">
        <f t="shared" si="27"/>
        <v>-98.392237296997337</v>
      </c>
    </row>
    <row r="838" spans="1:10" hidden="1">
      <c r="A838" t="s">
        <v>212</v>
      </c>
      <c r="B838" t="s">
        <v>214</v>
      </c>
      <c r="C838" s="18">
        <v>2040</v>
      </c>
      <c r="D838" t="s">
        <v>178</v>
      </c>
      <c r="E838" s="9">
        <v>448211.43788875802</v>
      </c>
      <c r="F838" s="9">
        <v>416503.73133250303</v>
      </c>
      <c r="G838" s="9">
        <v>450841.764596063</v>
      </c>
      <c r="H838" s="9">
        <v>418620.90894817398</v>
      </c>
      <c r="I838" s="21">
        <f t="shared" si="26"/>
        <v>2117.1776156709529</v>
      </c>
      <c r="J838" s="21">
        <f t="shared" si="27"/>
        <v>2630.3267073049792</v>
      </c>
    </row>
    <row r="839" spans="1:10" hidden="1">
      <c r="A839" t="s">
        <v>212</v>
      </c>
      <c r="B839" t="s">
        <v>214</v>
      </c>
      <c r="C839" s="18">
        <v>2040</v>
      </c>
      <c r="D839" t="s">
        <v>181</v>
      </c>
      <c r="E839" s="9">
        <v>763995.23747289297</v>
      </c>
      <c r="F839" s="9">
        <v>480508.11963511299</v>
      </c>
      <c r="G839" s="9">
        <v>777088.49670209095</v>
      </c>
      <c r="H839" s="9">
        <v>484947.105425179</v>
      </c>
      <c r="I839" s="21">
        <f t="shared" si="26"/>
        <v>4438.9857900660136</v>
      </c>
      <c r="J839" s="21">
        <f t="shared" si="27"/>
        <v>13093.259229197982</v>
      </c>
    </row>
    <row r="840" spans="1:10" hidden="1">
      <c r="A840" t="s">
        <v>212</v>
      </c>
      <c r="B840" t="s">
        <v>214</v>
      </c>
      <c r="C840" s="18">
        <v>2040</v>
      </c>
      <c r="D840" t="s">
        <v>184</v>
      </c>
      <c r="E840" s="9">
        <v>582902.12770560198</v>
      </c>
      <c r="F840" s="9">
        <v>335890.99204507598</v>
      </c>
      <c r="G840" s="9">
        <v>589359.73383284197</v>
      </c>
      <c r="H840" s="9">
        <v>338039.01043044601</v>
      </c>
      <c r="I840" s="21">
        <f t="shared" si="26"/>
        <v>2148.0183853700291</v>
      </c>
      <c r="J840" s="21">
        <f t="shared" si="27"/>
        <v>6457.6061272399966</v>
      </c>
    </row>
    <row r="841" spans="1:10" hidden="1">
      <c r="A841" t="s">
        <v>212</v>
      </c>
      <c r="B841" t="s">
        <v>214</v>
      </c>
      <c r="C841" s="18">
        <v>2040</v>
      </c>
      <c r="D841" t="s">
        <v>365</v>
      </c>
      <c r="E841" s="9">
        <v>43466.755840255697</v>
      </c>
      <c r="F841" s="9">
        <v>7573.7888033113604</v>
      </c>
      <c r="G841" s="9">
        <v>43464.859681883601</v>
      </c>
      <c r="H841" s="9">
        <v>7573.7255608269897</v>
      </c>
      <c r="I841" s="21">
        <f t="shared" si="26"/>
        <v>-6.3242484370675811E-2</v>
      </c>
      <c r="J841" s="21">
        <f t="shared" si="27"/>
        <v>-1.8961583720956696</v>
      </c>
    </row>
    <row r="842" spans="1:10" hidden="1">
      <c r="A842" t="s">
        <v>212</v>
      </c>
      <c r="B842" t="s">
        <v>214</v>
      </c>
      <c r="C842" s="18">
        <v>2041</v>
      </c>
      <c r="D842" t="s">
        <v>167</v>
      </c>
      <c r="E842" s="9">
        <v>19747.648836144599</v>
      </c>
      <c r="F842" s="9">
        <v>13998.7469771124</v>
      </c>
      <c r="G842" s="9">
        <v>19727.283486384</v>
      </c>
      <c r="H842" s="9">
        <v>13991.606690282801</v>
      </c>
      <c r="I842" s="21">
        <f t="shared" si="26"/>
        <v>-7.1402868295990629</v>
      </c>
      <c r="J842" s="21">
        <f t="shared" si="27"/>
        <v>-20.365349760599202</v>
      </c>
    </row>
    <row r="843" spans="1:10" hidden="1">
      <c r="A843" t="s">
        <v>212</v>
      </c>
      <c r="B843" t="s">
        <v>214</v>
      </c>
      <c r="C843" s="18">
        <v>2041</v>
      </c>
      <c r="D843" t="s">
        <v>206</v>
      </c>
      <c r="E843" s="9">
        <v>1186609.4124722199</v>
      </c>
      <c r="F843" s="9">
        <v>256798.35695969101</v>
      </c>
      <c r="G843" s="9">
        <v>1199988.17586749</v>
      </c>
      <c r="H843" s="9">
        <v>257599.044002988</v>
      </c>
      <c r="I843" s="21">
        <f t="shared" si="26"/>
        <v>800.68704329698812</v>
      </c>
      <c r="J843" s="21">
        <f t="shared" si="27"/>
        <v>13378.7633952701</v>
      </c>
    </row>
    <row r="844" spans="1:10" hidden="1">
      <c r="A844" t="s">
        <v>212</v>
      </c>
      <c r="B844" t="s">
        <v>214</v>
      </c>
      <c r="C844" s="18">
        <v>2041</v>
      </c>
      <c r="D844" t="s">
        <v>174</v>
      </c>
      <c r="E844" s="9">
        <v>141593.499855503</v>
      </c>
      <c r="F844" s="9">
        <v>95562.420860120299</v>
      </c>
      <c r="G844" s="9">
        <v>141475.570851386</v>
      </c>
      <c r="H844" s="9">
        <v>95527.0063786807</v>
      </c>
      <c r="I844" s="21">
        <f t="shared" si="26"/>
        <v>-35.414481439598603</v>
      </c>
      <c r="J844" s="21">
        <f t="shared" si="27"/>
        <v>-117.92900411700248</v>
      </c>
    </row>
    <row r="845" spans="1:10" hidden="1">
      <c r="A845" t="s">
        <v>212</v>
      </c>
      <c r="B845" t="s">
        <v>214</v>
      </c>
      <c r="C845" s="18">
        <v>2041</v>
      </c>
      <c r="D845" t="s">
        <v>178</v>
      </c>
      <c r="E845" s="9">
        <v>454943.559899805</v>
      </c>
      <c r="F845" s="9">
        <v>422750.70275609998</v>
      </c>
      <c r="G845" s="9">
        <v>457698.12813480198</v>
      </c>
      <c r="H845" s="9">
        <v>425005.77720965003</v>
      </c>
      <c r="I845" s="21">
        <f t="shared" si="26"/>
        <v>2255.0744535500417</v>
      </c>
      <c r="J845" s="21">
        <f t="shared" si="27"/>
        <v>2754.5682349969866</v>
      </c>
    </row>
    <row r="846" spans="1:10" hidden="1">
      <c r="A846" t="s">
        <v>212</v>
      </c>
      <c r="B846" t="s">
        <v>214</v>
      </c>
      <c r="C846" s="18">
        <v>2041</v>
      </c>
      <c r="D846" t="s">
        <v>181</v>
      </c>
      <c r="E846" s="9">
        <v>774523.77264918899</v>
      </c>
      <c r="F846" s="9">
        <v>489452.59358647402</v>
      </c>
      <c r="G846" s="9">
        <v>788293.24275668897</v>
      </c>
      <c r="H846" s="9">
        <v>494390.87324825901</v>
      </c>
      <c r="I846" s="21">
        <f t="shared" si="26"/>
        <v>4938.2796617849963</v>
      </c>
      <c r="J846" s="21">
        <f t="shared" si="27"/>
        <v>13769.470107499976</v>
      </c>
    </row>
    <row r="847" spans="1:10" hidden="1">
      <c r="A847" t="s">
        <v>212</v>
      </c>
      <c r="B847" t="s">
        <v>214</v>
      </c>
      <c r="C847" s="18">
        <v>2041</v>
      </c>
      <c r="D847" t="s">
        <v>184</v>
      </c>
      <c r="E847" s="9">
        <v>594354.37733956904</v>
      </c>
      <c r="F847" s="9">
        <v>345542.62677973998</v>
      </c>
      <c r="G847" s="9">
        <v>601155.34094696096</v>
      </c>
      <c r="H847" s="9">
        <v>347924.76632707799</v>
      </c>
      <c r="I847" s="21">
        <f t="shared" si="26"/>
        <v>2382.1395473380107</v>
      </c>
      <c r="J847" s="21">
        <f t="shared" si="27"/>
        <v>6800.9636073919246</v>
      </c>
    </row>
    <row r="848" spans="1:10" hidden="1">
      <c r="A848" t="s">
        <v>212</v>
      </c>
      <c r="B848" t="s">
        <v>214</v>
      </c>
      <c r="C848" s="18">
        <v>2041</v>
      </c>
      <c r="D848" t="s">
        <v>365</v>
      </c>
      <c r="E848" s="9">
        <v>43363.199160861703</v>
      </c>
      <c r="F848" s="9">
        <v>7596.0749654321098</v>
      </c>
      <c r="G848" s="9">
        <v>43360.9356755525</v>
      </c>
      <c r="H848" s="9">
        <v>7595.9953338682099</v>
      </c>
      <c r="I848" s="21">
        <f t="shared" si="26"/>
        <v>-7.963156389996584E-2</v>
      </c>
      <c r="J848" s="21">
        <f t="shared" si="27"/>
        <v>-2.263485309202224</v>
      </c>
    </row>
    <row r="849" spans="1:10" hidden="1">
      <c r="A849" t="s">
        <v>212</v>
      </c>
      <c r="B849" t="s">
        <v>214</v>
      </c>
      <c r="C849" s="18">
        <v>2042</v>
      </c>
      <c r="D849" t="s">
        <v>167</v>
      </c>
      <c r="E849" s="9">
        <v>20246.503198372498</v>
      </c>
      <c r="F849" s="9">
        <v>14293.4056167459</v>
      </c>
      <c r="G849" s="9">
        <v>20222.268399164699</v>
      </c>
      <c r="H849" s="9">
        <v>14284.6169088399</v>
      </c>
      <c r="I849" s="21">
        <f t="shared" si="26"/>
        <v>-8.788707906000127</v>
      </c>
      <c r="J849" s="21">
        <f t="shared" si="27"/>
        <v>-24.234799207799369</v>
      </c>
    </row>
    <row r="850" spans="1:10" hidden="1">
      <c r="A850" t="s">
        <v>212</v>
      </c>
      <c r="B850" t="s">
        <v>214</v>
      </c>
      <c r="C850" s="18">
        <v>2042</v>
      </c>
      <c r="D850" t="s">
        <v>206</v>
      </c>
      <c r="E850" s="9">
        <v>1192923.82195816</v>
      </c>
      <c r="F850" s="9">
        <v>264387.14351133601</v>
      </c>
      <c r="G850" s="9">
        <v>1206799.58929471</v>
      </c>
      <c r="H850" s="9">
        <v>265289.409116733</v>
      </c>
      <c r="I850" s="21">
        <f t="shared" si="26"/>
        <v>902.26560539699858</v>
      </c>
      <c r="J850" s="21">
        <f t="shared" si="27"/>
        <v>13875.767336549936</v>
      </c>
    </row>
    <row r="851" spans="1:10" hidden="1">
      <c r="A851" t="s">
        <v>212</v>
      </c>
      <c r="B851" t="s">
        <v>214</v>
      </c>
      <c r="C851" s="18">
        <v>2042</v>
      </c>
      <c r="D851" t="s">
        <v>174</v>
      </c>
      <c r="E851" s="9">
        <v>144387.47389495501</v>
      </c>
      <c r="F851" s="9">
        <v>97449.798965503607</v>
      </c>
      <c r="G851" s="9">
        <v>144248.066926011</v>
      </c>
      <c r="H851" s="9">
        <v>97406.156977096296</v>
      </c>
      <c r="I851" s="21">
        <f t="shared" si="26"/>
        <v>-43.641988407311146</v>
      </c>
      <c r="J851" s="21">
        <f t="shared" si="27"/>
        <v>-139.40696894400753</v>
      </c>
    </row>
    <row r="852" spans="1:10" hidden="1">
      <c r="A852" t="s">
        <v>212</v>
      </c>
      <c r="B852" t="s">
        <v>214</v>
      </c>
      <c r="C852" s="18">
        <v>2042</v>
      </c>
      <c r="D852" t="s">
        <v>178</v>
      </c>
      <c r="E852" s="9">
        <v>461616.91618500499</v>
      </c>
      <c r="F852" s="9">
        <v>429011.266754382</v>
      </c>
      <c r="G852" s="9">
        <v>464487.03899019101</v>
      </c>
      <c r="H852" s="9">
        <v>431397.042999706</v>
      </c>
      <c r="I852" s="21">
        <f t="shared" si="26"/>
        <v>2385.7762453239993</v>
      </c>
      <c r="J852" s="21">
        <f t="shared" si="27"/>
        <v>2870.1228051860235</v>
      </c>
    </row>
    <row r="853" spans="1:10" hidden="1">
      <c r="A853" t="s">
        <v>212</v>
      </c>
      <c r="B853" t="s">
        <v>214</v>
      </c>
      <c r="C853" s="18">
        <v>2042</v>
      </c>
      <c r="D853" t="s">
        <v>181</v>
      </c>
      <c r="E853" s="9">
        <v>784814.19711675995</v>
      </c>
      <c r="F853" s="9">
        <v>498164.30672802101</v>
      </c>
      <c r="G853" s="9">
        <v>799225.499121645</v>
      </c>
      <c r="H853" s="9">
        <v>503603.80380956898</v>
      </c>
      <c r="I853" s="21">
        <f t="shared" si="26"/>
        <v>5439.4970815479755</v>
      </c>
      <c r="J853" s="21">
        <f t="shared" si="27"/>
        <v>14411.302004885045</v>
      </c>
    </row>
    <row r="854" spans="1:10" hidden="1">
      <c r="A854" t="s">
        <v>212</v>
      </c>
      <c r="B854" t="s">
        <v>214</v>
      </c>
      <c r="C854" s="18">
        <v>2042</v>
      </c>
      <c r="D854" t="s">
        <v>184</v>
      </c>
      <c r="E854" s="9">
        <v>605539.66468270798</v>
      </c>
      <c r="F854" s="9">
        <v>355311.88618276099</v>
      </c>
      <c r="G854" s="9">
        <v>612664.177038008</v>
      </c>
      <c r="H854" s="9">
        <v>357930.93950443697</v>
      </c>
      <c r="I854" s="21">
        <f t="shared" si="26"/>
        <v>2619.0533216759795</v>
      </c>
      <c r="J854" s="21">
        <f t="shared" si="27"/>
        <v>7124.5123553000158</v>
      </c>
    </row>
    <row r="855" spans="1:10" hidden="1">
      <c r="A855" t="s">
        <v>212</v>
      </c>
      <c r="B855" t="s">
        <v>214</v>
      </c>
      <c r="C855" s="18">
        <v>2042</v>
      </c>
      <c r="D855" t="s">
        <v>365</v>
      </c>
      <c r="E855" s="9">
        <v>43281.3925581597</v>
      </c>
      <c r="F855" s="9">
        <v>7616.6911728041796</v>
      </c>
      <c r="G855" s="9">
        <v>43278.728481607301</v>
      </c>
      <c r="H855" s="9">
        <v>7616.5928035502902</v>
      </c>
      <c r="I855" s="21">
        <f t="shared" si="26"/>
        <v>-9.8369253889359243E-2</v>
      </c>
      <c r="J855" s="21">
        <f t="shared" si="27"/>
        <v>-2.6640765523989103</v>
      </c>
    </row>
    <row r="856" spans="1:10" hidden="1">
      <c r="A856" t="s">
        <v>212</v>
      </c>
      <c r="B856" t="s">
        <v>214</v>
      </c>
      <c r="C856" s="18">
        <v>2043</v>
      </c>
      <c r="D856" t="s">
        <v>167</v>
      </c>
      <c r="E856" s="9">
        <v>20749.059342181699</v>
      </c>
      <c r="F856" s="9">
        <v>14583.5339228434</v>
      </c>
      <c r="G856" s="9">
        <v>20720.548205455299</v>
      </c>
      <c r="H856" s="9">
        <v>14572.883153271399</v>
      </c>
      <c r="I856" s="21">
        <f t="shared" si="26"/>
        <v>-10.650769572001082</v>
      </c>
      <c r="J856" s="21">
        <f t="shared" si="27"/>
        <v>-28.511136726399855</v>
      </c>
    </row>
    <row r="857" spans="1:10" hidden="1">
      <c r="A857" t="s">
        <v>212</v>
      </c>
      <c r="B857" t="s">
        <v>214</v>
      </c>
      <c r="C857" s="18">
        <v>2043</v>
      </c>
      <c r="D857" t="s">
        <v>206</v>
      </c>
      <c r="E857" s="9">
        <v>1198719.04559243</v>
      </c>
      <c r="F857" s="9">
        <v>271942.43464554002</v>
      </c>
      <c r="G857" s="9">
        <v>1213049.26096591</v>
      </c>
      <c r="H857" s="9">
        <v>272950.43541917799</v>
      </c>
      <c r="I857" s="21">
        <f t="shared" si="26"/>
        <v>1008.000773637963</v>
      </c>
      <c r="J857" s="21">
        <f t="shared" si="27"/>
        <v>14330.215373479994</v>
      </c>
    </row>
    <row r="858" spans="1:10" hidden="1">
      <c r="A858" t="s">
        <v>212</v>
      </c>
      <c r="B858" t="s">
        <v>214</v>
      </c>
      <c r="C858" s="18">
        <v>2043</v>
      </c>
      <c r="D858" t="s">
        <v>174</v>
      </c>
      <c r="E858" s="9">
        <v>147156.68714334801</v>
      </c>
      <c r="F858" s="9">
        <v>99324.281897433699</v>
      </c>
      <c r="G858" s="9">
        <v>146993.81420820701</v>
      </c>
      <c r="H858" s="9">
        <v>99271.391168072907</v>
      </c>
      <c r="I858" s="21">
        <f t="shared" si="26"/>
        <v>-52.890729360791738</v>
      </c>
      <c r="J858" s="21">
        <f t="shared" si="27"/>
        <v>-162.8729351410002</v>
      </c>
    </row>
    <row r="859" spans="1:10" hidden="1">
      <c r="A859" t="s">
        <v>212</v>
      </c>
      <c r="B859" t="s">
        <v>214</v>
      </c>
      <c r="C859" s="18">
        <v>2043</v>
      </c>
      <c r="D859" t="s">
        <v>178</v>
      </c>
      <c r="E859" s="9">
        <v>468178.16037353699</v>
      </c>
      <c r="F859" s="9">
        <v>435171.44004462002</v>
      </c>
      <c r="G859" s="9">
        <v>471154.83958066901</v>
      </c>
      <c r="H859" s="9">
        <v>437679.98847184202</v>
      </c>
      <c r="I859" s="21">
        <f t="shared" si="26"/>
        <v>2508.5484272220056</v>
      </c>
      <c r="J859" s="21">
        <f t="shared" si="27"/>
        <v>2976.6792071320233</v>
      </c>
    </row>
    <row r="860" spans="1:10" hidden="1">
      <c r="A860" t="s">
        <v>212</v>
      </c>
      <c r="B860" t="s">
        <v>214</v>
      </c>
      <c r="C860" s="18">
        <v>2043</v>
      </c>
      <c r="D860" t="s">
        <v>181</v>
      </c>
      <c r="E860" s="9">
        <v>794993.39002575295</v>
      </c>
      <c r="F860" s="9">
        <v>506670.27182229899</v>
      </c>
      <c r="G860" s="9">
        <v>810014.77283431904</v>
      </c>
      <c r="H860" s="9">
        <v>512610.44917931297</v>
      </c>
      <c r="I860" s="21">
        <f t="shared" si="26"/>
        <v>5940.1773570139776</v>
      </c>
      <c r="J860" s="21">
        <f t="shared" si="27"/>
        <v>15021.382808566093</v>
      </c>
    </row>
    <row r="861" spans="1:10" hidden="1">
      <c r="A861" t="s">
        <v>212</v>
      </c>
      <c r="B861" t="s">
        <v>214</v>
      </c>
      <c r="C861" s="18">
        <v>2043</v>
      </c>
      <c r="D861" t="s">
        <v>184</v>
      </c>
      <c r="E861" s="9">
        <v>616524.44949177501</v>
      </c>
      <c r="F861" s="9">
        <v>365102.02558986499</v>
      </c>
      <c r="G861" s="9">
        <v>623953.35649413895</v>
      </c>
      <c r="H861" s="9">
        <v>367959.059248153</v>
      </c>
      <c r="I861" s="21">
        <f t="shared" si="26"/>
        <v>2857.0336582880118</v>
      </c>
      <c r="J861" s="21">
        <f t="shared" si="27"/>
        <v>7428.907002363936</v>
      </c>
    </row>
    <row r="862" spans="1:10" hidden="1">
      <c r="A862" t="s">
        <v>212</v>
      </c>
      <c r="B862" t="s">
        <v>214</v>
      </c>
      <c r="C862" s="18">
        <v>2043</v>
      </c>
      <c r="D862" t="s">
        <v>365</v>
      </c>
      <c r="E862" s="9">
        <v>43235.236423527997</v>
      </c>
      <c r="F862" s="9">
        <v>7634.7576859644996</v>
      </c>
      <c r="G862" s="9">
        <v>43232.1385441846</v>
      </c>
      <c r="H862" s="9">
        <v>7634.6380979097503</v>
      </c>
      <c r="I862" s="21">
        <f t="shared" si="26"/>
        <v>-0.11958805474932888</v>
      </c>
      <c r="J862" s="21">
        <f t="shared" si="27"/>
        <v>-3.0978793433969258</v>
      </c>
    </row>
    <row r="863" spans="1:10" hidden="1">
      <c r="A863" t="s">
        <v>212</v>
      </c>
      <c r="B863" t="s">
        <v>214</v>
      </c>
      <c r="C863" s="18">
        <v>2044</v>
      </c>
      <c r="D863" t="s">
        <v>167</v>
      </c>
      <c r="E863" s="9">
        <v>21253.460116109502</v>
      </c>
      <c r="F863" s="9">
        <v>14874.1657402076</v>
      </c>
      <c r="G863" s="9">
        <v>21220.2473713984</v>
      </c>
      <c r="H863" s="9">
        <v>14861.4315691186</v>
      </c>
      <c r="I863" s="21">
        <f t="shared" si="26"/>
        <v>-12.734171088999574</v>
      </c>
      <c r="J863" s="21">
        <f t="shared" si="27"/>
        <v>-33.21274471110155</v>
      </c>
    </row>
    <row r="864" spans="1:10" hidden="1">
      <c r="A864" t="s">
        <v>212</v>
      </c>
      <c r="B864" t="s">
        <v>214</v>
      </c>
      <c r="C864" s="18">
        <v>2044</v>
      </c>
      <c r="D864" t="s">
        <v>206</v>
      </c>
      <c r="E864" s="9">
        <v>1204241.5562537301</v>
      </c>
      <c r="F864" s="9">
        <v>279388.95619460102</v>
      </c>
      <c r="G864" s="9">
        <v>1218988.4670045001</v>
      </c>
      <c r="H864" s="9">
        <v>280506.44153550803</v>
      </c>
      <c r="I864" s="21">
        <f t="shared" si="26"/>
        <v>1117.4853409070056</v>
      </c>
      <c r="J864" s="21">
        <f t="shared" si="27"/>
        <v>14746.91075077001</v>
      </c>
    </row>
    <row r="865" spans="1:10" hidden="1">
      <c r="A865" t="s">
        <v>212</v>
      </c>
      <c r="B865" t="s">
        <v>214</v>
      </c>
      <c r="C865" s="18">
        <v>2044</v>
      </c>
      <c r="D865" t="s">
        <v>174</v>
      </c>
      <c r="E865" s="9">
        <v>149884.57629009499</v>
      </c>
      <c r="F865" s="9">
        <v>101175.476097825</v>
      </c>
      <c r="G865" s="9">
        <v>149696.21396730101</v>
      </c>
      <c r="H865" s="9">
        <v>101112.290089553</v>
      </c>
      <c r="I865" s="21">
        <f t="shared" si="26"/>
        <v>-63.186008271994069</v>
      </c>
      <c r="J865" s="21">
        <f t="shared" si="27"/>
        <v>-188.36232279398246</v>
      </c>
    </row>
    <row r="866" spans="1:10" hidden="1">
      <c r="A866" t="s">
        <v>212</v>
      </c>
      <c r="B866" t="s">
        <v>214</v>
      </c>
      <c r="C866" s="18">
        <v>2044</v>
      </c>
      <c r="D866" t="s">
        <v>178</v>
      </c>
      <c r="E866" s="9">
        <v>474507.81909143698</v>
      </c>
      <c r="F866" s="9">
        <v>441177.70220907702</v>
      </c>
      <c r="G866" s="9">
        <v>477581.31483664498</v>
      </c>
      <c r="H866" s="9">
        <v>443800.63719739497</v>
      </c>
      <c r="I866" s="21">
        <f t="shared" si="26"/>
        <v>2622.934988317953</v>
      </c>
      <c r="J866" s="21">
        <f t="shared" si="27"/>
        <v>3073.495745207998</v>
      </c>
    </row>
    <row r="867" spans="1:10" hidden="1">
      <c r="A867" t="s">
        <v>212</v>
      </c>
      <c r="B867" t="s">
        <v>214</v>
      </c>
      <c r="C867" s="18">
        <v>2044</v>
      </c>
      <c r="D867" t="s">
        <v>181</v>
      </c>
      <c r="E867" s="9">
        <v>805140.66005441803</v>
      </c>
      <c r="F867" s="9">
        <v>514981.865564704</v>
      </c>
      <c r="G867" s="9">
        <v>820742.37012193399</v>
      </c>
      <c r="H867" s="9">
        <v>521420.17033099697</v>
      </c>
      <c r="I867" s="21">
        <f t="shared" si="26"/>
        <v>6438.3047662929748</v>
      </c>
      <c r="J867" s="21">
        <f t="shared" si="27"/>
        <v>15601.71006751596</v>
      </c>
    </row>
    <row r="868" spans="1:10" hidden="1">
      <c r="A868" t="s">
        <v>212</v>
      </c>
      <c r="B868" t="s">
        <v>214</v>
      </c>
      <c r="C868" s="18">
        <v>2044</v>
      </c>
      <c r="D868" t="s">
        <v>184</v>
      </c>
      <c r="E868" s="9">
        <v>627310.35590458999</v>
      </c>
      <c r="F868" s="9">
        <v>374824.26241718698</v>
      </c>
      <c r="G868" s="9">
        <v>635024.54646764905</v>
      </c>
      <c r="H868" s="9">
        <v>377918.58989895799</v>
      </c>
      <c r="I868" s="21">
        <f t="shared" si="26"/>
        <v>3094.3274817710044</v>
      </c>
      <c r="J868" s="21">
        <f t="shared" si="27"/>
        <v>7714.1905630590627</v>
      </c>
    </row>
    <row r="869" spans="1:10" hidden="1">
      <c r="A869" t="s">
        <v>212</v>
      </c>
      <c r="B869" t="s">
        <v>214</v>
      </c>
      <c r="C869" s="18">
        <v>2044</v>
      </c>
      <c r="D869" t="s">
        <v>365</v>
      </c>
      <c r="E869" s="9">
        <v>43206.1943865945</v>
      </c>
      <c r="F869" s="9">
        <v>7652.8652557383102</v>
      </c>
      <c r="G869" s="9">
        <v>43202.630038859497</v>
      </c>
      <c r="H869" s="9">
        <v>7652.7218257366803</v>
      </c>
      <c r="I869" s="21">
        <f t="shared" si="26"/>
        <v>-0.14343000162989483</v>
      </c>
      <c r="J869" s="21">
        <f t="shared" si="27"/>
        <v>-3.5643477350022295</v>
      </c>
    </row>
    <row r="870" spans="1:10" hidden="1">
      <c r="A870" t="s">
        <v>212</v>
      </c>
      <c r="B870" t="s">
        <v>214</v>
      </c>
      <c r="C870" s="18">
        <v>2045</v>
      </c>
      <c r="D870" t="s">
        <v>167</v>
      </c>
      <c r="E870" s="9">
        <v>21755.9631397743</v>
      </c>
      <c r="F870" s="9">
        <v>15163.343795979599</v>
      </c>
      <c r="G870" s="9">
        <v>21717.616521529701</v>
      </c>
      <c r="H870" s="9">
        <v>15148.297956242301</v>
      </c>
      <c r="I870" s="21">
        <f t="shared" si="26"/>
        <v>-15.045839737298593</v>
      </c>
      <c r="J870" s="21">
        <f t="shared" si="27"/>
        <v>-38.346618244599085</v>
      </c>
    </row>
    <row r="871" spans="1:10" hidden="1">
      <c r="A871" t="s">
        <v>212</v>
      </c>
      <c r="B871" t="s">
        <v>214</v>
      </c>
      <c r="C871" s="18">
        <v>2045</v>
      </c>
      <c r="D871" t="s">
        <v>206</v>
      </c>
      <c r="E871" s="9">
        <v>1209540.5868387099</v>
      </c>
      <c r="F871" s="9">
        <v>286694.79121242301</v>
      </c>
      <c r="G871" s="9">
        <v>1224668.96644768</v>
      </c>
      <c r="H871" s="9">
        <v>287925.04322278401</v>
      </c>
      <c r="I871" s="21">
        <f t="shared" si="26"/>
        <v>1230.2520103610004</v>
      </c>
      <c r="J871" s="21">
        <f t="shared" si="27"/>
        <v>15128.379608970135</v>
      </c>
    </row>
    <row r="872" spans="1:10" hidden="1">
      <c r="A872" t="s">
        <v>212</v>
      </c>
      <c r="B872" t="s">
        <v>214</v>
      </c>
      <c r="C872" s="18">
        <v>2045</v>
      </c>
      <c r="D872" t="s">
        <v>174</v>
      </c>
      <c r="E872" s="9">
        <v>152553.93092800799</v>
      </c>
      <c r="F872" s="9">
        <v>103009.86518958199</v>
      </c>
      <c r="G872" s="9">
        <v>152338.05281588601</v>
      </c>
      <c r="H872" s="9">
        <v>102935.314985138</v>
      </c>
      <c r="I872" s="21">
        <f t="shared" si="26"/>
        <v>-74.550204443992698</v>
      </c>
      <c r="J872" s="21">
        <f t="shared" si="27"/>
        <v>-215.87811212197994</v>
      </c>
    </row>
    <row r="873" spans="1:10" hidden="1">
      <c r="A873" t="s">
        <v>212</v>
      </c>
      <c r="B873" t="s">
        <v>214</v>
      </c>
      <c r="C873" s="18">
        <v>2045</v>
      </c>
      <c r="D873" t="s">
        <v>178</v>
      </c>
      <c r="E873" s="9">
        <v>480563.13993281103</v>
      </c>
      <c r="F873" s="9">
        <v>446989.02610467299</v>
      </c>
      <c r="G873" s="9">
        <v>483723.51612219802</v>
      </c>
      <c r="H873" s="9">
        <v>449717.558047709</v>
      </c>
      <c r="I873" s="21">
        <f t="shared" si="26"/>
        <v>2728.5319430360105</v>
      </c>
      <c r="J873" s="21">
        <f t="shared" si="27"/>
        <v>3160.376189386996</v>
      </c>
    </row>
    <row r="874" spans="1:10" hidden="1">
      <c r="A874" t="s">
        <v>212</v>
      </c>
      <c r="B874" t="s">
        <v>214</v>
      </c>
      <c r="C874" s="18">
        <v>2045</v>
      </c>
      <c r="D874" t="s">
        <v>181</v>
      </c>
      <c r="E874" s="9">
        <v>815316.25196282205</v>
      </c>
      <c r="F874" s="9">
        <v>523063.06865975802</v>
      </c>
      <c r="G874" s="9">
        <v>831470.21009817696</v>
      </c>
      <c r="H874" s="9">
        <v>529994.22695920803</v>
      </c>
      <c r="I874" s="21">
        <f t="shared" si="26"/>
        <v>6931.1582994500059</v>
      </c>
      <c r="J874" s="21">
        <f t="shared" si="27"/>
        <v>16153.958135354915</v>
      </c>
    </row>
    <row r="875" spans="1:10" hidden="1">
      <c r="A875" t="s">
        <v>212</v>
      </c>
      <c r="B875" t="s">
        <v>214</v>
      </c>
      <c r="C875" s="18">
        <v>2045</v>
      </c>
      <c r="D875" t="s">
        <v>184</v>
      </c>
      <c r="E875" s="9">
        <v>637751.88743456698</v>
      </c>
      <c r="F875" s="9">
        <v>384421.49397614301</v>
      </c>
      <c r="G875" s="9">
        <v>645730.44769895996</v>
      </c>
      <c r="H875" s="9">
        <v>387750.67878189799</v>
      </c>
      <c r="I875" s="21">
        <f t="shared" si="26"/>
        <v>3329.1848057549796</v>
      </c>
      <c r="J875" s="21">
        <f t="shared" si="27"/>
        <v>7978.5602643929888</v>
      </c>
    </row>
    <row r="876" spans="1:10" hidden="1">
      <c r="A876" t="s">
        <v>212</v>
      </c>
      <c r="B876" t="s">
        <v>214</v>
      </c>
      <c r="C876" s="18">
        <v>2045</v>
      </c>
      <c r="D876" t="s">
        <v>365</v>
      </c>
      <c r="E876" s="9">
        <v>43194.666590877103</v>
      </c>
      <c r="F876" s="9">
        <v>7672.2382562754401</v>
      </c>
      <c r="G876" s="9">
        <v>43190.603751316099</v>
      </c>
      <c r="H876" s="9">
        <v>7672.0682267846396</v>
      </c>
      <c r="I876" s="21">
        <f t="shared" si="26"/>
        <v>-0.17002949080051621</v>
      </c>
      <c r="J876" s="21">
        <f t="shared" si="27"/>
        <v>-4.0628395610037842</v>
      </c>
    </row>
    <row r="877" spans="1:10" hidden="1">
      <c r="A877" t="s">
        <v>212</v>
      </c>
      <c r="B877" t="s">
        <v>214</v>
      </c>
      <c r="C877" s="18">
        <v>2046</v>
      </c>
      <c r="D877" t="s">
        <v>167</v>
      </c>
      <c r="E877" s="9">
        <v>22254.894880169999</v>
      </c>
      <c r="F877" s="9">
        <v>15454.496975440599</v>
      </c>
      <c r="G877" s="9">
        <v>22210.974521910699</v>
      </c>
      <c r="H877" s="9">
        <v>15436.8918612077</v>
      </c>
      <c r="I877" s="21">
        <f t="shared" si="26"/>
        <v>-17.605114232899723</v>
      </c>
      <c r="J877" s="21">
        <f t="shared" si="27"/>
        <v>-43.920358259299974</v>
      </c>
    </row>
    <row r="878" spans="1:10" hidden="1">
      <c r="A878" t="s">
        <v>212</v>
      </c>
      <c r="B878" t="s">
        <v>214</v>
      </c>
      <c r="C878" s="18">
        <v>2046</v>
      </c>
      <c r="D878" t="s">
        <v>206</v>
      </c>
      <c r="E878" s="9">
        <v>1214648.10747938</v>
      </c>
      <c r="F878" s="9">
        <v>293820.14036697702</v>
      </c>
      <c r="G878" s="9">
        <v>1230125.0687766999</v>
      </c>
      <c r="H878" s="9">
        <v>295165.87720880198</v>
      </c>
      <c r="I878" s="21">
        <f t="shared" si="26"/>
        <v>1345.7368418249534</v>
      </c>
      <c r="J878" s="21">
        <f t="shared" si="27"/>
        <v>15476.961297319969</v>
      </c>
    </row>
    <row r="879" spans="1:10" hidden="1">
      <c r="A879" t="s">
        <v>212</v>
      </c>
      <c r="B879" t="s">
        <v>214</v>
      </c>
      <c r="C879" s="18">
        <v>2046</v>
      </c>
      <c r="D879" t="s">
        <v>174</v>
      </c>
      <c r="E879" s="9">
        <v>155164.62797864599</v>
      </c>
      <c r="F879" s="9">
        <v>104818.140441667</v>
      </c>
      <c r="G879" s="9">
        <v>154919.18519988199</v>
      </c>
      <c r="H879" s="9">
        <v>104731.13398431199</v>
      </c>
      <c r="I879" s="21">
        <f t="shared" si="26"/>
        <v>-87.006457355004386</v>
      </c>
      <c r="J879" s="21">
        <f t="shared" si="27"/>
        <v>-245.44277876400156</v>
      </c>
    </row>
    <row r="880" spans="1:10" hidden="1">
      <c r="A880" t="s">
        <v>212</v>
      </c>
      <c r="B880" t="s">
        <v>214</v>
      </c>
      <c r="C880" s="18">
        <v>2046</v>
      </c>
      <c r="D880" t="s">
        <v>178</v>
      </c>
      <c r="E880" s="9">
        <v>486322.35973762901</v>
      </c>
      <c r="F880" s="9">
        <v>452485.55311263801</v>
      </c>
      <c r="G880" s="9">
        <v>489559.56948849699</v>
      </c>
      <c r="H880" s="9">
        <v>455310.080020589</v>
      </c>
      <c r="I880" s="21">
        <f t="shared" si="26"/>
        <v>2824.526907950989</v>
      </c>
      <c r="J880" s="21">
        <f t="shared" si="27"/>
        <v>3237.2097508679726</v>
      </c>
    </row>
    <row r="881" spans="1:10" hidden="1">
      <c r="A881" t="s">
        <v>212</v>
      </c>
      <c r="B881" t="s">
        <v>214</v>
      </c>
      <c r="C881" s="18">
        <v>2046</v>
      </c>
      <c r="D881" t="s">
        <v>181</v>
      </c>
      <c r="E881" s="9">
        <v>825346.76468314102</v>
      </c>
      <c r="F881" s="9">
        <v>531022.19658284495</v>
      </c>
      <c r="G881" s="9">
        <v>842022.211146035</v>
      </c>
      <c r="H881" s="9">
        <v>538440.16822828504</v>
      </c>
      <c r="I881" s="21">
        <f t="shared" si="26"/>
        <v>7417.9716454400914</v>
      </c>
      <c r="J881" s="21">
        <f t="shared" si="27"/>
        <v>16675.446462893975</v>
      </c>
    </row>
    <row r="882" spans="1:10" hidden="1">
      <c r="A882" t="s">
        <v>212</v>
      </c>
      <c r="B882" t="s">
        <v>214</v>
      </c>
      <c r="C882" s="18">
        <v>2046</v>
      </c>
      <c r="D882" t="s">
        <v>184</v>
      </c>
      <c r="E882" s="9">
        <v>647802.03914796095</v>
      </c>
      <c r="F882" s="9">
        <v>393871.84900776198</v>
      </c>
      <c r="G882" s="9">
        <v>656023.20384824695</v>
      </c>
      <c r="H882" s="9">
        <v>397431.95060261199</v>
      </c>
      <c r="I882" s="21">
        <f t="shared" si="26"/>
        <v>3560.1015948500135</v>
      </c>
      <c r="J882" s="21">
        <f t="shared" si="27"/>
        <v>8221.1647002859972</v>
      </c>
    </row>
    <row r="883" spans="1:10" hidden="1">
      <c r="A883" t="s">
        <v>212</v>
      </c>
      <c r="B883" t="s">
        <v>214</v>
      </c>
      <c r="C883" s="18">
        <v>2046</v>
      </c>
      <c r="D883" t="s">
        <v>365</v>
      </c>
      <c r="E883" s="9">
        <v>43200.904081996101</v>
      </c>
      <c r="F883" s="9">
        <v>7693.7565210917601</v>
      </c>
      <c r="G883" s="9">
        <v>43196.310323112302</v>
      </c>
      <c r="H883" s="9">
        <v>7693.5570486562501</v>
      </c>
      <c r="I883" s="21">
        <f t="shared" si="26"/>
        <v>-0.19947243550996063</v>
      </c>
      <c r="J883" s="21">
        <f t="shared" si="27"/>
        <v>-4.5937588837987278</v>
      </c>
    </row>
    <row r="884" spans="1:10" hidden="1">
      <c r="A884" t="s">
        <v>212</v>
      </c>
      <c r="B884" t="s">
        <v>214</v>
      </c>
      <c r="C884" s="18">
        <v>2047</v>
      </c>
      <c r="D884" t="s">
        <v>167</v>
      </c>
      <c r="E884" s="9">
        <v>22749.608016239399</v>
      </c>
      <c r="F884" s="9">
        <v>15748.915872404899</v>
      </c>
      <c r="G884" s="9">
        <v>22699.6629629007</v>
      </c>
      <c r="H884" s="9">
        <v>15728.485494730299</v>
      </c>
      <c r="I884" s="21">
        <f t="shared" si="26"/>
        <v>-20.430377674600095</v>
      </c>
      <c r="J884" s="21">
        <f t="shared" si="27"/>
        <v>-49.945053338698926</v>
      </c>
    </row>
    <row r="885" spans="1:10" hidden="1">
      <c r="A885" t="s">
        <v>212</v>
      </c>
      <c r="B885" t="s">
        <v>214</v>
      </c>
      <c r="C885" s="18">
        <v>2047</v>
      </c>
      <c r="D885" t="s">
        <v>206</v>
      </c>
      <c r="E885" s="9">
        <v>1219481.2885471401</v>
      </c>
      <c r="F885" s="9">
        <v>300717.19106646499</v>
      </c>
      <c r="G885" s="9">
        <v>1235274.66521773</v>
      </c>
      <c r="H885" s="9">
        <v>302180.55031250097</v>
      </c>
      <c r="I885" s="21">
        <f t="shared" si="26"/>
        <v>1463.3592460359796</v>
      </c>
      <c r="J885" s="21">
        <f t="shared" si="27"/>
        <v>15793.376670589903</v>
      </c>
    </row>
    <row r="886" spans="1:10" hidden="1">
      <c r="A886" t="s">
        <v>212</v>
      </c>
      <c r="B886" t="s">
        <v>214</v>
      </c>
      <c r="C886" s="18">
        <v>2047</v>
      </c>
      <c r="D886" t="s">
        <v>174</v>
      </c>
      <c r="E886" s="9">
        <v>157713.01417362</v>
      </c>
      <c r="F886" s="9">
        <v>106588.257054214</v>
      </c>
      <c r="G886" s="9">
        <v>157435.937342911</v>
      </c>
      <c r="H886" s="9">
        <v>106487.67776034201</v>
      </c>
      <c r="I886" s="21">
        <f t="shared" si="26"/>
        <v>-100.57929387199692</v>
      </c>
      <c r="J886" s="21">
        <f t="shared" si="27"/>
        <v>-277.07683070900384</v>
      </c>
    </row>
    <row r="887" spans="1:10" hidden="1">
      <c r="A887" t="s">
        <v>212</v>
      </c>
      <c r="B887" t="s">
        <v>214</v>
      </c>
      <c r="C887" s="18">
        <v>2047</v>
      </c>
      <c r="D887" t="s">
        <v>178</v>
      </c>
      <c r="E887" s="9">
        <v>491743.59820210299</v>
      </c>
      <c r="F887" s="9">
        <v>457628.818862468</v>
      </c>
      <c r="G887" s="9">
        <v>495047.33168069902</v>
      </c>
      <c r="H887" s="9">
        <v>460539.427749469</v>
      </c>
      <c r="I887" s="21">
        <f t="shared" si="26"/>
        <v>2910.6088870009989</v>
      </c>
      <c r="J887" s="21">
        <f t="shared" si="27"/>
        <v>3303.7334785960265</v>
      </c>
    </row>
    <row r="888" spans="1:10" hidden="1">
      <c r="A888" t="s">
        <v>212</v>
      </c>
      <c r="B888" t="s">
        <v>214</v>
      </c>
      <c r="C888" s="18">
        <v>2047</v>
      </c>
      <c r="D888" t="s">
        <v>181</v>
      </c>
      <c r="E888" s="9">
        <v>835190.44786456204</v>
      </c>
      <c r="F888" s="9">
        <v>538994.18473366904</v>
      </c>
      <c r="G888" s="9">
        <v>852357.03689663101</v>
      </c>
      <c r="H888" s="9">
        <v>546892.884748123</v>
      </c>
      <c r="I888" s="21">
        <f t="shared" si="26"/>
        <v>7898.7000144539634</v>
      </c>
      <c r="J888" s="21">
        <f t="shared" si="27"/>
        <v>17166.589032068965</v>
      </c>
    </row>
    <row r="889" spans="1:10" hidden="1">
      <c r="A889" t="s">
        <v>212</v>
      </c>
      <c r="B889" t="s">
        <v>214</v>
      </c>
      <c r="C889" s="18">
        <v>2047</v>
      </c>
      <c r="D889" t="s">
        <v>184</v>
      </c>
      <c r="E889" s="9">
        <v>657517.94377572101</v>
      </c>
      <c r="F889" s="9">
        <v>403152.76107632398</v>
      </c>
      <c r="G889" s="9">
        <v>665960.53053760703</v>
      </c>
      <c r="H889" s="9">
        <v>406938.30985862098</v>
      </c>
      <c r="I889" s="21">
        <f t="shared" si="26"/>
        <v>3785.5487822970026</v>
      </c>
      <c r="J889" s="21">
        <f t="shared" si="27"/>
        <v>8442.5867618860211</v>
      </c>
    </row>
    <row r="890" spans="1:10" hidden="1">
      <c r="A890" t="s">
        <v>212</v>
      </c>
      <c r="B890" t="s">
        <v>214</v>
      </c>
      <c r="C890" s="18">
        <v>2047</v>
      </c>
      <c r="D890" t="s">
        <v>365</v>
      </c>
      <c r="E890" s="9">
        <v>43222.791971606901</v>
      </c>
      <c r="F890" s="9">
        <v>7716.4963559276803</v>
      </c>
      <c r="G890" s="9">
        <v>43217.634192350401</v>
      </c>
      <c r="H890" s="9">
        <v>7716.2645250788601</v>
      </c>
      <c r="I890" s="21">
        <f t="shared" si="26"/>
        <v>-0.23183084882020921</v>
      </c>
      <c r="J890" s="21">
        <f t="shared" si="27"/>
        <v>-5.157779256500362</v>
      </c>
    </row>
    <row r="891" spans="1:10" hidden="1">
      <c r="A891" t="s">
        <v>212</v>
      </c>
      <c r="B891" t="s">
        <v>214</v>
      </c>
      <c r="C891" s="18">
        <v>2048</v>
      </c>
      <c r="D891" t="s">
        <v>167</v>
      </c>
      <c r="E891" s="9">
        <v>23236.198638789901</v>
      </c>
      <c r="F891" s="9">
        <v>16048.737841554401</v>
      </c>
      <c r="G891" s="9">
        <v>23179.777529823201</v>
      </c>
      <c r="H891" s="9">
        <v>16025.2187605858</v>
      </c>
      <c r="I891" s="21">
        <f t="shared" si="26"/>
        <v>-23.519080968600974</v>
      </c>
      <c r="J891" s="21">
        <f t="shared" si="27"/>
        <v>-56.421108966700558</v>
      </c>
    </row>
    <row r="892" spans="1:10" hidden="1">
      <c r="A892" t="s">
        <v>212</v>
      </c>
      <c r="B892" t="s">
        <v>214</v>
      </c>
      <c r="C892" s="18">
        <v>2048</v>
      </c>
      <c r="D892" t="s">
        <v>206</v>
      </c>
      <c r="E892" s="9">
        <v>1224128.51182645</v>
      </c>
      <c r="F892" s="9">
        <v>307381.53878840699</v>
      </c>
      <c r="G892" s="9">
        <v>1240209.10376068</v>
      </c>
      <c r="H892" s="9">
        <v>308964.31037728197</v>
      </c>
      <c r="I892" s="21">
        <f t="shared" si="26"/>
        <v>1582.7715888749808</v>
      </c>
      <c r="J892" s="21">
        <f t="shared" si="27"/>
        <v>16080.591934229946</v>
      </c>
    </row>
    <row r="893" spans="1:10" hidden="1">
      <c r="A893" t="s">
        <v>212</v>
      </c>
      <c r="B893" t="s">
        <v>214</v>
      </c>
      <c r="C893" s="18">
        <v>2048</v>
      </c>
      <c r="D893" t="s">
        <v>174</v>
      </c>
      <c r="E893" s="9">
        <v>160187.81161733501</v>
      </c>
      <c r="F893" s="9">
        <v>108320.586169236</v>
      </c>
      <c r="G893" s="9">
        <v>159877.06955740901</v>
      </c>
      <c r="H893" s="9">
        <v>108205.309376064</v>
      </c>
      <c r="I893" s="21">
        <f t="shared" si="26"/>
        <v>-115.27679317200091</v>
      </c>
      <c r="J893" s="21">
        <f t="shared" si="27"/>
        <v>-310.74205992600764</v>
      </c>
    </row>
    <row r="894" spans="1:10" hidden="1">
      <c r="A894" t="s">
        <v>212</v>
      </c>
      <c r="B894" t="s">
        <v>214</v>
      </c>
      <c r="C894" s="18">
        <v>2048</v>
      </c>
      <c r="D894" t="s">
        <v>178</v>
      </c>
      <c r="E894" s="9">
        <v>496891.36145455699</v>
      </c>
      <c r="F894" s="9">
        <v>462570.73419784103</v>
      </c>
      <c r="G894" s="9">
        <v>500251.96367663803</v>
      </c>
      <c r="H894" s="9">
        <v>465558.478994868</v>
      </c>
      <c r="I894" s="21">
        <f t="shared" si="26"/>
        <v>2987.7447970269714</v>
      </c>
      <c r="J894" s="21">
        <f t="shared" si="27"/>
        <v>3360.602222081041</v>
      </c>
    </row>
    <row r="895" spans="1:10" hidden="1">
      <c r="A895" t="s">
        <v>212</v>
      </c>
      <c r="B895" t="s">
        <v>214</v>
      </c>
      <c r="C895" s="18">
        <v>2048</v>
      </c>
      <c r="D895" t="s">
        <v>181</v>
      </c>
      <c r="E895" s="9">
        <v>844794.20300834696</v>
      </c>
      <c r="F895" s="9">
        <v>546849.31544716598</v>
      </c>
      <c r="G895" s="9">
        <v>862421.19766606798</v>
      </c>
      <c r="H895" s="9">
        <v>555219.25427407597</v>
      </c>
      <c r="I895" s="21">
        <f t="shared" si="26"/>
        <v>8369.9388269099873</v>
      </c>
      <c r="J895" s="21">
        <f t="shared" si="27"/>
        <v>17626.994657721021</v>
      </c>
    </row>
    <row r="896" spans="1:10" hidden="1">
      <c r="A896" t="s">
        <v>212</v>
      </c>
      <c r="B896" t="s">
        <v>214</v>
      </c>
      <c r="C896" s="18">
        <v>2048</v>
      </c>
      <c r="D896" t="s">
        <v>184</v>
      </c>
      <c r="E896" s="9">
        <v>666894.975111234</v>
      </c>
      <c r="F896" s="9">
        <v>412217.33041897201</v>
      </c>
      <c r="G896" s="9">
        <v>675538.06713143899</v>
      </c>
      <c r="H896" s="9">
        <v>416221.14564351598</v>
      </c>
      <c r="I896" s="21">
        <f t="shared" si="26"/>
        <v>4003.8152245439705</v>
      </c>
      <c r="J896" s="21">
        <f t="shared" si="27"/>
        <v>8643.0920202049892</v>
      </c>
    </row>
    <row r="897" spans="1:10" hidden="1">
      <c r="A897" t="s">
        <v>212</v>
      </c>
      <c r="B897" t="s">
        <v>214</v>
      </c>
      <c r="C897" s="18">
        <v>2048</v>
      </c>
      <c r="D897" t="s">
        <v>365</v>
      </c>
      <c r="E897" s="9">
        <v>43252.870330051002</v>
      </c>
      <c r="F897" s="9">
        <v>7741.2354823296801</v>
      </c>
      <c r="G897" s="9">
        <v>43247.116568268502</v>
      </c>
      <c r="H897" s="9">
        <v>7740.9682323091401</v>
      </c>
      <c r="I897" s="21">
        <f t="shared" si="26"/>
        <v>-0.26725002053990465</v>
      </c>
      <c r="J897" s="21">
        <f t="shared" si="27"/>
        <v>-5.753761782500078</v>
      </c>
    </row>
    <row r="898" spans="1:10" hidden="1">
      <c r="A898" t="s">
        <v>212</v>
      </c>
      <c r="B898" t="s">
        <v>214</v>
      </c>
      <c r="C898" s="18">
        <v>2049</v>
      </c>
      <c r="D898" t="s">
        <v>167</v>
      </c>
      <c r="E898" s="9">
        <v>23713.699494349501</v>
      </c>
      <c r="F898" s="9">
        <v>16349.486664460201</v>
      </c>
      <c r="G898" s="9">
        <v>23650.361484044901</v>
      </c>
      <c r="H898" s="9">
        <v>16322.61151708</v>
      </c>
      <c r="I898" s="21">
        <f t="shared" ref="I898:I961" si="28">H898-F898</f>
        <v>-26.87514738020036</v>
      </c>
      <c r="J898" s="21">
        <f t="shared" ref="J898:J961" si="29">G898-E898</f>
        <v>-63.338010304600175</v>
      </c>
    </row>
    <row r="899" spans="1:10" hidden="1">
      <c r="A899" t="s">
        <v>212</v>
      </c>
      <c r="B899" t="s">
        <v>214</v>
      </c>
      <c r="C899" s="18">
        <v>2049</v>
      </c>
      <c r="D899" t="s">
        <v>206</v>
      </c>
      <c r="E899" s="9">
        <v>1228617.80876281</v>
      </c>
      <c r="F899" s="9">
        <v>313825.07677695999</v>
      </c>
      <c r="G899" s="9">
        <v>1244958.37630862</v>
      </c>
      <c r="H899" s="9">
        <v>315528.65457465599</v>
      </c>
      <c r="I899" s="21">
        <f t="shared" si="28"/>
        <v>1703.5777976959944</v>
      </c>
      <c r="J899" s="21">
        <f t="shared" si="29"/>
        <v>16340.567545810016</v>
      </c>
    </row>
    <row r="900" spans="1:10" hidden="1">
      <c r="A900" t="s">
        <v>212</v>
      </c>
      <c r="B900" t="s">
        <v>214</v>
      </c>
      <c r="C900" s="18">
        <v>2049</v>
      </c>
      <c r="D900" t="s">
        <v>174</v>
      </c>
      <c r="E900" s="9">
        <v>162584.50546915201</v>
      </c>
      <c r="F900" s="9">
        <v>110013.460856711</v>
      </c>
      <c r="G900" s="9">
        <v>162238.134685625</v>
      </c>
      <c r="H900" s="9">
        <v>109882.371148655</v>
      </c>
      <c r="I900" s="21">
        <f t="shared" si="28"/>
        <v>-131.08970805599529</v>
      </c>
      <c r="J900" s="21">
        <f t="shared" si="29"/>
        <v>-346.37078352700337</v>
      </c>
    </row>
    <row r="901" spans="1:10" hidden="1">
      <c r="A901" t="s">
        <v>212</v>
      </c>
      <c r="B901" t="s">
        <v>214</v>
      </c>
      <c r="C901" s="18">
        <v>2049</v>
      </c>
      <c r="D901" t="s">
        <v>178</v>
      </c>
      <c r="E901" s="9">
        <v>501807.52198406099</v>
      </c>
      <c r="F901" s="9">
        <v>467327.64111555502</v>
      </c>
      <c r="G901" s="9">
        <v>505215.90050813899</v>
      </c>
      <c r="H901" s="9">
        <v>470383.880162835</v>
      </c>
      <c r="I901" s="21">
        <f t="shared" si="28"/>
        <v>3056.2390472799889</v>
      </c>
      <c r="J901" s="21">
        <f t="shared" si="29"/>
        <v>3408.378524077998</v>
      </c>
    </row>
    <row r="902" spans="1:10" hidden="1">
      <c r="A902" t="s">
        <v>212</v>
      </c>
      <c r="B902" t="s">
        <v>214</v>
      </c>
      <c r="C902" s="18">
        <v>2049</v>
      </c>
      <c r="D902" t="s">
        <v>181</v>
      </c>
      <c r="E902" s="9">
        <v>853985.82326631597</v>
      </c>
      <c r="F902" s="9">
        <v>554509.08192852198</v>
      </c>
      <c r="G902" s="9">
        <v>872039.41256190802</v>
      </c>
      <c r="H902" s="9">
        <v>563337.76559367101</v>
      </c>
      <c r="I902" s="21">
        <f t="shared" si="28"/>
        <v>8828.6836651490303</v>
      </c>
      <c r="J902" s="21">
        <f t="shared" si="29"/>
        <v>18053.589295592043</v>
      </c>
    </row>
    <row r="903" spans="1:10" hidden="1">
      <c r="A903" t="s">
        <v>212</v>
      </c>
      <c r="B903" t="s">
        <v>214</v>
      </c>
      <c r="C903" s="18">
        <v>2049</v>
      </c>
      <c r="D903" t="s">
        <v>184</v>
      </c>
      <c r="E903" s="9">
        <v>675975.76332184405</v>
      </c>
      <c r="F903" s="9">
        <v>420998.187312397</v>
      </c>
      <c r="G903" s="9">
        <v>684799.51924341801</v>
      </c>
      <c r="H903" s="9">
        <v>425211.29480666103</v>
      </c>
      <c r="I903" s="21">
        <f t="shared" si="28"/>
        <v>4213.1074942640262</v>
      </c>
      <c r="J903" s="21">
        <f t="shared" si="29"/>
        <v>8823.7559215739602</v>
      </c>
    </row>
    <row r="904" spans="1:10" hidden="1">
      <c r="A904" t="s">
        <v>212</v>
      </c>
      <c r="B904" t="s">
        <v>214</v>
      </c>
      <c r="C904" s="18">
        <v>2049</v>
      </c>
      <c r="D904" t="s">
        <v>365</v>
      </c>
      <c r="E904" s="9">
        <v>43294.073864247497</v>
      </c>
      <c r="F904" s="9">
        <v>7764.7309032782496</v>
      </c>
      <c r="G904" s="9">
        <v>43287.694118175197</v>
      </c>
      <c r="H904" s="9">
        <v>7764.4250577338198</v>
      </c>
      <c r="I904" s="21">
        <f t="shared" si="28"/>
        <v>-0.30584554442975787</v>
      </c>
      <c r="J904" s="21">
        <f t="shared" si="29"/>
        <v>-6.3797460722998949</v>
      </c>
    </row>
    <row r="905" spans="1:10" hidden="1">
      <c r="A905" t="s">
        <v>212</v>
      </c>
      <c r="B905" t="s">
        <v>214</v>
      </c>
      <c r="C905" s="18">
        <v>2050</v>
      </c>
      <c r="D905" t="s">
        <v>167</v>
      </c>
      <c r="E905" s="9">
        <v>24181.1144158194</v>
      </c>
      <c r="F905" s="9">
        <v>16649.4218167418</v>
      </c>
      <c r="G905" s="9">
        <v>24110.4306261692</v>
      </c>
      <c r="H905" s="9">
        <v>16618.923709126098</v>
      </c>
      <c r="I905" s="21">
        <f t="shared" si="28"/>
        <v>-30.498107615701883</v>
      </c>
      <c r="J905" s="21">
        <f t="shared" si="29"/>
        <v>-70.683789650200197</v>
      </c>
    </row>
    <row r="906" spans="1:10" hidden="1">
      <c r="A906" t="s">
        <v>212</v>
      </c>
      <c r="B906" t="s">
        <v>214</v>
      </c>
      <c r="C906" s="18">
        <v>2050</v>
      </c>
      <c r="D906" t="s">
        <v>206</v>
      </c>
      <c r="E906" s="9">
        <v>1232999.3747991601</v>
      </c>
      <c r="F906" s="9">
        <v>320040.74864141003</v>
      </c>
      <c r="G906" s="9">
        <v>1249574.9812984299</v>
      </c>
      <c r="H906" s="9">
        <v>321866.14542390499</v>
      </c>
      <c r="I906" s="21">
        <f t="shared" si="28"/>
        <v>1825.396782494965</v>
      </c>
      <c r="J906" s="21">
        <f t="shared" si="29"/>
        <v>16575.606499269838</v>
      </c>
    </row>
    <row r="907" spans="1:10" hidden="1">
      <c r="A907" t="s">
        <v>212</v>
      </c>
      <c r="B907" t="s">
        <v>214</v>
      </c>
      <c r="C907" s="18">
        <v>2050</v>
      </c>
      <c r="D907" t="s">
        <v>174</v>
      </c>
      <c r="E907" s="9">
        <v>164910.84872728499</v>
      </c>
      <c r="F907" s="9">
        <v>111644.242371541</v>
      </c>
      <c r="G907" s="9">
        <v>164526.94959842</v>
      </c>
      <c r="H907" s="9">
        <v>111496.260054028</v>
      </c>
      <c r="I907" s="21">
        <f t="shared" si="28"/>
        <v>-147.98231751300045</v>
      </c>
      <c r="J907" s="21">
        <f t="shared" si="29"/>
        <v>-383.89912886498496</v>
      </c>
    </row>
    <row r="908" spans="1:10" hidden="1">
      <c r="A908" t="s">
        <v>212</v>
      </c>
      <c r="B908" t="s">
        <v>214</v>
      </c>
      <c r="C908" s="18">
        <v>2050</v>
      </c>
      <c r="D908" t="s">
        <v>178</v>
      </c>
      <c r="E908" s="9">
        <v>506476.58984365902</v>
      </c>
      <c r="F908" s="9">
        <v>471777.76399671403</v>
      </c>
      <c r="G908" s="9">
        <v>509923.79465326603</v>
      </c>
      <c r="H908" s="9">
        <v>474893.25455494301</v>
      </c>
      <c r="I908" s="21">
        <f t="shared" si="28"/>
        <v>3115.4905582289794</v>
      </c>
      <c r="J908" s="21">
        <f t="shared" si="29"/>
        <v>3447.2048096070066</v>
      </c>
    </row>
    <row r="909" spans="1:10" hidden="1">
      <c r="A909" t="s">
        <v>212</v>
      </c>
      <c r="B909" t="s">
        <v>214</v>
      </c>
      <c r="C909" s="18">
        <v>2050</v>
      </c>
      <c r="D909" t="s">
        <v>181</v>
      </c>
      <c r="E909" s="9">
        <v>862772.70249962097</v>
      </c>
      <c r="F909" s="9">
        <v>562030.41387055896</v>
      </c>
      <c r="G909" s="9">
        <v>881220.21017861494</v>
      </c>
      <c r="H909" s="9">
        <v>571305.13066545594</v>
      </c>
      <c r="I909" s="21">
        <f t="shared" si="28"/>
        <v>9274.7167948969873</v>
      </c>
      <c r="J909" s="21">
        <f t="shared" si="29"/>
        <v>18447.507678993978</v>
      </c>
    </row>
    <row r="910" spans="1:10" hidden="1">
      <c r="A910" t="s">
        <v>212</v>
      </c>
      <c r="B910" t="s">
        <v>214</v>
      </c>
      <c r="C910" s="18">
        <v>2050</v>
      </c>
      <c r="D910" t="s">
        <v>184</v>
      </c>
      <c r="E910" s="9">
        <v>684846.97746561898</v>
      </c>
      <c r="F910" s="9">
        <v>429515.47570204601</v>
      </c>
      <c r="G910" s="9">
        <v>693833.37581002596</v>
      </c>
      <c r="H910" s="9">
        <v>433928.11684243701</v>
      </c>
      <c r="I910" s="21">
        <f t="shared" si="28"/>
        <v>4412.6411403910024</v>
      </c>
      <c r="J910" s="21">
        <f t="shared" si="29"/>
        <v>8986.3983444069745</v>
      </c>
    </row>
    <row r="911" spans="1:10" hidden="1">
      <c r="A911" t="s">
        <v>212</v>
      </c>
      <c r="B911" t="s">
        <v>214</v>
      </c>
      <c r="C911" s="18">
        <v>2050</v>
      </c>
      <c r="D911" t="s">
        <v>365</v>
      </c>
      <c r="E911" s="9">
        <v>43344.367896871801</v>
      </c>
      <c r="F911" s="9">
        <v>7785.9401928897296</v>
      </c>
      <c r="G911" s="9">
        <v>43337.334071848098</v>
      </c>
      <c r="H911" s="9">
        <v>7785.5925162465101</v>
      </c>
      <c r="I911" s="21">
        <f t="shared" si="28"/>
        <v>-0.34767664321952907</v>
      </c>
      <c r="J911" s="21">
        <f t="shared" si="29"/>
        <v>-7.0338250237036846</v>
      </c>
    </row>
    <row r="912" spans="1:10" hidden="1">
      <c r="A912" t="s">
        <v>223</v>
      </c>
      <c r="B912" t="s">
        <v>225</v>
      </c>
      <c r="C912" s="18">
        <v>2025</v>
      </c>
      <c r="D912" t="s">
        <v>167</v>
      </c>
      <c r="E912" s="9">
        <v>12347.3896757033</v>
      </c>
      <c r="F912" s="9">
        <v>8975.3084972287597</v>
      </c>
      <c r="G912" s="9">
        <v>12347.3896757033</v>
      </c>
      <c r="H912" s="9">
        <v>8975.3084972287597</v>
      </c>
      <c r="I912" s="21">
        <f t="shared" si="28"/>
        <v>0</v>
      </c>
      <c r="J912" s="21">
        <f t="shared" si="29"/>
        <v>0</v>
      </c>
    </row>
    <row r="913" spans="1:10" hidden="1">
      <c r="A913" t="s">
        <v>223</v>
      </c>
      <c r="B913" t="s">
        <v>225</v>
      </c>
      <c r="C913" s="18">
        <v>2025</v>
      </c>
      <c r="D913" t="s">
        <v>206</v>
      </c>
      <c r="E913" s="9">
        <v>1026043.97207164</v>
      </c>
      <c r="F913" s="9">
        <v>129403.02283067199</v>
      </c>
      <c r="G913" s="9">
        <v>1026043.97207164</v>
      </c>
      <c r="H913" s="9">
        <v>129403.02283067199</v>
      </c>
      <c r="I913" s="21">
        <f t="shared" si="28"/>
        <v>0</v>
      </c>
      <c r="J913" s="21">
        <f t="shared" si="29"/>
        <v>0</v>
      </c>
    </row>
    <row r="914" spans="1:10" hidden="1">
      <c r="A914" t="s">
        <v>223</v>
      </c>
      <c r="B914" t="s">
        <v>225</v>
      </c>
      <c r="C914" s="18">
        <v>2025</v>
      </c>
      <c r="D914" t="s">
        <v>174</v>
      </c>
      <c r="E914" s="9">
        <v>91684.509014274605</v>
      </c>
      <c r="F914" s="9">
        <v>63318.751825202096</v>
      </c>
      <c r="G914" s="9">
        <v>91684.509014274605</v>
      </c>
      <c r="H914" s="9">
        <v>63318.751825202096</v>
      </c>
      <c r="I914" s="21">
        <f t="shared" si="28"/>
        <v>0</v>
      </c>
      <c r="J914" s="21">
        <f t="shared" si="29"/>
        <v>0</v>
      </c>
    </row>
    <row r="915" spans="1:10" hidden="1">
      <c r="A915" t="s">
        <v>223</v>
      </c>
      <c r="B915" t="s">
        <v>225</v>
      </c>
      <c r="C915" s="18">
        <v>2025</v>
      </c>
      <c r="D915" t="s">
        <v>178</v>
      </c>
      <c r="E915" s="9">
        <v>327817.99211152899</v>
      </c>
      <c r="F915" s="9">
        <v>300216.82861998002</v>
      </c>
      <c r="G915" s="9">
        <v>327817.99211152899</v>
      </c>
      <c r="H915" s="9">
        <v>300216.82861998002</v>
      </c>
      <c r="I915" s="21">
        <f t="shared" si="28"/>
        <v>0</v>
      </c>
      <c r="J915" s="21">
        <f t="shared" si="29"/>
        <v>0</v>
      </c>
    </row>
    <row r="916" spans="1:10" hidden="1">
      <c r="A916" t="s">
        <v>223</v>
      </c>
      <c r="B916" t="s">
        <v>225</v>
      </c>
      <c r="C916" s="18">
        <v>2025</v>
      </c>
      <c r="D916" t="s">
        <v>181</v>
      </c>
      <c r="E916" s="9">
        <v>563964.12892884796</v>
      </c>
      <c r="F916" s="9">
        <v>321188.16298793198</v>
      </c>
      <c r="G916" s="9">
        <v>563964.12892884796</v>
      </c>
      <c r="H916" s="9">
        <v>321188.16298793198</v>
      </c>
      <c r="I916" s="21">
        <f t="shared" si="28"/>
        <v>0</v>
      </c>
      <c r="J916" s="21">
        <f t="shared" si="29"/>
        <v>0</v>
      </c>
    </row>
    <row r="917" spans="1:10" hidden="1">
      <c r="A917" t="s">
        <v>223</v>
      </c>
      <c r="B917" t="s">
        <v>225</v>
      </c>
      <c r="C917" s="18">
        <v>2025</v>
      </c>
      <c r="D917" t="s">
        <v>184</v>
      </c>
      <c r="E917" s="9">
        <v>396205.91279756802</v>
      </c>
      <c r="F917" s="9">
        <v>191954.71357959701</v>
      </c>
      <c r="G917" s="9">
        <v>396205.91279756802</v>
      </c>
      <c r="H917" s="9">
        <v>191954.71357959701</v>
      </c>
      <c r="I917" s="21">
        <f t="shared" si="28"/>
        <v>0</v>
      </c>
      <c r="J917" s="21">
        <f t="shared" si="29"/>
        <v>0</v>
      </c>
    </row>
    <row r="918" spans="1:10" hidden="1">
      <c r="A918" t="s">
        <v>223</v>
      </c>
      <c r="B918" t="s">
        <v>225</v>
      </c>
      <c r="C918" s="18">
        <v>2025</v>
      </c>
      <c r="D918" t="s">
        <v>365</v>
      </c>
      <c r="E918" s="9">
        <v>44024.855784556101</v>
      </c>
      <c r="F918" s="9">
        <v>6961.0286695127397</v>
      </c>
      <c r="G918" s="9">
        <v>44024.855784556101</v>
      </c>
      <c r="H918" s="9">
        <v>6961.0286695127397</v>
      </c>
      <c r="I918" s="21">
        <f t="shared" si="28"/>
        <v>0</v>
      </c>
      <c r="J918" s="21">
        <f t="shared" si="29"/>
        <v>0</v>
      </c>
    </row>
    <row r="919" spans="1:10" hidden="1">
      <c r="A919" t="s">
        <v>223</v>
      </c>
      <c r="B919" t="s">
        <v>225</v>
      </c>
      <c r="C919" s="18">
        <v>2026</v>
      </c>
      <c r="D919" t="s">
        <v>167</v>
      </c>
      <c r="E919" s="9">
        <v>12812.507871628</v>
      </c>
      <c r="F919" s="9">
        <v>9308.2642091095495</v>
      </c>
      <c r="G919" s="9">
        <v>12812.507871628</v>
      </c>
      <c r="H919" s="9">
        <v>9308.2642091095495</v>
      </c>
      <c r="I919" s="21">
        <f t="shared" si="28"/>
        <v>0</v>
      </c>
      <c r="J919" s="21">
        <f t="shared" si="29"/>
        <v>0</v>
      </c>
    </row>
    <row r="920" spans="1:10" hidden="1">
      <c r="A920" t="s">
        <v>223</v>
      </c>
      <c r="B920" t="s">
        <v>225</v>
      </c>
      <c r="C920" s="18">
        <v>2026</v>
      </c>
      <c r="D920" t="s">
        <v>206</v>
      </c>
      <c r="E920" s="9">
        <v>1040956.74283153</v>
      </c>
      <c r="F920" s="9">
        <v>137191.89613692299</v>
      </c>
      <c r="G920" s="9">
        <v>1040956.74283153</v>
      </c>
      <c r="H920" s="9">
        <v>137191.89613692299</v>
      </c>
      <c r="I920" s="21">
        <f t="shared" si="28"/>
        <v>0</v>
      </c>
      <c r="J920" s="21">
        <f t="shared" si="29"/>
        <v>0</v>
      </c>
    </row>
    <row r="921" spans="1:10" hidden="1">
      <c r="A921" t="s">
        <v>223</v>
      </c>
      <c r="B921" t="s">
        <v>225</v>
      </c>
      <c r="C921" s="18">
        <v>2026</v>
      </c>
      <c r="D921" t="s">
        <v>174</v>
      </c>
      <c r="E921" s="9">
        <v>95077.183303526501</v>
      </c>
      <c r="F921" s="9">
        <v>65164.470413401701</v>
      </c>
      <c r="G921" s="9">
        <v>95077.183303526501</v>
      </c>
      <c r="H921" s="9">
        <v>65164.470413401701</v>
      </c>
      <c r="I921" s="21">
        <f t="shared" si="28"/>
        <v>0</v>
      </c>
      <c r="J921" s="21">
        <f t="shared" si="29"/>
        <v>0</v>
      </c>
    </row>
    <row r="922" spans="1:10" hidden="1">
      <c r="A922" t="s">
        <v>223</v>
      </c>
      <c r="B922" t="s">
        <v>225</v>
      </c>
      <c r="C922" s="18">
        <v>2026</v>
      </c>
      <c r="D922" t="s">
        <v>178</v>
      </c>
      <c r="E922" s="9">
        <v>336875.42349560501</v>
      </c>
      <c r="F922" s="9">
        <v>308606.943045308</v>
      </c>
      <c r="G922" s="9">
        <v>336875.42349560501</v>
      </c>
      <c r="H922" s="9">
        <v>308606.943045308</v>
      </c>
      <c r="I922" s="21">
        <f t="shared" si="28"/>
        <v>0</v>
      </c>
      <c r="J922" s="21">
        <f t="shared" si="29"/>
        <v>0</v>
      </c>
    </row>
    <row r="923" spans="1:10" hidden="1">
      <c r="A923" t="s">
        <v>223</v>
      </c>
      <c r="B923" t="s">
        <v>225</v>
      </c>
      <c r="C923" s="18">
        <v>2026</v>
      </c>
      <c r="D923" t="s">
        <v>181</v>
      </c>
      <c r="E923" s="9">
        <v>580111.54195764905</v>
      </c>
      <c r="F923" s="9">
        <v>332896.18576831103</v>
      </c>
      <c r="G923" s="9">
        <v>580111.54195764905</v>
      </c>
      <c r="H923" s="9">
        <v>332896.18576831103</v>
      </c>
      <c r="I923" s="21">
        <f t="shared" si="28"/>
        <v>0</v>
      </c>
      <c r="J923" s="21">
        <f t="shared" si="29"/>
        <v>0</v>
      </c>
    </row>
    <row r="924" spans="1:10" hidden="1">
      <c r="A924" t="s">
        <v>223</v>
      </c>
      <c r="B924" t="s">
        <v>225</v>
      </c>
      <c r="C924" s="18">
        <v>2026</v>
      </c>
      <c r="D924" t="s">
        <v>184</v>
      </c>
      <c r="E924" s="9">
        <v>409829.87281699001</v>
      </c>
      <c r="F924" s="9">
        <v>202008.19978323701</v>
      </c>
      <c r="G924" s="9">
        <v>409829.87281699001</v>
      </c>
      <c r="H924" s="9">
        <v>202008.19978323701</v>
      </c>
      <c r="I924" s="21">
        <f t="shared" si="28"/>
        <v>0</v>
      </c>
      <c r="J924" s="21">
        <f t="shared" si="29"/>
        <v>0</v>
      </c>
    </row>
    <row r="925" spans="1:10" hidden="1">
      <c r="A925" t="s">
        <v>223</v>
      </c>
      <c r="B925" t="s">
        <v>225</v>
      </c>
      <c r="C925" s="18">
        <v>2026</v>
      </c>
      <c r="D925" t="s">
        <v>365</v>
      </c>
      <c r="E925" s="9">
        <v>44219.170751765298</v>
      </c>
      <c r="F925" s="9">
        <v>7023.7712687228704</v>
      </c>
      <c r="G925" s="9">
        <v>44219.170751765298</v>
      </c>
      <c r="H925" s="9">
        <v>7023.7712687228704</v>
      </c>
      <c r="I925" s="21">
        <f t="shared" si="28"/>
        <v>0</v>
      </c>
      <c r="J925" s="21">
        <f t="shared" si="29"/>
        <v>0</v>
      </c>
    </row>
    <row r="926" spans="1:10" hidden="1">
      <c r="A926" t="s">
        <v>223</v>
      </c>
      <c r="B926" t="s">
        <v>225</v>
      </c>
      <c r="C926" s="18">
        <v>2027</v>
      </c>
      <c r="D926" t="s">
        <v>167</v>
      </c>
      <c r="E926" s="9">
        <v>13273.481772584</v>
      </c>
      <c r="F926" s="9">
        <v>9640.7153077701696</v>
      </c>
      <c r="G926" s="9">
        <v>13273.481772584</v>
      </c>
      <c r="H926" s="9">
        <v>9640.7153077701696</v>
      </c>
      <c r="I926" s="21">
        <f t="shared" si="28"/>
        <v>0</v>
      </c>
      <c r="J926" s="21">
        <f t="shared" si="29"/>
        <v>0</v>
      </c>
    </row>
    <row r="927" spans="1:10" hidden="1">
      <c r="A927" t="s">
        <v>223</v>
      </c>
      <c r="B927" t="s">
        <v>225</v>
      </c>
      <c r="C927" s="18">
        <v>2027</v>
      </c>
      <c r="D927" t="s">
        <v>206</v>
      </c>
      <c r="E927" s="9">
        <v>1048958.64225812</v>
      </c>
      <c r="F927" s="9">
        <v>145087.13077641799</v>
      </c>
      <c r="G927" s="9">
        <v>1055255.40879996</v>
      </c>
      <c r="H927" s="9">
        <v>145087.13077641799</v>
      </c>
      <c r="I927" s="21">
        <f t="shared" si="28"/>
        <v>0</v>
      </c>
      <c r="J927" s="21">
        <f t="shared" si="29"/>
        <v>6296.7665418400429</v>
      </c>
    </row>
    <row r="928" spans="1:10" hidden="1">
      <c r="A928" t="s">
        <v>223</v>
      </c>
      <c r="B928" t="s">
        <v>225</v>
      </c>
      <c r="C928" s="18">
        <v>2027</v>
      </c>
      <c r="D928" t="s">
        <v>174</v>
      </c>
      <c r="E928" s="9">
        <v>98448.827883966893</v>
      </c>
      <c r="F928" s="9">
        <v>67068.016908610196</v>
      </c>
      <c r="G928" s="9">
        <v>98448.827883966893</v>
      </c>
      <c r="H928" s="9">
        <v>67068.016908610196</v>
      </c>
      <c r="I928" s="21">
        <f t="shared" si="28"/>
        <v>0</v>
      </c>
      <c r="J928" s="21">
        <f t="shared" si="29"/>
        <v>0</v>
      </c>
    </row>
    <row r="929" spans="1:10" hidden="1">
      <c r="A929" t="s">
        <v>223</v>
      </c>
      <c r="B929" t="s">
        <v>225</v>
      </c>
      <c r="C929" s="18">
        <v>2027</v>
      </c>
      <c r="D929" t="s">
        <v>178</v>
      </c>
      <c r="E929" s="9">
        <v>344797.49666977202</v>
      </c>
      <c r="F929" s="9">
        <v>317119.55355255498</v>
      </c>
      <c r="G929" s="9">
        <v>345936.70671640302</v>
      </c>
      <c r="H929" s="9">
        <v>317119.55355255498</v>
      </c>
      <c r="I929" s="21">
        <f t="shared" si="28"/>
        <v>0</v>
      </c>
      <c r="J929" s="21">
        <f t="shared" si="29"/>
        <v>1139.210046630993</v>
      </c>
    </row>
    <row r="930" spans="1:10" hidden="1">
      <c r="A930" t="s">
        <v>223</v>
      </c>
      <c r="B930" t="s">
        <v>225</v>
      </c>
      <c r="C930" s="18">
        <v>2027</v>
      </c>
      <c r="D930" t="s">
        <v>181</v>
      </c>
      <c r="E930" s="9">
        <v>590586.57019800704</v>
      </c>
      <c r="F930" s="9">
        <v>344517.274659827</v>
      </c>
      <c r="G930" s="9">
        <v>596148.83233467594</v>
      </c>
      <c r="H930" s="9">
        <v>344517.274659827</v>
      </c>
      <c r="I930" s="21">
        <f t="shared" si="28"/>
        <v>0</v>
      </c>
      <c r="J930" s="21">
        <f t="shared" si="29"/>
        <v>5562.2621366688982</v>
      </c>
    </row>
    <row r="931" spans="1:10" hidden="1">
      <c r="A931" t="s">
        <v>223</v>
      </c>
      <c r="B931" t="s">
        <v>225</v>
      </c>
      <c r="C931" s="18">
        <v>2027</v>
      </c>
      <c r="D931" t="s">
        <v>184</v>
      </c>
      <c r="E931" s="9">
        <v>420841.82414115401</v>
      </c>
      <c r="F931" s="9">
        <v>211995.48802417101</v>
      </c>
      <c r="G931" s="9">
        <v>423485.10132199898</v>
      </c>
      <c r="H931" s="9">
        <v>211995.48802417101</v>
      </c>
      <c r="I931" s="21">
        <f t="shared" si="28"/>
        <v>0</v>
      </c>
      <c r="J931" s="21">
        <f t="shared" si="29"/>
        <v>2643.2771808449761</v>
      </c>
    </row>
    <row r="932" spans="1:10" hidden="1">
      <c r="A932" t="s">
        <v>223</v>
      </c>
      <c r="B932" t="s">
        <v>225</v>
      </c>
      <c r="C932" s="18">
        <v>2027</v>
      </c>
      <c r="D932" t="s">
        <v>365</v>
      </c>
      <c r="E932" s="9">
        <v>44384.2018393689</v>
      </c>
      <c r="F932" s="9">
        <v>7080.0570056816796</v>
      </c>
      <c r="G932" s="9">
        <v>44384.2018393689</v>
      </c>
      <c r="H932" s="9">
        <v>7080.0570056816796</v>
      </c>
      <c r="I932" s="21">
        <f t="shared" si="28"/>
        <v>0</v>
      </c>
      <c r="J932" s="21">
        <f t="shared" si="29"/>
        <v>0</v>
      </c>
    </row>
    <row r="933" spans="1:10" hidden="1">
      <c r="A933" t="s">
        <v>223</v>
      </c>
      <c r="B933" t="s">
        <v>225</v>
      </c>
      <c r="C933" s="18">
        <v>2028</v>
      </c>
      <c r="D933" t="s">
        <v>167</v>
      </c>
      <c r="E933" s="9">
        <v>13729.5005000864</v>
      </c>
      <c r="F933" s="9">
        <v>9971.4547216338906</v>
      </c>
      <c r="G933" s="9">
        <v>13729.5005000864</v>
      </c>
      <c r="H933" s="9">
        <v>9971.4547216338906</v>
      </c>
      <c r="I933" s="21">
        <f t="shared" si="28"/>
        <v>0</v>
      </c>
      <c r="J933" s="21">
        <f t="shared" si="29"/>
        <v>0</v>
      </c>
    </row>
    <row r="934" spans="1:10" hidden="1">
      <c r="A934" t="s">
        <v>223</v>
      </c>
      <c r="B934" t="s">
        <v>225</v>
      </c>
      <c r="C934" s="18">
        <v>2028</v>
      </c>
      <c r="D934" t="s">
        <v>206</v>
      </c>
      <c r="E934" s="9">
        <v>1056682.16198922</v>
      </c>
      <c r="F934" s="9">
        <v>153035.12634588301</v>
      </c>
      <c r="G934" s="9">
        <v>1069005.07088018</v>
      </c>
      <c r="H934" s="9">
        <v>153077.86738724401</v>
      </c>
      <c r="I934" s="21">
        <f t="shared" si="28"/>
        <v>42.741041361005045</v>
      </c>
      <c r="J934" s="21">
        <f t="shared" si="29"/>
        <v>12322.90889096004</v>
      </c>
    </row>
    <row r="935" spans="1:10" hidden="1">
      <c r="A935" t="s">
        <v>223</v>
      </c>
      <c r="B935" t="s">
        <v>225</v>
      </c>
      <c r="C935" s="18">
        <v>2028</v>
      </c>
      <c r="D935" t="s">
        <v>174</v>
      </c>
      <c r="E935" s="9">
        <v>101797.96761407</v>
      </c>
      <c r="F935" s="9">
        <v>69019.933123164999</v>
      </c>
      <c r="G935" s="9">
        <v>101797.96761407</v>
      </c>
      <c r="H935" s="9">
        <v>69019.933123164999</v>
      </c>
      <c r="I935" s="21">
        <f t="shared" si="28"/>
        <v>0</v>
      </c>
      <c r="J935" s="21">
        <f t="shared" si="29"/>
        <v>0</v>
      </c>
    </row>
    <row r="936" spans="1:10" hidden="1">
      <c r="A936" t="s">
        <v>223</v>
      </c>
      <c r="B936" t="s">
        <v>225</v>
      </c>
      <c r="C936" s="18">
        <v>2028</v>
      </c>
      <c r="D936" t="s">
        <v>178</v>
      </c>
      <c r="E936" s="9">
        <v>352702.95510160801</v>
      </c>
      <c r="F936" s="9">
        <v>325185.50151638302</v>
      </c>
      <c r="G936" s="9">
        <v>354965.53581913299</v>
      </c>
      <c r="H936" s="9">
        <v>325690.68301689299</v>
      </c>
      <c r="I936" s="21">
        <f t="shared" si="28"/>
        <v>505.18150050996337</v>
      </c>
      <c r="J936" s="21">
        <f t="shared" si="29"/>
        <v>2262.5807175249793</v>
      </c>
    </row>
    <row r="937" spans="1:10" hidden="1">
      <c r="A937" t="s">
        <v>223</v>
      </c>
      <c r="B937" t="s">
        <v>225</v>
      </c>
      <c r="C937" s="18">
        <v>2028</v>
      </c>
      <c r="D937" t="s">
        <v>181</v>
      </c>
      <c r="E937" s="9">
        <v>601000.09945596405</v>
      </c>
      <c r="F937" s="9">
        <v>355709.67563223798</v>
      </c>
      <c r="G937" s="9">
        <v>612031.65944475099</v>
      </c>
      <c r="H937" s="9">
        <v>356073.57143805898</v>
      </c>
      <c r="I937" s="21">
        <f t="shared" si="28"/>
        <v>363.89580582099734</v>
      </c>
      <c r="J937" s="21">
        <f t="shared" si="29"/>
        <v>11031.559988786932</v>
      </c>
    </row>
    <row r="938" spans="1:10" hidden="1">
      <c r="A938" t="s">
        <v>223</v>
      </c>
      <c r="B938" t="s">
        <v>225</v>
      </c>
      <c r="C938" s="18">
        <v>2028</v>
      </c>
      <c r="D938" t="s">
        <v>184</v>
      </c>
      <c r="E938" s="9">
        <v>431889.06819888001</v>
      </c>
      <c r="F938" s="9">
        <v>221699.49825498601</v>
      </c>
      <c r="G938" s="9">
        <v>437159.75519195799</v>
      </c>
      <c r="H938" s="9">
        <v>221908.95856330299</v>
      </c>
      <c r="I938" s="21">
        <f t="shared" si="28"/>
        <v>209.46030831697863</v>
      </c>
      <c r="J938" s="21">
        <f t="shared" si="29"/>
        <v>5270.6869930779794</v>
      </c>
    </row>
    <row r="939" spans="1:10" hidden="1">
      <c r="A939" t="s">
        <v>223</v>
      </c>
      <c r="B939" t="s">
        <v>225</v>
      </c>
      <c r="C939" s="18">
        <v>2028</v>
      </c>
      <c r="D939" t="s">
        <v>365</v>
      </c>
      <c r="E939" s="9">
        <v>44510.064962992903</v>
      </c>
      <c r="F939" s="9">
        <v>7131.0701635649802</v>
      </c>
      <c r="G939" s="9">
        <v>44510.064962992903</v>
      </c>
      <c r="H939" s="9">
        <v>7131.0701635649802</v>
      </c>
      <c r="I939" s="21">
        <f t="shared" si="28"/>
        <v>0</v>
      </c>
      <c r="J939" s="21">
        <f t="shared" si="29"/>
        <v>0</v>
      </c>
    </row>
    <row r="940" spans="1:10" hidden="1">
      <c r="A940" t="s">
        <v>223</v>
      </c>
      <c r="B940" t="s">
        <v>225</v>
      </c>
      <c r="C940" s="18">
        <v>2029</v>
      </c>
      <c r="D940" t="s">
        <v>167</v>
      </c>
      <c r="E940" s="9">
        <v>14181.8461255932</v>
      </c>
      <c r="F940" s="9">
        <v>10301.2295792609</v>
      </c>
      <c r="G940" s="9">
        <v>14181.423637546701</v>
      </c>
      <c r="H940" s="9">
        <v>10301.2295792609</v>
      </c>
      <c r="I940" s="21">
        <f t="shared" si="28"/>
        <v>0</v>
      </c>
      <c r="J940" s="21">
        <f t="shared" si="29"/>
        <v>-0.42248804649898375</v>
      </c>
    </row>
    <row r="941" spans="1:10" hidden="1">
      <c r="A941" t="s">
        <v>223</v>
      </c>
      <c r="B941" t="s">
        <v>225</v>
      </c>
      <c r="C941" s="18">
        <v>2029</v>
      </c>
      <c r="D941" t="s">
        <v>206</v>
      </c>
      <c r="E941" s="9">
        <v>1064178.6970157099</v>
      </c>
      <c r="F941" s="9">
        <v>161033.00756795501</v>
      </c>
      <c r="G941" s="9">
        <v>1082252.3942307399</v>
      </c>
      <c r="H941" s="9">
        <v>161161.06213209301</v>
      </c>
      <c r="I941" s="21">
        <f t="shared" si="28"/>
        <v>128.0545641380013</v>
      </c>
      <c r="J941" s="21">
        <f t="shared" si="29"/>
        <v>18073.69721502997</v>
      </c>
    </row>
    <row r="942" spans="1:10" hidden="1">
      <c r="A942" t="s">
        <v>223</v>
      </c>
      <c r="B942" t="s">
        <v>225</v>
      </c>
      <c r="C942" s="18">
        <v>2029</v>
      </c>
      <c r="D942" t="s">
        <v>174</v>
      </c>
      <c r="E942" s="9">
        <v>105117.166255859</v>
      </c>
      <c r="F942" s="9">
        <v>71042.054429439493</v>
      </c>
      <c r="G942" s="9">
        <v>105114.693344183</v>
      </c>
      <c r="H942" s="9">
        <v>71042.054429439493</v>
      </c>
      <c r="I942" s="21">
        <f t="shared" si="28"/>
        <v>0</v>
      </c>
      <c r="J942" s="21">
        <f t="shared" si="29"/>
        <v>-2.4729116759990575</v>
      </c>
    </row>
    <row r="943" spans="1:10" hidden="1">
      <c r="A943" t="s">
        <v>223</v>
      </c>
      <c r="B943" t="s">
        <v>225</v>
      </c>
      <c r="C943" s="18">
        <v>2029</v>
      </c>
      <c r="D943" t="s">
        <v>178</v>
      </c>
      <c r="E943" s="9">
        <v>360531.26003834599</v>
      </c>
      <c r="F943" s="9">
        <v>333077.81864076603</v>
      </c>
      <c r="G943" s="9">
        <v>363896.20424716797</v>
      </c>
      <c r="H943" s="9">
        <v>334292.677138926</v>
      </c>
      <c r="I943" s="21">
        <f t="shared" si="28"/>
        <v>1214.8584981599706</v>
      </c>
      <c r="J943" s="21">
        <f t="shared" si="29"/>
        <v>3364.9442088219803</v>
      </c>
    </row>
    <row r="944" spans="1:10" hidden="1">
      <c r="A944" t="s">
        <v>223</v>
      </c>
      <c r="B944" t="s">
        <v>225</v>
      </c>
      <c r="C944" s="18">
        <v>2029</v>
      </c>
      <c r="D944" t="s">
        <v>181</v>
      </c>
      <c r="E944" s="9">
        <v>611335.21185454703</v>
      </c>
      <c r="F944" s="9">
        <v>366516.733347036</v>
      </c>
      <c r="G944" s="9">
        <v>627726.33689879405</v>
      </c>
      <c r="H944" s="9">
        <v>367575.22274735</v>
      </c>
      <c r="I944" s="21">
        <f t="shared" si="28"/>
        <v>1058.4894003139925</v>
      </c>
      <c r="J944" s="21">
        <f t="shared" si="29"/>
        <v>16391.125044247019</v>
      </c>
    </row>
    <row r="945" spans="1:10" hidden="1">
      <c r="A945" t="s">
        <v>223</v>
      </c>
      <c r="B945" t="s">
        <v>225</v>
      </c>
      <c r="C945" s="18">
        <v>2029</v>
      </c>
      <c r="D945" t="s">
        <v>184</v>
      </c>
      <c r="E945" s="9">
        <v>442917.211556661</v>
      </c>
      <c r="F945" s="9">
        <v>231119.91800930101</v>
      </c>
      <c r="G945" s="9">
        <v>450786.13401356898</v>
      </c>
      <c r="H945" s="9">
        <v>231708.01887569</v>
      </c>
      <c r="I945" s="21">
        <f t="shared" si="28"/>
        <v>588.1008663889952</v>
      </c>
      <c r="J945" s="21">
        <f t="shared" si="29"/>
        <v>7868.9224569079815</v>
      </c>
    </row>
    <row r="946" spans="1:10" hidden="1">
      <c r="A946" t="s">
        <v>223</v>
      </c>
      <c r="B946" t="s">
        <v>225</v>
      </c>
      <c r="C946" s="18">
        <v>2029</v>
      </c>
      <c r="D946" t="s">
        <v>365</v>
      </c>
      <c r="E946" s="9">
        <v>44600.312582468097</v>
      </c>
      <c r="F946" s="9">
        <v>7178.2193159725202</v>
      </c>
      <c r="G946" s="9">
        <v>44600.261443595497</v>
      </c>
      <c r="H946" s="9">
        <v>7178.2193159725202</v>
      </c>
      <c r="I946" s="21">
        <f t="shared" si="28"/>
        <v>0</v>
      </c>
      <c r="J946" s="21">
        <f t="shared" si="29"/>
        <v>-5.1138872600859031E-2</v>
      </c>
    </row>
    <row r="947" spans="1:10" hidden="1">
      <c r="A947" t="s">
        <v>223</v>
      </c>
      <c r="B947" t="s">
        <v>225</v>
      </c>
      <c r="C947" s="18">
        <v>2030</v>
      </c>
      <c r="D947" t="s">
        <v>167</v>
      </c>
      <c r="E947" s="9">
        <v>14632.466797273901</v>
      </c>
      <c r="F947" s="9">
        <v>10630.3538572792</v>
      </c>
      <c r="G947" s="9">
        <v>14630.9263575645</v>
      </c>
      <c r="H947" s="9">
        <v>10630.2702680602</v>
      </c>
      <c r="I947" s="21">
        <f t="shared" si="28"/>
        <v>-8.3589219000714365E-2</v>
      </c>
      <c r="J947" s="21">
        <f t="shared" si="29"/>
        <v>-1.5404397094007436</v>
      </c>
    </row>
    <row r="948" spans="1:10" hidden="1">
      <c r="A948" t="s">
        <v>223</v>
      </c>
      <c r="B948" t="s">
        <v>225</v>
      </c>
      <c r="C948" s="18">
        <v>2030</v>
      </c>
      <c r="D948" t="s">
        <v>206</v>
      </c>
      <c r="E948" s="9">
        <v>1071409.0264217099</v>
      </c>
      <c r="F948" s="9">
        <v>169059.55580062501</v>
      </c>
      <c r="G948" s="9">
        <v>1094956.8444496701</v>
      </c>
      <c r="H948" s="9">
        <v>169314.83403803801</v>
      </c>
      <c r="I948" s="21">
        <f t="shared" si="28"/>
        <v>255.27823741300381</v>
      </c>
      <c r="J948" s="21">
        <f t="shared" si="29"/>
        <v>23547.818027960137</v>
      </c>
    </row>
    <row r="949" spans="1:10" hidden="1">
      <c r="A949" t="s">
        <v>223</v>
      </c>
      <c r="B949" t="s">
        <v>225</v>
      </c>
      <c r="C949" s="18">
        <v>2030</v>
      </c>
      <c r="D949" t="s">
        <v>174</v>
      </c>
      <c r="E949" s="9">
        <v>108402.848898942</v>
      </c>
      <c r="F949" s="9">
        <v>73121.182392875897</v>
      </c>
      <c r="G949" s="9">
        <v>108393.77376611999</v>
      </c>
      <c r="H949" s="9">
        <v>73120.8011068864</v>
      </c>
      <c r="I949" s="21">
        <f t="shared" si="28"/>
        <v>-0.38128598949697334</v>
      </c>
      <c r="J949" s="21">
        <f t="shared" si="29"/>
        <v>-9.075132822006708</v>
      </c>
    </row>
    <row r="950" spans="1:10" hidden="1">
      <c r="A950" t="s">
        <v>223</v>
      </c>
      <c r="B950" t="s">
        <v>225</v>
      </c>
      <c r="C950" s="18">
        <v>2030</v>
      </c>
      <c r="D950" t="s">
        <v>178</v>
      </c>
      <c r="E950" s="9">
        <v>368299.719003206</v>
      </c>
      <c r="F950" s="9">
        <v>340856.21067015402</v>
      </c>
      <c r="G950" s="9">
        <v>372741.79546126397</v>
      </c>
      <c r="H950" s="9">
        <v>342889.63536639401</v>
      </c>
      <c r="I950" s="21">
        <f t="shared" si="28"/>
        <v>2033.424696239992</v>
      </c>
      <c r="J950" s="21">
        <f t="shared" si="29"/>
        <v>4442.0764580579707</v>
      </c>
    </row>
    <row r="951" spans="1:10" hidden="1">
      <c r="A951" t="s">
        <v>223</v>
      </c>
      <c r="B951" t="s">
        <v>225</v>
      </c>
      <c r="C951" s="18">
        <v>2030</v>
      </c>
      <c r="D951" t="s">
        <v>181</v>
      </c>
      <c r="E951" s="9">
        <v>621527.11366862804</v>
      </c>
      <c r="F951" s="9">
        <v>376889.60994319897</v>
      </c>
      <c r="G951" s="9">
        <v>643154.21130562795</v>
      </c>
      <c r="H951" s="9">
        <v>378940.23126744502</v>
      </c>
      <c r="I951" s="21">
        <f t="shared" si="28"/>
        <v>2050.6213242460508</v>
      </c>
      <c r="J951" s="21">
        <f t="shared" si="29"/>
        <v>21627.097636999912</v>
      </c>
    </row>
    <row r="952" spans="1:10" hidden="1">
      <c r="A952" t="s">
        <v>223</v>
      </c>
      <c r="B952" t="s">
        <v>225</v>
      </c>
      <c r="C952" s="18">
        <v>2030</v>
      </c>
      <c r="D952" t="s">
        <v>184</v>
      </c>
      <c r="E952" s="9">
        <v>453931.986049178</v>
      </c>
      <c r="F952" s="9">
        <v>240200.99944303901</v>
      </c>
      <c r="G952" s="9">
        <v>464360.51810377202</v>
      </c>
      <c r="H952" s="9">
        <v>241310.309903655</v>
      </c>
      <c r="I952" s="21">
        <f t="shared" si="28"/>
        <v>1109.3104606159905</v>
      </c>
      <c r="J952" s="21">
        <f t="shared" si="29"/>
        <v>10428.532054594019</v>
      </c>
    </row>
    <row r="953" spans="1:10" hidden="1">
      <c r="A953" t="s">
        <v>223</v>
      </c>
      <c r="B953" t="s">
        <v>225</v>
      </c>
      <c r="C953" s="18">
        <v>2030</v>
      </c>
      <c r="D953" t="s">
        <v>365</v>
      </c>
      <c r="E953" s="9">
        <v>44647.455144035499</v>
      </c>
      <c r="F953" s="9">
        <v>7223.11113007725</v>
      </c>
      <c r="G953" s="9">
        <v>44647.268915282999</v>
      </c>
      <c r="H953" s="9">
        <v>7223.1103147423601</v>
      </c>
      <c r="I953" s="21">
        <f t="shared" si="28"/>
        <v>-8.1533488992135972E-4</v>
      </c>
      <c r="J953" s="21">
        <f t="shared" si="29"/>
        <v>-0.18622875250002835</v>
      </c>
    </row>
    <row r="954" spans="1:10" hidden="1">
      <c r="A954" t="s">
        <v>223</v>
      </c>
      <c r="B954" t="s">
        <v>225</v>
      </c>
      <c r="C954" s="18">
        <v>2031</v>
      </c>
      <c r="D954" t="s">
        <v>167</v>
      </c>
      <c r="E954" s="9">
        <v>15083.9541045275</v>
      </c>
      <c r="F954" s="9">
        <v>10955.788689196799</v>
      </c>
      <c r="G954" s="9">
        <v>15080.3825495532</v>
      </c>
      <c r="H954" s="9">
        <v>10955.4255331558</v>
      </c>
      <c r="I954" s="21">
        <f t="shared" si="28"/>
        <v>-0.36315604099945631</v>
      </c>
      <c r="J954" s="21">
        <f t="shared" si="29"/>
        <v>-3.5715549742999428</v>
      </c>
    </row>
    <row r="955" spans="1:10" hidden="1">
      <c r="A955" t="s">
        <v>223</v>
      </c>
      <c r="B955" t="s">
        <v>225</v>
      </c>
      <c r="C955" s="18">
        <v>2031</v>
      </c>
      <c r="D955" t="s">
        <v>206</v>
      </c>
      <c r="E955" s="9">
        <v>1078278.85307484</v>
      </c>
      <c r="F955" s="9">
        <v>177087.561837004</v>
      </c>
      <c r="G955" s="9">
        <v>1107027.6916289399</v>
      </c>
      <c r="H955" s="9">
        <v>177510.90619666901</v>
      </c>
      <c r="I955" s="21">
        <f t="shared" si="28"/>
        <v>423.34435966500314</v>
      </c>
      <c r="J955" s="21">
        <f t="shared" si="29"/>
        <v>28748.838554099901</v>
      </c>
    </row>
    <row r="956" spans="1:10" hidden="1">
      <c r="A956" t="s">
        <v>223</v>
      </c>
      <c r="B956" t="s">
        <v>225</v>
      </c>
      <c r="C956" s="18">
        <v>2031</v>
      </c>
      <c r="D956" t="s">
        <v>174</v>
      </c>
      <c r="E956" s="9">
        <v>111654.07854838599</v>
      </c>
      <c r="F956" s="9">
        <v>75231.896824642201</v>
      </c>
      <c r="G956" s="9">
        <v>111632.94755435199</v>
      </c>
      <c r="H956" s="9">
        <v>75230.219664338001</v>
      </c>
      <c r="I956" s="21">
        <f t="shared" si="28"/>
        <v>-1.6771603041997878</v>
      </c>
      <c r="J956" s="21">
        <f t="shared" si="29"/>
        <v>-21.130994033999741</v>
      </c>
    </row>
    <row r="957" spans="1:10" hidden="1">
      <c r="A957" t="s">
        <v>223</v>
      </c>
      <c r="B957" t="s">
        <v>225</v>
      </c>
      <c r="C957" s="18">
        <v>2031</v>
      </c>
      <c r="D957" t="s">
        <v>178</v>
      </c>
      <c r="E957" s="9">
        <v>375980.320899149</v>
      </c>
      <c r="F957" s="9">
        <v>348521.41009120998</v>
      </c>
      <c r="G957" s="9">
        <v>381470.26678102103</v>
      </c>
      <c r="H957" s="9">
        <v>351432.51867295097</v>
      </c>
      <c r="I957" s="21">
        <f t="shared" si="28"/>
        <v>2911.1085817409912</v>
      </c>
      <c r="J957" s="21">
        <f t="shared" si="29"/>
        <v>5489.9458818720304</v>
      </c>
    </row>
    <row r="958" spans="1:10" hidden="1">
      <c r="A958" t="s">
        <v>223</v>
      </c>
      <c r="B958" t="s">
        <v>225</v>
      </c>
      <c r="C958" s="18">
        <v>2031</v>
      </c>
      <c r="D958" t="s">
        <v>181</v>
      </c>
      <c r="E958" s="9">
        <v>631552.36685028696</v>
      </c>
      <c r="F958" s="9">
        <v>386873.12162181298</v>
      </c>
      <c r="G958" s="9">
        <v>658282.14926881401</v>
      </c>
      <c r="H958" s="9">
        <v>390181.00302030199</v>
      </c>
      <c r="I958" s="21">
        <f t="shared" si="28"/>
        <v>3307.8813984890003</v>
      </c>
      <c r="J958" s="21">
        <f t="shared" si="29"/>
        <v>26729.782418527058</v>
      </c>
    </row>
    <row r="959" spans="1:10" hidden="1">
      <c r="A959" t="s">
        <v>223</v>
      </c>
      <c r="B959" t="s">
        <v>225</v>
      </c>
      <c r="C959" s="18">
        <v>2031</v>
      </c>
      <c r="D959" t="s">
        <v>184</v>
      </c>
      <c r="E959" s="9">
        <v>464838.986431856</v>
      </c>
      <c r="F959" s="9">
        <v>249063.47298607699</v>
      </c>
      <c r="G959" s="9">
        <v>477778.14604748198</v>
      </c>
      <c r="H959" s="9">
        <v>250815.78266259201</v>
      </c>
      <c r="I959" s="21">
        <f t="shared" si="28"/>
        <v>1752.3096765150258</v>
      </c>
      <c r="J959" s="21">
        <f t="shared" si="29"/>
        <v>12939.159615625977</v>
      </c>
    </row>
    <row r="960" spans="1:10" hidden="1">
      <c r="A960" t="s">
        <v>223</v>
      </c>
      <c r="B960" t="s">
        <v>225</v>
      </c>
      <c r="C960" s="18">
        <v>2031</v>
      </c>
      <c r="D960" t="s">
        <v>365</v>
      </c>
      <c r="E960" s="9">
        <v>44640.777179115401</v>
      </c>
      <c r="F960" s="9">
        <v>7266.7696312649996</v>
      </c>
      <c r="G960" s="9">
        <v>44640.347295477797</v>
      </c>
      <c r="H960" s="9">
        <v>7266.7660002075399</v>
      </c>
      <c r="I960" s="21">
        <f t="shared" si="28"/>
        <v>-3.6310574596427614E-3</v>
      </c>
      <c r="J960" s="21">
        <f t="shared" si="29"/>
        <v>-0.42988363760377979</v>
      </c>
    </row>
    <row r="961" spans="1:10" hidden="1">
      <c r="A961" t="s">
        <v>223</v>
      </c>
      <c r="B961" t="s">
        <v>225</v>
      </c>
      <c r="C961" s="18">
        <v>2032</v>
      </c>
      <c r="D961" t="s">
        <v>167</v>
      </c>
      <c r="E961" s="9">
        <v>15537.9529938102</v>
      </c>
      <c r="F961" s="9">
        <v>11275.454445294799</v>
      </c>
      <c r="G961" s="9">
        <v>15531.2601955666</v>
      </c>
      <c r="H961" s="9">
        <v>11274.495449735199</v>
      </c>
      <c r="I961" s="21">
        <f t="shared" si="28"/>
        <v>-0.95899555960022553</v>
      </c>
      <c r="J961" s="21">
        <f t="shared" si="29"/>
        <v>-6.6927982436009188</v>
      </c>
    </row>
    <row r="962" spans="1:10" hidden="1">
      <c r="A962" t="s">
        <v>223</v>
      </c>
      <c r="B962" t="s">
        <v>225</v>
      </c>
      <c r="C962" s="18">
        <v>2032</v>
      </c>
      <c r="D962" t="s">
        <v>206</v>
      </c>
      <c r="E962" s="9">
        <v>1084792.75725121</v>
      </c>
      <c r="F962" s="9">
        <v>185095.15797020801</v>
      </c>
      <c r="G962" s="9">
        <v>1118477.3274982399</v>
      </c>
      <c r="H962" s="9">
        <v>185725.99905880101</v>
      </c>
      <c r="I962" s="21">
        <f t="shared" ref="I962:I1025" si="30">H962-F962</f>
        <v>630.84108859300613</v>
      </c>
      <c r="J962" s="21">
        <f t="shared" ref="J962:J1025" si="31">G962-E962</f>
        <v>33684.570247029886</v>
      </c>
    </row>
    <row r="963" spans="1:10" hidden="1">
      <c r="A963" t="s">
        <v>223</v>
      </c>
      <c r="B963" t="s">
        <v>225</v>
      </c>
      <c r="C963" s="18">
        <v>2032</v>
      </c>
      <c r="D963" t="s">
        <v>174</v>
      </c>
      <c r="E963" s="9">
        <v>114874.943576335</v>
      </c>
      <c r="F963" s="9">
        <v>77357.538091408496</v>
      </c>
      <c r="G963" s="9">
        <v>114835.221802653</v>
      </c>
      <c r="H963" s="9">
        <v>77353.061023932896</v>
      </c>
      <c r="I963" s="21">
        <f t="shared" si="30"/>
        <v>-4.4770674756000517</v>
      </c>
      <c r="J963" s="21">
        <f t="shared" si="31"/>
        <v>-39.721773682002095</v>
      </c>
    </row>
    <row r="964" spans="1:10" hidden="1">
      <c r="A964" t="s">
        <v>223</v>
      </c>
      <c r="B964" t="s">
        <v>225</v>
      </c>
      <c r="C964" s="18">
        <v>2032</v>
      </c>
      <c r="D964" t="s">
        <v>178</v>
      </c>
      <c r="E964" s="9">
        <v>383494.43229822302</v>
      </c>
      <c r="F964" s="9">
        <v>356016.76828932599</v>
      </c>
      <c r="G964" s="9">
        <v>389998.37668875401</v>
      </c>
      <c r="H964" s="9">
        <v>359834.54685286601</v>
      </c>
      <c r="I964" s="21">
        <f t="shared" si="30"/>
        <v>3817.7785635400214</v>
      </c>
      <c r="J964" s="21">
        <f t="shared" si="31"/>
        <v>6503.944390530989</v>
      </c>
    </row>
    <row r="965" spans="1:10" hidden="1">
      <c r="A965" t="s">
        <v>223</v>
      </c>
      <c r="B965" t="s">
        <v>225</v>
      </c>
      <c r="C965" s="18">
        <v>2032</v>
      </c>
      <c r="D965" t="s">
        <v>181</v>
      </c>
      <c r="E965" s="9">
        <v>641439.69806240301</v>
      </c>
      <c r="F965" s="9">
        <v>396519.02556806902</v>
      </c>
      <c r="G965" s="9">
        <v>673133.88827326603</v>
      </c>
      <c r="H965" s="9">
        <v>401318.28619347198</v>
      </c>
      <c r="I965" s="21">
        <f t="shared" si="30"/>
        <v>4799.260625402967</v>
      </c>
      <c r="J965" s="21">
        <f t="shared" si="31"/>
        <v>31694.190210863017</v>
      </c>
    </row>
    <row r="966" spans="1:10" hidden="1">
      <c r="A966" t="s">
        <v>223</v>
      </c>
      <c r="B966" t="s">
        <v>225</v>
      </c>
      <c r="C966" s="18">
        <v>2032</v>
      </c>
      <c r="D966" t="s">
        <v>184</v>
      </c>
      <c r="E966" s="9">
        <v>475515.55820770498</v>
      </c>
      <c r="F966" s="9">
        <v>257846.93051468499</v>
      </c>
      <c r="G966" s="9">
        <v>490904.70344577997</v>
      </c>
      <c r="H966" s="9">
        <v>260346.937343717</v>
      </c>
      <c r="I966" s="21">
        <f t="shared" si="30"/>
        <v>2500.006829032005</v>
      </c>
      <c r="J966" s="21">
        <f t="shared" si="31"/>
        <v>15389.145238074998</v>
      </c>
    </row>
    <row r="967" spans="1:10" hidden="1">
      <c r="A967" t="s">
        <v>223</v>
      </c>
      <c r="B967" t="s">
        <v>225</v>
      </c>
      <c r="C967" s="18">
        <v>2032</v>
      </c>
      <c r="D967" t="s">
        <v>365</v>
      </c>
      <c r="E967" s="9">
        <v>44584.046390388001</v>
      </c>
      <c r="F967" s="9">
        <v>7308.6993591826604</v>
      </c>
      <c r="G967" s="9">
        <v>44583.245501595899</v>
      </c>
      <c r="H967" s="9">
        <v>7308.6895683399798</v>
      </c>
      <c r="I967" s="21">
        <f t="shared" si="30"/>
        <v>-9.7908426805588533E-3</v>
      </c>
      <c r="J967" s="21">
        <f t="shared" si="31"/>
        <v>-0.80088879210234154</v>
      </c>
    </row>
    <row r="968" spans="1:10" hidden="1">
      <c r="A968" t="s">
        <v>223</v>
      </c>
      <c r="B968" t="s">
        <v>225</v>
      </c>
      <c r="C968" s="18">
        <v>2033</v>
      </c>
      <c r="D968" t="s">
        <v>167</v>
      </c>
      <c r="E968" s="9">
        <v>15994.772448621299</v>
      </c>
      <c r="F968" s="9">
        <v>11588.9190726741</v>
      </c>
      <c r="G968" s="9">
        <v>15983.7175379286</v>
      </c>
      <c r="H968" s="9">
        <v>11586.9335708044</v>
      </c>
      <c r="I968" s="21">
        <f t="shared" si="30"/>
        <v>-1.9855018696998741</v>
      </c>
      <c r="J968" s="21">
        <f t="shared" si="31"/>
        <v>-11.054910692699195</v>
      </c>
    </row>
    <row r="969" spans="1:10" hidden="1">
      <c r="A969" t="s">
        <v>223</v>
      </c>
      <c r="B969" t="s">
        <v>225</v>
      </c>
      <c r="C969" s="18">
        <v>2033</v>
      </c>
      <c r="D969" t="s">
        <v>206</v>
      </c>
      <c r="E969" s="9">
        <v>1090874.7763342699</v>
      </c>
      <c r="F969" s="9">
        <v>193076.97377439801</v>
      </c>
      <c r="G969" s="9">
        <v>1129233.47845058</v>
      </c>
      <c r="H969" s="9">
        <v>193953.224223645</v>
      </c>
      <c r="I969" s="21">
        <f t="shared" si="30"/>
        <v>876.25044924698886</v>
      </c>
      <c r="J969" s="21">
        <f t="shared" si="31"/>
        <v>38358.702116310131</v>
      </c>
    </row>
    <row r="970" spans="1:10" hidden="1">
      <c r="A970" t="s">
        <v>223</v>
      </c>
      <c r="B970" t="s">
        <v>225</v>
      </c>
      <c r="C970" s="18">
        <v>2033</v>
      </c>
      <c r="D970" t="s">
        <v>174</v>
      </c>
      <c r="E970" s="9">
        <v>118064.4381421</v>
      </c>
      <c r="F970" s="9">
        <v>79489.848671814005</v>
      </c>
      <c r="G970" s="9">
        <v>117998.73843744201</v>
      </c>
      <c r="H970" s="9">
        <v>79480.4761690429</v>
      </c>
      <c r="I970" s="21">
        <f t="shared" si="30"/>
        <v>-9.3725027711043367</v>
      </c>
      <c r="J970" s="21">
        <f t="shared" si="31"/>
        <v>-65.699704657992697</v>
      </c>
    </row>
    <row r="971" spans="1:10" hidden="1">
      <c r="A971" t="s">
        <v>223</v>
      </c>
      <c r="B971" t="s">
        <v>225</v>
      </c>
      <c r="C971" s="18">
        <v>2033</v>
      </c>
      <c r="D971" t="s">
        <v>178</v>
      </c>
      <c r="E971" s="9">
        <v>390872.974747264</v>
      </c>
      <c r="F971" s="9">
        <v>363318.89190098201</v>
      </c>
      <c r="G971" s="9">
        <v>398354.344992358</v>
      </c>
      <c r="H971" s="9">
        <v>368051.62457544298</v>
      </c>
      <c r="I971" s="21">
        <f t="shared" si="30"/>
        <v>4732.7326744609745</v>
      </c>
      <c r="J971" s="21">
        <f t="shared" si="31"/>
        <v>7481.3702450940036</v>
      </c>
    </row>
    <row r="972" spans="1:10" hidden="1">
      <c r="A972" t="s">
        <v>223</v>
      </c>
      <c r="B972" t="s">
        <v>225</v>
      </c>
      <c r="C972" s="18">
        <v>2033</v>
      </c>
      <c r="D972" t="s">
        <v>181</v>
      </c>
      <c r="E972" s="9">
        <v>651123.89579884498</v>
      </c>
      <c r="F972" s="9">
        <v>405849.64866511099</v>
      </c>
      <c r="G972" s="9">
        <v>687634.69954692596</v>
      </c>
      <c r="H972" s="9">
        <v>412348.075678578</v>
      </c>
      <c r="I972" s="21">
        <f t="shared" si="30"/>
        <v>6498.4270134670078</v>
      </c>
      <c r="J972" s="21">
        <f t="shared" si="31"/>
        <v>36510.803748080973</v>
      </c>
    </row>
    <row r="973" spans="1:10" hidden="1">
      <c r="A973" t="s">
        <v>223</v>
      </c>
      <c r="B973" t="s">
        <v>225</v>
      </c>
      <c r="C973" s="18">
        <v>2033</v>
      </c>
      <c r="D973" t="s">
        <v>184</v>
      </c>
      <c r="E973" s="9">
        <v>485980.03692723502</v>
      </c>
      <c r="F973" s="9">
        <v>266547.08168479201</v>
      </c>
      <c r="G973" s="9">
        <v>503751.109420694</v>
      </c>
      <c r="H973" s="9">
        <v>269883.407599987</v>
      </c>
      <c r="I973" s="21">
        <f t="shared" si="30"/>
        <v>3336.3259151949896</v>
      </c>
      <c r="J973" s="21">
        <f t="shared" si="31"/>
        <v>17771.072493458982</v>
      </c>
    </row>
    <row r="974" spans="1:10" hidden="1">
      <c r="A974" t="s">
        <v>223</v>
      </c>
      <c r="B974" t="s">
        <v>225</v>
      </c>
      <c r="C974" s="18">
        <v>2033</v>
      </c>
      <c r="D974" t="s">
        <v>365</v>
      </c>
      <c r="E974" s="9">
        <v>44484.9974252057</v>
      </c>
      <c r="F974" s="9">
        <v>7348.0947892152699</v>
      </c>
      <c r="G974" s="9">
        <v>44483.683589841297</v>
      </c>
      <c r="H974" s="9">
        <v>7348.0741473220596</v>
      </c>
      <c r="I974" s="21">
        <f t="shared" si="30"/>
        <v>-2.0641893210267881E-2</v>
      </c>
      <c r="J974" s="21">
        <f t="shared" si="31"/>
        <v>-1.3138353644026211</v>
      </c>
    </row>
    <row r="975" spans="1:10" hidden="1">
      <c r="A975" t="s">
        <v>223</v>
      </c>
      <c r="B975" t="s">
        <v>225</v>
      </c>
      <c r="C975" s="18">
        <v>2034</v>
      </c>
      <c r="D975" t="s">
        <v>167</v>
      </c>
      <c r="E975" s="9">
        <v>16453.707513263798</v>
      </c>
      <c r="F975" s="9">
        <v>11899.930488984101</v>
      </c>
      <c r="G975" s="9">
        <v>16436.9312806497</v>
      </c>
      <c r="H975" s="9">
        <v>11896.382318738601</v>
      </c>
      <c r="I975" s="21">
        <f t="shared" si="30"/>
        <v>-3.5481702454999322</v>
      </c>
      <c r="J975" s="21">
        <f t="shared" si="31"/>
        <v>-16.776232614098262</v>
      </c>
    </row>
    <row r="976" spans="1:10" hidden="1">
      <c r="A976" t="s">
        <v>223</v>
      </c>
      <c r="B976" t="s">
        <v>225</v>
      </c>
      <c r="C976" s="18">
        <v>2034</v>
      </c>
      <c r="D976" t="s">
        <v>206</v>
      </c>
      <c r="E976" s="9">
        <v>1096588.46653726</v>
      </c>
      <c r="F976" s="9">
        <v>200989.35297219901</v>
      </c>
      <c r="G976" s="9">
        <v>1139357.0195160699</v>
      </c>
      <c r="H976" s="9">
        <v>202147.27044605001</v>
      </c>
      <c r="I976" s="21">
        <f t="shared" si="30"/>
        <v>1157.9174738510046</v>
      </c>
      <c r="J976" s="21">
        <f t="shared" si="31"/>
        <v>42768.552978809923</v>
      </c>
    </row>
    <row r="977" spans="1:10" hidden="1">
      <c r="A977" t="s">
        <v>223</v>
      </c>
      <c r="B977" t="s">
        <v>225</v>
      </c>
      <c r="C977" s="18">
        <v>2034</v>
      </c>
      <c r="D977" t="s">
        <v>174</v>
      </c>
      <c r="E977" s="9">
        <v>121205.17062567</v>
      </c>
      <c r="F977" s="9">
        <v>81611.862501459196</v>
      </c>
      <c r="G977" s="9">
        <v>121105.471839437</v>
      </c>
      <c r="H977" s="9">
        <v>81594.948233921197</v>
      </c>
      <c r="I977" s="21">
        <f t="shared" si="30"/>
        <v>-16.914267537998967</v>
      </c>
      <c r="J977" s="21">
        <f t="shared" si="31"/>
        <v>-99.698786232998827</v>
      </c>
    </row>
    <row r="978" spans="1:10" hidden="1">
      <c r="A978" t="s">
        <v>223</v>
      </c>
      <c r="B978" t="s">
        <v>225</v>
      </c>
      <c r="C978" s="18">
        <v>2034</v>
      </c>
      <c r="D978" t="s">
        <v>178</v>
      </c>
      <c r="E978" s="9">
        <v>398139.82545136497</v>
      </c>
      <c r="F978" s="9">
        <v>370386.14867656701</v>
      </c>
      <c r="G978" s="9">
        <v>406559.86735378799</v>
      </c>
      <c r="H978" s="9">
        <v>376028.13227833499</v>
      </c>
      <c r="I978" s="21">
        <f t="shared" si="30"/>
        <v>5641.9836017679772</v>
      </c>
      <c r="J978" s="21">
        <f t="shared" si="31"/>
        <v>8420.0419024230214</v>
      </c>
    </row>
    <row r="979" spans="1:10" hidden="1">
      <c r="A979" t="s">
        <v>223</v>
      </c>
      <c r="B979" t="s">
        <v>225</v>
      </c>
      <c r="C979" s="18">
        <v>2034</v>
      </c>
      <c r="D979" t="s">
        <v>181</v>
      </c>
      <c r="E979" s="9">
        <v>660526.01129398798</v>
      </c>
      <c r="F979" s="9">
        <v>414879.76746976702</v>
      </c>
      <c r="G979" s="9">
        <v>701691.67735876795</v>
      </c>
      <c r="H979" s="9">
        <v>423259.10059080599</v>
      </c>
      <c r="I979" s="21">
        <f t="shared" si="30"/>
        <v>8379.3331210389733</v>
      </c>
      <c r="J979" s="21">
        <f t="shared" si="31"/>
        <v>41165.666064779973</v>
      </c>
    </row>
    <row r="980" spans="1:10" hidden="1">
      <c r="A980" t="s">
        <v>223</v>
      </c>
      <c r="B980" t="s">
        <v>225</v>
      </c>
      <c r="C980" s="18">
        <v>2034</v>
      </c>
      <c r="D980" t="s">
        <v>184</v>
      </c>
      <c r="E980" s="9">
        <v>496325.759092475</v>
      </c>
      <c r="F980" s="9">
        <v>275237.27789156698</v>
      </c>
      <c r="G980" s="9">
        <v>516406.53850878001</v>
      </c>
      <c r="H980" s="9">
        <v>279484.98028522899</v>
      </c>
      <c r="I980" s="21">
        <f t="shared" si="30"/>
        <v>4247.7023936620099</v>
      </c>
      <c r="J980" s="21">
        <f t="shared" si="31"/>
        <v>20080.779416305013</v>
      </c>
    </row>
    <row r="981" spans="1:10" hidden="1">
      <c r="A981" t="s">
        <v>223</v>
      </c>
      <c r="B981" t="s">
        <v>225</v>
      </c>
      <c r="C981" s="18">
        <v>2034</v>
      </c>
      <c r="D981" t="s">
        <v>365</v>
      </c>
      <c r="E981" s="9">
        <v>44357.1639941135</v>
      </c>
      <c r="F981" s="9">
        <v>7385.0783968007399</v>
      </c>
      <c r="G981" s="9">
        <v>44355.184450178996</v>
      </c>
      <c r="H981" s="9">
        <v>7385.0409467521704</v>
      </c>
      <c r="I981" s="21">
        <f t="shared" si="30"/>
        <v>-3.7450048569553473E-2</v>
      </c>
      <c r="J981" s="21">
        <f t="shared" si="31"/>
        <v>-1.9795439345034538</v>
      </c>
    </row>
    <row r="982" spans="1:10" hidden="1">
      <c r="A982" t="s">
        <v>223</v>
      </c>
      <c r="B982" t="s">
        <v>225</v>
      </c>
      <c r="C982" s="18">
        <v>2035</v>
      </c>
      <c r="D982" t="s">
        <v>167</v>
      </c>
      <c r="E982" s="9">
        <v>16916.165880013799</v>
      </c>
      <c r="F982" s="9">
        <v>12208.796433261999</v>
      </c>
      <c r="G982" s="9">
        <v>16892.2141390053</v>
      </c>
      <c r="H982" s="9">
        <v>12203.057717863399</v>
      </c>
      <c r="I982" s="21">
        <f t="shared" si="30"/>
        <v>-5.7387153986001067</v>
      </c>
      <c r="J982" s="21">
        <f t="shared" si="31"/>
        <v>-23.951741008499084</v>
      </c>
    </row>
    <row r="983" spans="1:10" hidden="1">
      <c r="A983" t="s">
        <v>223</v>
      </c>
      <c r="B983" t="s">
        <v>225</v>
      </c>
      <c r="C983" s="18">
        <v>2035</v>
      </c>
      <c r="D983" t="s">
        <v>206</v>
      </c>
      <c r="E983" s="9">
        <v>1102053.6640148801</v>
      </c>
      <c r="F983" s="9">
        <v>208816.958200861</v>
      </c>
      <c r="G983" s="9">
        <v>1148972.16574985</v>
      </c>
      <c r="H983" s="9">
        <v>210290.98052792501</v>
      </c>
      <c r="I983" s="21">
        <f t="shared" si="30"/>
        <v>1474.0223270640126</v>
      </c>
      <c r="J983" s="21">
        <f t="shared" si="31"/>
        <v>46918.501734969905</v>
      </c>
    </row>
    <row r="984" spans="1:10" hidden="1">
      <c r="A984" t="s">
        <v>223</v>
      </c>
      <c r="B984" t="s">
        <v>225</v>
      </c>
      <c r="C984" s="18">
        <v>2035</v>
      </c>
      <c r="D984" t="s">
        <v>174</v>
      </c>
      <c r="E984" s="9">
        <v>124290.381665195</v>
      </c>
      <c r="F984" s="9">
        <v>83722.710321841805</v>
      </c>
      <c r="G984" s="9">
        <v>124148.20719584401</v>
      </c>
      <c r="H984" s="9">
        <v>83695.117872879797</v>
      </c>
      <c r="I984" s="21">
        <f t="shared" si="30"/>
        <v>-27.592448962008348</v>
      </c>
      <c r="J984" s="21">
        <f t="shared" si="31"/>
        <v>-142.17446935099724</v>
      </c>
    </row>
    <row r="985" spans="1:10" hidden="1">
      <c r="A985" t="s">
        <v>223</v>
      </c>
      <c r="B985" t="s">
        <v>225</v>
      </c>
      <c r="C985" s="18">
        <v>2035</v>
      </c>
      <c r="D985" t="s">
        <v>178</v>
      </c>
      <c r="E985" s="9">
        <v>405217.01271833503</v>
      </c>
      <c r="F985" s="9">
        <v>377252.84076430398</v>
      </c>
      <c r="G985" s="9">
        <v>414533.16060314502</v>
      </c>
      <c r="H985" s="9">
        <v>383788.76252667198</v>
      </c>
      <c r="I985" s="21">
        <f t="shared" si="30"/>
        <v>6535.9217623680015</v>
      </c>
      <c r="J985" s="21">
        <f t="shared" si="31"/>
        <v>9316.1478848099941</v>
      </c>
    </row>
    <row r="986" spans="1:10" hidden="1">
      <c r="A986" t="s">
        <v>223</v>
      </c>
      <c r="B986" t="s">
        <v>225</v>
      </c>
      <c r="C986" s="18">
        <v>2035</v>
      </c>
      <c r="D986" t="s">
        <v>181</v>
      </c>
      <c r="E986" s="9">
        <v>669678.73333341302</v>
      </c>
      <c r="F986" s="9">
        <v>423664.28905748099</v>
      </c>
      <c r="G986" s="9">
        <v>715331.78882210201</v>
      </c>
      <c r="H986" s="9">
        <v>434082.03155119502</v>
      </c>
      <c r="I986" s="21">
        <f t="shared" si="30"/>
        <v>10417.742493714031</v>
      </c>
      <c r="J986" s="21">
        <f t="shared" si="31"/>
        <v>45653.055488688988</v>
      </c>
    </row>
    <row r="987" spans="1:10" hidden="1">
      <c r="A987" t="s">
        <v>223</v>
      </c>
      <c r="B987" t="s">
        <v>225</v>
      </c>
      <c r="C987" s="18">
        <v>2035</v>
      </c>
      <c r="D987" t="s">
        <v>184</v>
      </c>
      <c r="E987" s="9">
        <v>506507.427666437</v>
      </c>
      <c r="F987" s="9">
        <v>283928.37986798899</v>
      </c>
      <c r="G987" s="9">
        <v>528818.37188395299</v>
      </c>
      <c r="H987" s="9">
        <v>289150.80243598297</v>
      </c>
      <c r="I987" s="21">
        <f t="shared" si="30"/>
        <v>5222.4225679939846</v>
      </c>
      <c r="J987" s="21">
        <f t="shared" si="31"/>
        <v>22310.944217515993</v>
      </c>
    </row>
    <row r="988" spans="1:10" hidden="1">
      <c r="A988" t="s">
        <v>223</v>
      </c>
      <c r="B988" t="s">
        <v>225</v>
      </c>
      <c r="C988" s="18">
        <v>2035</v>
      </c>
      <c r="D988" t="s">
        <v>365</v>
      </c>
      <c r="E988" s="9">
        <v>44209.513067245098</v>
      </c>
      <c r="F988" s="9">
        <v>7420.04019001099</v>
      </c>
      <c r="G988" s="9">
        <v>44206.707306712102</v>
      </c>
      <c r="H988" s="9">
        <v>7419.9788551932097</v>
      </c>
      <c r="I988" s="21">
        <f t="shared" si="30"/>
        <v>-6.1334817780334561E-2</v>
      </c>
      <c r="J988" s="21">
        <f t="shared" si="31"/>
        <v>-2.8057605329959188</v>
      </c>
    </row>
    <row r="989" spans="1:10" hidden="1">
      <c r="A989" t="s">
        <v>223</v>
      </c>
      <c r="B989" t="s">
        <v>225</v>
      </c>
      <c r="C989" s="18">
        <v>2036</v>
      </c>
      <c r="D989" t="s">
        <v>167</v>
      </c>
      <c r="E989" s="9">
        <v>17383.316869190701</v>
      </c>
      <c r="F989" s="9">
        <v>12515.5376159398</v>
      </c>
      <c r="G989" s="9">
        <v>17350.6546269342</v>
      </c>
      <c r="H989" s="9">
        <v>12506.9021026876</v>
      </c>
      <c r="I989" s="21">
        <f t="shared" si="30"/>
        <v>-8.635513252200326</v>
      </c>
      <c r="J989" s="21">
        <f t="shared" si="31"/>
        <v>-32.662242256501486</v>
      </c>
    </row>
    <row r="990" spans="1:10" hidden="1">
      <c r="A990" t="s">
        <v>223</v>
      </c>
      <c r="B990" t="s">
        <v>225</v>
      </c>
      <c r="C990" s="18">
        <v>2036</v>
      </c>
      <c r="D990" t="s">
        <v>206</v>
      </c>
      <c r="E990" s="9">
        <v>1107444.77800683</v>
      </c>
      <c r="F990" s="9">
        <v>216548.045808458</v>
      </c>
      <c r="G990" s="9">
        <v>1158266.1377582899</v>
      </c>
      <c r="H990" s="9">
        <v>218370.687575925</v>
      </c>
      <c r="I990" s="21">
        <f t="shared" si="30"/>
        <v>1822.6417674669938</v>
      </c>
      <c r="J990" s="21">
        <f t="shared" si="31"/>
        <v>50821.35975145991</v>
      </c>
    </row>
    <row r="991" spans="1:10" hidden="1">
      <c r="A991" t="s">
        <v>223</v>
      </c>
      <c r="B991" t="s">
        <v>225</v>
      </c>
      <c r="C991" s="18">
        <v>2036</v>
      </c>
      <c r="D991" t="s">
        <v>174</v>
      </c>
      <c r="E991" s="9">
        <v>127331.922371049</v>
      </c>
      <c r="F991" s="9">
        <v>85807.389736624202</v>
      </c>
      <c r="G991" s="9">
        <v>127138.451085333</v>
      </c>
      <c r="H991" s="9">
        <v>85765.564735317093</v>
      </c>
      <c r="I991" s="21">
        <f t="shared" si="30"/>
        <v>-41.825001307108323</v>
      </c>
      <c r="J991" s="21">
        <f t="shared" si="31"/>
        <v>-193.47128571600479</v>
      </c>
    </row>
    <row r="992" spans="1:10" hidden="1">
      <c r="A992" t="s">
        <v>223</v>
      </c>
      <c r="B992" t="s">
        <v>225</v>
      </c>
      <c r="C992" s="18">
        <v>2036</v>
      </c>
      <c r="D992" t="s">
        <v>178</v>
      </c>
      <c r="E992" s="9">
        <v>412065.77546059497</v>
      </c>
      <c r="F992" s="9">
        <v>383880.09496847203</v>
      </c>
      <c r="G992" s="9">
        <v>422232.65992213303</v>
      </c>
      <c r="H992" s="9">
        <v>391285.95573958702</v>
      </c>
      <c r="I992" s="21">
        <f t="shared" si="30"/>
        <v>7405.8607711149962</v>
      </c>
      <c r="J992" s="21">
        <f t="shared" si="31"/>
        <v>10166.884461538051</v>
      </c>
    </row>
    <row r="993" spans="1:10" hidden="1">
      <c r="A993" t="s">
        <v>223</v>
      </c>
      <c r="B993" t="s">
        <v>225</v>
      </c>
      <c r="C993" s="18">
        <v>2036</v>
      </c>
      <c r="D993" t="s">
        <v>181</v>
      </c>
      <c r="E993" s="9">
        <v>678564.85107141105</v>
      </c>
      <c r="F993" s="9">
        <v>432158.66169862199</v>
      </c>
      <c r="G993" s="9">
        <v>728531.610160843</v>
      </c>
      <c r="H993" s="9">
        <v>444747.90756616899</v>
      </c>
      <c r="I993" s="21">
        <f t="shared" si="30"/>
        <v>12589.245867546997</v>
      </c>
      <c r="J993" s="21">
        <f t="shared" si="31"/>
        <v>49966.759089431958</v>
      </c>
    </row>
    <row r="994" spans="1:10" hidden="1">
      <c r="A994" t="s">
        <v>223</v>
      </c>
      <c r="B994" t="s">
        <v>225</v>
      </c>
      <c r="C994" s="18">
        <v>2036</v>
      </c>
      <c r="D994" t="s">
        <v>184</v>
      </c>
      <c r="E994" s="9">
        <v>516592.01434483798</v>
      </c>
      <c r="F994" s="9">
        <v>292629.45162414602</v>
      </c>
      <c r="G994" s="9">
        <v>541052.28077363002</v>
      </c>
      <c r="H994" s="9">
        <v>298879.61130973301</v>
      </c>
      <c r="I994" s="21">
        <f t="shared" si="30"/>
        <v>6250.1596855869866</v>
      </c>
      <c r="J994" s="21">
        <f t="shared" si="31"/>
        <v>24460.266428792034</v>
      </c>
    </row>
    <row r="995" spans="1:10" hidden="1">
      <c r="A995" t="s">
        <v>223</v>
      </c>
      <c r="B995" t="s">
        <v>225</v>
      </c>
      <c r="C995" s="18">
        <v>2036</v>
      </c>
      <c r="D995" t="s">
        <v>365</v>
      </c>
      <c r="E995" s="9">
        <v>44053.795921010103</v>
      </c>
      <c r="F995" s="9">
        <v>7453.4283688150499</v>
      </c>
      <c r="G995" s="9">
        <v>44049.998378272197</v>
      </c>
      <c r="H995" s="9">
        <v>7453.3351271514002</v>
      </c>
      <c r="I995" s="21">
        <f t="shared" si="30"/>
        <v>-9.324166364967823E-2</v>
      </c>
      <c r="J995" s="21">
        <f t="shared" si="31"/>
        <v>-3.797542737906042</v>
      </c>
    </row>
    <row r="996" spans="1:10" hidden="1">
      <c r="A996" t="s">
        <v>223</v>
      </c>
      <c r="B996" t="s">
        <v>225</v>
      </c>
      <c r="C996" s="18">
        <v>2037</v>
      </c>
      <c r="D996" t="s">
        <v>167</v>
      </c>
      <c r="E996" s="9">
        <v>17855.481982413399</v>
      </c>
      <c r="F996" s="9">
        <v>12819.8032972091</v>
      </c>
      <c r="G996" s="9">
        <v>17812.5035281772</v>
      </c>
      <c r="H996" s="9">
        <v>12807.501268399201</v>
      </c>
      <c r="I996" s="21">
        <f t="shared" si="30"/>
        <v>-12.302028809899639</v>
      </c>
      <c r="J996" s="21">
        <f t="shared" si="31"/>
        <v>-42.978454236199468</v>
      </c>
    </row>
    <row r="997" spans="1:10" hidden="1">
      <c r="A997" t="s">
        <v>223</v>
      </c>
      <c r="B997" t="s">
        <v>225</v>
      </c>
      <c r="C997" s="18">
        <v>2037</v>
      </c>
      <c r="D997" t="s">
        <v>206</v>
      </c>
      <c r="E997" s="9">
        <v>1112874.4852564</v>
      </c>
      <c r="F997" s="9">
        <v>224171.424937781</v>
      </c>
      <c r="G997" s="9">
        <v>1167364.6654137501</v>
      </c>
      <c r="H997" s="9">
        <v>226373.365626062</v>
      </c>
      <c r="I997" s="21">
        <f t="shared" si="30"/>
        <v>2201.9406882809999</v>
      </c>
      <c r="J997" s="21">
        <f t="shared" si="31"/>
        <v>54490.180157350143</v>
      </c>
    </row>
    <row r="998" spans="1:10" hidden="1">
      <c r="A998" t="s">
        <v>223</v>
      </c>
      <c r="B998" t="s">
        <v>225</v>
      </c>
      <c r="C998" s="18">
        <v>2037</v>
      </c>
      <c r="D998" t="s">
        <v>174</v>
      </c>
      <c r="E998" s="9">
        <v>130345.97793826601</v>
      </c>
      <c r="F998" s="9">
        <v>87845.829786318602</v>
      </c>
      <c r="G998" s="9">
        <v>130092.112965313</v>
      </c>
      <c r="H998" s="9">
        <v>87785.873914228694</v>
      </c>
      <c r="I998" s="21">
        <f t="shared" si="30"/>
        <v>-59.955872089907643</v>
      </c>
      <c r="J998" s="21">
        <f t="shared" si="31"/>
        <v>-253.86497295300069</v>
      </c>
    </row>
    <row r="999" spans="1:10" hidden="1">
      <c r="A999" t="s">
        <v>223</v>
      </c>
      <c r="B999" t="s">
        <v>225</v>
      </c>
      <c r="C999" s="18">
        <v>2037</v>
      </c>
      <c r="D999" t="s">
        <v>178</v>
      </c>
      <c r="E999" s="9">
        <v>418703.51398045401</v>
      </c>
      <c r="F999" s="9">
        <v>390229.17538935301</v>
      </c>
      <c r="G999" s="9">
        <v>429674.679324948</v>
      </c>
      <c r="H999" s="9">
        <v>398473.81338660797</v>
      </c>
      <c r="I999" s="21">
        <f t="shared" si="30"/>
        <v>8244.6379972549621</v>
      </c>
      <c r="J999" s="21">
        <f t="shared" si="31"/>
        <v>10971.165344493988</v>
      </c>
    </row>
    <row r="1000" spans="1:10" hidden="1">
      <c r="A1000" t="s">
        <v>223</v>
      </c>
      <c r="B1000" t="s">
        <v>225</v>
      </c>
      <c r="C1000" s="18">
        <v>2037</v>
      </c>
      <c r="D1000" t="s">
        <v>181</v>
      </c>
      <c r="E1000" s="9">
        <v>687160.68176484597</v>
      </c>
      <c r="F1000" s="9">
        <v>440298.42850241699</v>
      </c>
      <c r="G1000" s="9">
        <v>741261.42723499297</v>
      </c>
      <c r="H1000" s="9">
        <v>455168.18452875799</v>
      </c>
      <c r="I1000" s="21">
        <f t="shared" si="30"/>
        <v>14869.756026340998</v>
      </c>
      <c r="J1000" s="21">
        <f t="shared" si="31"/>
        <v>54100.745470146998</v>
      </c>
    </row>
    <row r="1001" spans="1:10" hidden="1">
      <c r="A1001" t="s">
        <v>223</v>
      </c>
      <c r="B1001" t="s">
        <v>225</v>
      </c>
      <c r="C1001" s="18">
        <v>2037</v>
      </c>
      <c r="D1001" t="s">
        <v>184</v>
      </c>
      <c r="E1001" s="9">
        <v>526725.21630732203</v>
      </c>
      <c r="F1001" s="9">
        <v>301343.92837174103</v>
      </c>
      <c r="G1001" s="9">
        <v>553258.51776135701</v>
      </c>
      <c r="H1001" s="9">
        <v>308666.04356230202</v>
      </c>
      <c r="I1001" s="21">
        <f t="shared" si="30"/>
        <v>7322.1151905609877</v>
      </c>
      <c r="J1001" s="21">
        <f t="shared" si="31"/>
        <v>26533.301454034983</v>
      </c>
    </row>
    <row r="1002" spans="1:10" hidden="1">
      <c r="A1002" t="s">
        <v>223</v>
      </c>
      <c r="B1002" t="s">
        <v>225</v>
      </c>
      <c r="C1002" s="18">
        <v>2037</v>
      </c>
      <c r="D1002" t="s">
        <v>365</v>
      </c>
      <c r="E1002" s="9">
        <v>43891.453579409499</v>
      </c>
      <c r="F1002" s="9">
        <v>7485.7734020874796</v>
      </c>
      <c r="G1002" s="9">
        <v>43886.496639761303</v>
      </c>
      <c r="H1002" s="9">
        <v>7485.6394586101196</v>
      </c>
      <c r="I1002" s="21">
        <f t="shared" si="30"/>
        <v>-0.13394347735993506</v>
      </c>
      <c r="J1002" s="21">
        <f t="shared" si="31"/>
        <v>-4.9569396481965668</v>
      </c>
    </row>
    <row r="1003" spans="1:10" hidden="1">
      <c r="A1003" t="s">
        <v>223</v>
      </c>
      <c r="B1003" t="s">
        <v>225</v>
      </c>
      <c r="C1003" s="18">
        <v>2038</v>
      </c>
      <c r="D1003" t="s">
        <v>167</v>
      </c>
      <c r="E1003" s="9">
        <v>18333.5758038698</v>
      </c>
      <c r="F1003" s="9">
        <v>13125.047605158299</v>
      </c>
      <c r="G1003" s="9">
        <v>18278.619531582299</v>
      </c>
      <c r="H1003" s="9">
        <v>13108.258682167399</v>
      </c>
      <c r="I1003" s="21">
        <f t="shared" si="30"/>
        <v>-16.788922990899664</v>
      </c>
      <c r="J1003" s="21">
        <f t="shared" si="31"/>
        <v>-54.956272287501633</v>
      </c>
    </row>
    <row r="1004" spans="1:10" hidden="1">
      <c r="A1004" t="s">
        <v>223</v>
      </c>
      <c r="B1004" t="s">
        <v>225</v>
      </c>
      <c r="C1004" s="18">
        <v>2038</v>
      </c>
      <c r="D1004" t="s">
        <v>206</v>
      </c>
      <c r="E1004" s="9">
        <v>1118372.77303414</v>
      </c>
      <c r="F1004" s="9">
        <v>231675.99412620801</v>
      </c>
      <c r="G1004" s="9">
        <v>1176286.23006217</v>
      </c>
      <c r="H1004" s="9">
        <v>234286.30240329501</v>
      </c>
      <c r="I1004" s="21">
        <f t="shared" si="30"/>
        <v>2610.3082770869951</v>
      </c>
      <c r="J1004" s="21">
        <f t="shared" si="31"/>
        <v>57913.457028029952</v>
      </c>
    </row>
    <row r="1005" spans="1:10" hidden="1">
      <c r="A1005" t="s">
        <v>223</v>
      </c>
      <c r="B1005" t="s">
        <v>225</v>
      </c>
      <c r="C1005" s="18">
        <v>2038</v>
      </c>
      <c r="D1005" t="s">
        <v>174</v>
      </c>
      <c r="E1005" s="9">
        <v>133328.25553369199</v>
      </c>
      <c r="F1005" s="9">
        <v>89845.172124626304</v>
      </c>
      <c r="G1005" s="9">
        <v>133004.77137127001</v>
      </c>
      <c r="H1005" s="9">
        <v>89762.908504627194</v>
      </c>
      <c r="I1005" s="21">
        <f t="shared" si="30"/>
        <v>-82.263619999110233</v>
      </c>
      <c r="J1005" s="21">
        <f t="shared" si="31"/>
        <v>-323.48416242198437</v>
      </c>
    </row>
    <row r="1006" spans="1:10" hidden="1">
      <c r="A1006" t="s">
        <v>223</v>
      </c>
      <c r="B1006" t="s">
        <v>225</v>
      </c>
      <c r="C1006" s="18">
        <v>2038</v>
      </c>
      <c r="D1006" t="s">
        <v>178</v>
      </c>
      <c r="E1006" s="9">
        <v>425150.43413927697</v>
      </c>
      <c r="F1006" s="9">
        <v>396336.41028344998</v>
      </c>
      <c r="G1006" s="9">
        <v>436878.35953831702</v>
      </c>
      <c r="H1006" s="9">
        <v>405384.95777232101</v>
      </c>
      <c r="I1006" s="21">
        <f t="shared" si="30"/>
        <v>9048.5474888710305</v>
      </c>
      <c r="J1006" s="21">
        <f t="shared" si="31"/>
        <v>11727.925399040047</v>
      </c>
    </row>
    <row r="1007" spans="1:10" hidden="1">
      <c r="A1007" t="s">
        <v>223</v>
      </c>
      <c r="B1007" t="s">
        <v>225</v>
      </c>
      <c r="C1007" s="18">
        <v>2038</v>
      </c>
      <c r="D1007" t="s">
        <v>181</v>
      </c>
      <c r="E1007" s="9">
        <v>695511.65403805498</v>
      </c>
      <c r="F1007" s="9">
        <v>448106.86240015901</v>
      </c>
      <c r="G1007" s="9">
        <v>753560.82214679301</v>
      </c>
      <c r="H1007" s="9">
        <v>465342.91786371003</v>
      </c>
      <c r="I1007" s="21">
        <f t="shared" si="30"/>
        <v>17236.05546355102</v>
      </c>
      <c r="J1007" s="21">
        <f t="shared" si="31"/>
        <v>58049.168108738028</v>
      </c>
    </row>
    <row r="1008" spans="1:10" hidden="1">
      <c r="A1008" t="s">
        <v>223</v>
      </c>
      <c r="B1008" t="s">
        <v>225</v>
      </c>
      <c r="C1008" s="18">
        <v>2038</v>
      </c>
      <c r="D1008" t="s">
        <v>184</v>
      </c>
      <c r="E1008" s="9">
        <v>536878.32439296006</v>
      </c>
      <c r="F1008" s="9">
        <v>310031.28342342202</v>
      </c>
      <c r="G1008" s="9">
        <v>565403.75879938505</v>
      </c>
      <c r="H1008" s="9">
        <v>318461.02224812203</v>
      </c>
      <c r="I1008" s="21">
        <f t="shared" si="30"/>
        <v>8429.7388247000054</v>
      </c>
      <c r="J1008" s="21">
        <f t="shared" si="31"/>
        <v>28525.434406424989</v>
      </c>
    </row>
    <row r="1009" spans="1:10" hidden="1">
      <c r="A1009" t="s">
        <v>223</v>
      </c>
      <c r="B1009" t="s">
        <v>225</v>
      </c>
      <c r="C1009" s="18">
        <v>2038</v>
      </c>
      <c r="D1009" t="s">
        <v>365</v>
      </c>
      <c r="E1009" s="9">
        <v>43737.029664701899</v>
      </c>
      <c r="F1009" s="9">
        <v>7517.9544944620302</v>
      </c>
      <c r="G1009" s="9">
        <v>43730.744850638199</v>
      </c>
      <c r="H1009" s="9">
        <v>7517.77035327065</v>
      </c>
      <c r="I1009" s="21">
        <f t="shared" si="30"/>
        <v>-0.18414119138014939</v>
      </c>
      <c r="J1009" s="21">
        <f t="shared" si="31"/>
        <v>-6.2848140636997414</v>
      </c>
    </row>
    <row r="1010" spans="1:10" hidden="1">
      <c r="A1010" t="s">
        <v>223</v>
      </c>
      <c r="B1010" t="s">
        <v>225</v>
      </c>
      <c r="C1010" s="18">
        <v>2039</v>
      </c>
      <c r="D1010" t="s">
        <v>167</v>
      </c>
      <c r="E1010" s="9">
        <v>18820.758476112202</v>
      </c>
      <c r="F1010" s="9">
        <v>13426.805901048299</v>
      </c>
      <c r="G1010" s="9">
        <v>18752.090499402999</v>
      </c>
      <c r="H1010" s="9">
        <v>13404.669620275599</v>
      </c>
      <c r="I1010" s="21">
        <f t="shared" si="30"/>
        <v>-22.136280772700047</v>
      </c>
      <c r="J1010" s="21">
        <f t="shared" si="31"/>
        <v>-68.667976709202776</v>
      </c>
    </row>
    <row r="1011" spans="1:10" hidden="1">
      <c r="A1011" t="s">
        <v>223</v>
      </c>
      <c r="B1011" t="s">
        <v>225</v>
      </c>
      <c r="C1011" s="18">
        <v>2039</v>
      </c>
      <c r="D1011" t="s">
        <v>206</v>
      </c>
      <c r="E1011" s="9">
        <v>1123639.10906623</v>
      </c>
      <c r="F1011" s="9">
        <v>239086.27533651801</v>
      </c>
      <c r="G1011" s="9">
        <v>1184738.3918449101</v>
      </c>
      <c r="H1011" s="9">
        <v>242132.19115316399</v>
      </c>
      <c r="I1011" s="21">
        <f t="shared" si="30"/>
        <v>3045.915816645982</v>
      </c>
      <c r="J1011" s="21">
        <f t="shared" si="31"/>
        <v>61099.282778680092</v>
      </c>
    </row>
    <row r="1012" spans="1:10" hidden="1">
      <c r="A1012" t="s">
        <v>223</v>
      </c>
      <c r="B1012" t="s">
        <v>225</v>
      </c>
      <c r="C1012" s="18">
        <v>2039</v>
      </c>
      <c r="D1012" t="s">
        <v>174</v>
      </c>
      <c r="E1012" s="9">
        <v>136274.52144094699</v>
      </c>
      <c r="F1012" s="9">
        <v>91825.364196698894</v>
      </c>
      <c r="G1012" s="9">
        <v>135872.13136763001</v>
      </c>
      <c r="H1012" s="9">
        <v>91716.366353602294</v>
      </c>
      <c r="I1012" s="21">
        <f t="shared" si="30"/>
        <v>-108.99784309660026</v>
      </c>
      <c r="J1012" s="21">
        <f t="shared" si="31"/>
        <v>-402.39007331698667</v>
      </c>
    </row>
    <row r="1013" spans="1:10" hidden="1">
      <c r="A1013" t="s">
        <v>223</v>
      </c>
      <c r="B1013" t="s">
        <v>225</v>
      </c>
      <c r="C1013" s="18">
        <v>2039</v>
      </c>
      <c r="D1013" t="s">
        <v>178</v>
      </c>
      <c r="E1013" s="9">
        <v>431467.35726452398</v>
      </c>
      <c r="F1013" s="9">
        <v>402304.14903757302</v>
      </c>
      <c r="G1013" s="9">
        <v>443905.980748337</v>
      </c>
      <c r="H1013" s="9">
        <v>412120.21350488003</v>
      </c>
      <c r="I1013" s="21">
        <f t="shared" si="30"/>
        <v>9816.0644673070055</v>
      </c>
      <c r="J1013" s="21">
        <f t="shared" si="31"/>
        <v>12438.623483813019</v>
      </c>
    </row>
    <row r="1014" spans="1:10" hidden="1">
      <c r="A1014" t="s">
        <v>223</v>
      </c>
      <c r="B1014" t="s">
        <v>225</v>
      </c>
      <c r="C1014" s="18">
        <v>2039</v>
      </c>
      <c r="D1014" t="s">
        <v>181</v>
      </c>
      <c r="E1014" s="9">
        <v>703704.26385555998</v>
      </c>
      <c r="F1014" s="9">
        <v>455604.208076432</v>
      </c>
      <c r="G1014" s="9">
        <v>765528.46783885697</v>
      </c>
      <c r="H1014" s="9">
        <v>475269.78752891801</v>
      </c>
      <c r="I1014" s="21">
        <f t="shared" si="30"/>
        <v>19665.57945248601</v>
      </c>
      <c r="J1014" s="21">
        <f t="shared" si="31"/>
        <v>61824.203983296989</v>
      </c>
    </row>
    <row r="1015" spans="1:10" hidden="1">
      <c r="A1015" t="s">
        <v>223</v>
      </c>
      <c r="B1015" t="s">
        <v>225</v>
      </c>
      <c r="C1015" s="18">
        <v>2039</v>
      </c>
      <c r="D1015" t="s">
        <v>184</v>
      </c>
      <c r="E1015" s="9">
        <v>546981.49867689598</v>
      </c>
      <c r="F1015" s="9">
        <v>318681.01747225202</v>
      </c>
      <c r="G1015" s="9">
        <v>577414.514396235</v>
      </c>
      <c r="H1015" s="9">
        <v>328246.40127636801</v>
      </c>
      <c r="I1015" s="21">
        <f t="shared" si="30"/>
        <v>9565.3838041159906</v>
      </c>
      <c r="J1015" s="21">
        <f t="shared" si="31"/>
        <v>30433.015719339019</v>
      </c>
    </row>
    <row r="1016" spans="1:10" hidden="1">
      <c r="A1016" t="s">
        <v>223</v>
      </c>
      <c r="B1016" t="s">
        <v>225</v>
      </c>
      <c r="C1016" s="18">
        <v>2039</v>
      </c>
      <c r="D1016" t="s">
        <v>365</v>
      </c>
      <c r="E1016" s="9">
        <v>43596.627295609404</v>
      </c>
      <c r="F1016" s="9">
        <v>7547.8042668406897</v>
      </c>
      <c r="G1016" s="9">
        <v>43588.845456636998</v>
      </c>
      <c r="H1016" s="9">
        <v>7547.5598608641003</v>
      </c>
      <c r="I1016" s="21">
        <f t="shared" si="30"/>
        <v>-0.24440597658940533</v>
      </c>
      <c r="J1016" s="21">
        <f t="shared" si="31"/>
        <v>-7.7818389724052395</v>
      </c>
    </row>
    <row r="1017" spans="1:10" hidden="1">
      <c r="A1017" t="s">
        <v>223</v>
      </c>
      <c r="B1017" t="s">
        <v>225</v>
      </c>
      <c r="C1017" s="18">
        <v>2040</v>
      </c>
      <c r="D1017" t="s">
        <v>167</v>
      </c>
      <c r="E1017" s="9">
        <v>19319.9357635985</v>
      </c>
      <c r="F1017" s="9">
        <v>13727.364487287799</v>
      </c>
      <c r="G1017" s="9">
        <v>19235.736542927301</v>
      </c>
      <c r="H1017" s="9">
        <v>13698.9721681132</v>
      </c>
      <c r="I1017" s="21">
        <f t="shared" si="30"/>
        <v>-28.392319174599834</v>
      </c>
      <c r="J1017" s="21">
        <f t="shared" si="31"/>
        <v>-84.199220671198418</v>
      </c>
    </row>
    <row r="1018" spans="1:10" hidden="1">
      <c r="A1018" t="s">
        <v>223</v>
      </c>
      <c r="B1018" t="s">
        <v>225</v>
      </c>
      <c r="C1018" s="18">
        <v>2040</v>
      </c>
      <c r="D1018" t="s">
        <v>206</v>
      </c>
      <c r="E1018" s="9">
        <v>1128582.3130320599</v>
      </c>
      <c r="F1018" s="9">
        <v>246387.526616616</v>
      </c>
      <c r="G1018" s="9">
        <v>1192634.43006365</v>
      </c>
      <c r="H1018" s="9">
        <v>249894.478827588</v>
      </c>
      <c r="I1018" s="21">
        <f t="shared" si="30"/>
        <v>3506.9522109719983</v>
      </c>
      <c r="J1018" s="21">
        <f t="shared" si="31"/>
        <v>64052.117031590082</v>
      </c>
    </row>
    <row r="1019" spans="1:10" hidden="1">
      <c r="A1019" t="s">
        <v>223</v>
      </c>
      <c r="B1019" t="s">
        <v>225</v>
      </c>
      <c r="C1019" s="18">
        <v>2040</v>
      </c>
      <c r="D1019" t="s">
        <v>174</v>
      </c>
      <c r="E1019" s="9">
        <v>139180.39788304301</v>
      </c>
      <c r="F1019" s="9">
        <v>93777.244378637799</v>
      </c>
      <c r="G1019" s="9">
        <v>138689.796610277</v>
      </c>
      <c r="H1019" s="9">
        <v>93636.896760059302</v>
      </c>
      <c r="I1019" s="21">
        <f t="shared" si="30"/>
        <v>-140.34761857849662</v>
      </c>
      <c r="J1019" s="21">
        <f t="shared" si="31"/>
        <v>-490.6012727660127</v>
      </c>
    </row>
    <row r="1020" spans="1:10" hidden="1">
      <c r="A1020" t="s">
        <v>223</v>
      </c>
      <c r="B1020" t="s">
        <v>225</v>
      </c>
      <c r="C1020" s="18">
        <v>2040</v>
      </c>
      <c r="D1020" t="s">
        <v>178</v>
      </c>
      <c r="E1020" s="9">
        <v>437736.075725189</v>
      </c>
      <c r="F1020" s="9">
        <v>408076.90797449503</v>
      </c>
      <c r="G1020" s="9">
        <v>450841.764596063</v>
      </c>
      <c r="H1020" s="9">
        <v>418620.90894817398</v>
      </c>
      <c r="I1020" s="21">
        <f t="shared" si="30"/>
        <v>10544.000973678951</v>
      </c>
      <c r="J1020" s="21">
        <f t="shared" si="31"/>
        <v>13105.688870874001</v>
      </c>
    </row>
    <row r="1021" spans="1:10" hidden="1">
      <c r="A1021" t="s">
        <v>223</v>
      </c>
      <c r="B1021" t="s">
        <v>225</v>
      </c>
      <c r="C1021" s="18">
        <v>2040</v>
      </c>
      <c r="D1021" t="s">
        <v>181</v>
      </c>
      <c r="E1021" s="9">
        <v>711667.154643983</v>
      </c>
      <c r="F1021" s="9">
        <v>462807.86600581201</v>
      </c>
      <c r="G1021" s="9">
        <v>777088.49670209095</v>
      </c>
      <c r="H1021" s="9">
        <v>484947.105425179</v>
      </c>
      <c r="I1021" s="21">
        <f t="shared" si="30"/>
        <v>22139.23941936699</v>
      </c>
      <c r="J1021" s="21">
        <f t="shared" si="31"/>
        <v>65421.342058107955</v>
      </c>
    </row>
    <row r="1022" spans="1:10" hidden="1">
      <c r="A1022" t="s">
        <v>223</v>
      </c>
      <c r="B1022" t="s">
        <v>225</v>
      </c>
      <c r="C1022" s="18">
        <v>2040</v>
      </c>
      <c r="D1022" t="s">
        <v>184</v>
      </c>
      <c r="E1022" s="9">
        <v>557100.75805867801</v>
      </c>
      <c r="F1022" s="9">
        <v>327316.71453698003</v>
      </c>
      <c r="G1022" s="9">
        <v>589359.73383284197</v>
      </c>
      <c r="H1022" s="9">
        <v>338039.01043044601</v>
      </c>
      <c r="I1022" s="21">
        <f t="shared" si="30"/>
        <v>10722.295893465984</v>
      </c>
      <c r="J1022" s="21">
        <f t="shared" si="31"/>
        <v>32258.975774163962</v>
      </c>
    </row>
    <row r="1023" spans="1:10" hidden="1">
      <c r="A1023" t="s">
        <v>223</v>
      </c>
      <c r="B1023" t="s">
        <v>225</v>
      </c>
      <c r="C1023" s="18">
        <v>2040</v>
      </c>
      <c r="D1023" t="s">
        <v>365</v>
      </c>
      <c r="E1023" s="9">
        <v>43474.3078221467</v>
      </c>
      <c r="F1023" s="9">
        <v>7574.0407489353302</v>
      </c>
      <c r="G1023" s="9">
        <v>43464.859681883601</v>
      </c>
      <c r="H1023" s="9">
        <v>7573.7255608269897</v>
      </c>
      <c r="I1023" s="21">
        <f t="shared" si="30"/>
        <v>-0.31518810834040778</v>
      </c>
      <c r="J1023" s="21">
        <f t="shared" si="31"/>
        <v>-9.4481402630990488</v>
      </c>
    </row>
    <row r="1024" spans="1:10" hidden="1">
      <c r="A1024" t="s">
        <v>223</v>
      </c>
      <c r="B1024" t="s">
        <v>225</v>
      </c>
      <c r="C1024" s="18">
        <v>2041</v>
      </c>
      <c r="D1024" t="s">
        <v>167</v>
      </c>
      <c r="E1024" s="9">
        <v>19828.901545608402</v>
      </c>
      <c r="F1024" s="9">
        <v>14027.2153402691</v>
      </c>
      <c r="G1024" s="9">
        <v>19727.283486384</v>
      </c>
      <c r="H1024" s="9">
        <v>13991.606690282801</v>
      </c>
      <c r="I1024" s="21">
        <f t="shared" si="30"/>
        <v>-35.608649986299497</v>
      </c>
      <c r="J1024" s="21">
        <f t="shared" si="31"/>
        <v>-101.6180592244018</v>
      </c>
    </row>
    <row r="1025" spans="1:10" hidden="1">
      <c r="A1025" t="s">
        <v>223</v>
      </c>
      <c r="B1025" t="s">
        <v>225</v>
      </c>
      <c r="C1025" s="18">
        <v>2041</v>
      </c>
      <c r="D1025" t="s">
        <v>206</v>
      </c>
      <c r="E1025" s="9">
        <v>1133204.2270621301</v>
      </c>
      <c r="F1025" s="9">
        <v>253606.96320300299</v>
      </c>
      <c r="G1025" s="9">
        <v>1199988.17586749</v>
      </c>
      <c r="H1025" s="9">
        <v>257599.044002988</v>
      </c>
      <c r="I1025" s="21">
        <f t="shared" si="30"/>
        <v>3992.0807999850076</v>
      </c>
      <c r="J1025" s="21">
        <f t="shared" si="31"/>
        <v>66783.948805359891</v>
      </c>
    </row>
    <row r="1026" spans="1:10" hidden="1">
      <c r="A1026" t="s">
        <v>223</v>
      </c>
      <c r="B1026" t="s">
        <v>225</v>
      </c>
      <c r="C1026" s="18">
        <v>2041</v>
      </c>
      <c r="D1026" t="s">
        <v>174</v>
      </c>
      <c r="E1026" s="9">
        <v>142063.84538021</v>
      </c>
      <c r="F1026" s="9">
        <v>95703.477790237201</v>
      </c>
      <c r="G1026" s="9">
        <v>141475.570851386</v>
      </c>
      <c r="H1026" s="9">
        <v>95527.0063786807</v>
      </c>
      <c r="I1026" s="21">
        <f t="shared" ref="I1026:I1089" si="32">H1026-F1026</f>
        <v>-176.47141155650024</v>
      </c>
      <c r="J1026" s="21">
        <f t="shared" ref="J1026:J1089" si="33">G1026-E1026</f>
        <v>-588.27452882399666</v>
      </c>
    </row>
    <row r="1027" spans="1:10" hidden="1">
      <c r="A1027" t="s">
        <v>223</v>
      </c>
      <c r="B1027" t="s">
        <v>225</v>
      </c>
      <c r="C1027" s="18">
        <v>2041</v>
      </c>
      <c r="D1027" t="s">
        <v>178</v>
      </c>
      <c r="E1027" s="9">
        <v>443968.34048326802</v>
      </c>
      <c r="F1027" s="9">
        <v>413771.47558983997</v>
      </c>
      <c r="G1027" s="9">
        <v>457698.12813480198</v>
      </c>
      <c r="H1027" s="9">
        <v>425005.77720965003</v>
      </c>
      <c r="I1027" s="21">
        <f t="shared" si="32"/>
        <v>11234.301619810052</v>
      </c>
      <c r="J1027" s="21">
        <f t="shared" si="33"/>
        <v>13729.787651533959</v>
      </c>
    </row>
    <row r="1028" spans="1:10" hidden="1">
      <c r="A1028" t="s">
        <v>223</v>
      </c>
      <c r="B1028" t="s">
        <v>225</v>
      </c>
      <c r="C1028" s="18">
        <v>2041</v>
      </c>
      <c r="D1028" t="s">
        <v>181</v>
      </c>
      <c r="E1028" s="9">
        <v>719446.56326772203</v>
      </c>
      <c r="F1028" s="9">
        <v>469750.35617308097</v>
      </c>
      <c r="G1028" s="9">
        <v>788293.24275668897</v>
      </c>
      <c r="H1028" s="9">
        <v>494390.87324825901</v>
      </c>
      <c r="I1028" s="21">
        <f t="shared" si="32"/>
        <v>24640.517075178039</v>
      </c>
      <c r="J1028" s="21">
        <f t="shared" si="33"/>
        <v>68846.67948896694</v>
      </c>
    </row>
    <row r="1029" spans="1:10" hidden="1">
      <c r="A1029" t="s">
        <v>223</v>
      </c>
      <c r="B1029" t="s">
        <v>225</v>
      </c>
      <c r="C1029" s="18">
        <v>2041</v>
      </c>
      <c r="D1029" t="s">
        <v>184</v>
      </c>
      <c r="E1029" s="9">
        <v>567156.62567500898</v>
      </c>
      <c r="F1029" s="9">
        <v>336026.626612333</v>
      </c>
      <c r="G1029" s="9">
        <v>601155.34094696096</v>
      </c>
      <c r="H1029" s="9">
        <v>347924.76632707799</v>
      </c>
      <c r="I1029" s="21">
        <f t="shared" si="32"/>
        <v>11898.13971474499</v>
      </c>
      <c r="J1029" s="21">
        <f t="shared" si="33"/>
        <v>33998.71527195198</v>
      </c>
    </row>
    <row r="1030" spans="1:10" hidden="1">
      <c r="A1030" t="s">
        <v>223</v>
      </c>
      <c r="B1030" t="s">
        <v>225</v>
      </c>
      <c r="C1030" s="18">
        <v>2041</v>
      </c>
      <c r="D1030" t="s">
        <v>365</v>
      </c>
      <c r="E1030" s="9">
        <v>43372.218142999001</v>
      </c>
      <c r="F1030" s="9">
        <v>7596.3923636665404</v>
      </c>
      <c r="G1030" s="9">
        <v>43360.9356755525</v>
      </c>
      <c r="H1030" s="9">
        <v>7595.9953338682099</v>
      </c>
      <c r="I1030" s="21">
        <f t="shared" si="32"/>
        <v>-0.39702979833054997</v>
      </c>
      <c r="J1030" s="21">
        <f t="shared" si="33"/>
        <v>-11.282467446500959</v>
      </c>
    </row>
    <row r="1031" spans="1:10" hidden="1">
      <c r="A1031" t="s">
        <v>223</v>
      </c>
      <c r="B1031" t="s">
        <v>225</v>
      </c>
      <c r="C1031" s="18">
        <v>2042</v>
      </c>
      <c r="D1031" t="s">
        <v>167</v>
      </c>
      <c r="E1031" s="9">
        <v>20343.252343579799</v>
      </c>
      <c r="F1031" s="9">
        <v>14328.465849865501</v>
      </c>
      <c r="G1031" s="9">
        <v>20222.268399164699</v>
      </c>
      <c r="H1031" s="9">
        <v>14284.6169088399</v>
      </c>
      <c r="I1031" s="21">
        <f t="shared" si="32"/>
        <v>-43.848941025600652</v>
      </c>
      <c r="J1031" s="21">
        <f t="shared" si="33"/>
        <v>-120.98394441510027</v>
      </c>
    </row>
    <row r="1032" spans="1:10" hidden="1">
      <c r="A1032" t="s">
        <v>223</v>
      </c>
      <c r="B1032" t="s">
        <v>225</v>
      </c>
      <c r="C1032" s="18">
        <v>2042</v>
      </c>
      <c r="D1032" t="s">
        <v>206</v>
      </c>
      <c r="E1032" s="9">
        <v>1137497.6252325</v>
      </c>
      <c r="F1032" s="9">
        <v>260789.061457014</v>
      </c>
      <c r="G1032" s="9">
        <v>1206799.58929471</v>
      </c>
      <c r="H1032" s="9">
        <v>265289.409116733</v>
      </c>
      <c r="I1032" s="21">
        <f t="shared" si="32"/>
        <v>4500.347659719002</v>
      </c>
      <c r="J1032" s="21">
        <f t="shared" si="33"/>
        <v>69301.96406220994</v>
      </c>
    </row>
    <row r="1033" spans="1:10" hidden="1">
      <c r="A1033" t="s">
        <v>223</v>
      </c>
      <c r="B1033" t="s">
        <v>225</v>
      </c>
      <c r="C1033" s="18">
        <v>2042</v>
      </c>
      <c r="D1033" t="s">
        <v>174</v>
      </c>
      <c r="E1033" s="9">
        <v>144943.79771133</v>
      </c>
      <c r="F1033" s="9">
        <v>97623.702450822602</v>
      </c>
      <c r="G1033" s="9">
        <v>144248.066926011</v>
      </c>
      <c r="H1033" s="9">
        <v>97406.156977096296</v>
      </c>
      <c r="I1033" s="21">
        <f t="shared" si="32"/>
        <v>-217.54547372630623</v>
      </c>
      <c r="J1033" s="21">
        <f t="shared" si="33"/>
        <v>-695.73078531899955</v>
      </c>
    </row>
    <row r="1034" spans="1:10" hidden="1">
      <c r="A1034" t="s">
        <v>223</v>
      </c>
      <c r="B1034" t="s">
        <v>225</v>
      </c>
      <c r="C1034" s="18">
        <v>2042</v>
      </c>
      <c r="D1034" t="s">
        <v>178</v>
      </c>
      <c r="E1034" s="9">
        <v>450175.60872807802</v>
      </c>
      <c r="F1034" s="9">
        <v>419507.552865092</v>
      </c>
      <c r="G1034" s="9">
        <v>464487.03899019101</v>
      </c>
      <c r="H1034" s="9">
        <v>431397.042999706</v>
      </c>
      <c r="I1034" s="21">
        <f t="shared" si="32"/>
        <v>11889.490134613996</v>
      </c>
      <c r="J1034" s="21">
        <f t="shared" si="33"/>
        <v>14311.43026211299</v>
      </c>
    </row>
    <row r="1035" spans="1:10" hidden="1">
      <c r="A1035" t="s">
        <v>223</v>
      </c>
      <c r="B1035" t="s">
        <v>225</v>
      </c>
      <c r="C1035" s="18">
        <v>2042</v>
      </c>
      <c r="D1035" t="s">
        <v>181</v>
      </c>
      <c r="E1035" s="9">
        <v>727118.61993189401</v>
      </c>
      <c r="F1035" s="9">
        <v>476449.583067336</v>
      </c>
      <c r="G1035" s="9">
        <v>799225.499121645</v>
      </c>
      <c r="H1035" s="9">
        <v>503603.80380956898</v>
      </c>
      <c r="I1035" s="21">
        <f t="shared" si="32"/>
        <v>27154.220742232981</v>
      </c>
      <c r="J1035" s="21">
        <f t="shared" si="33"/>
        <v>72106.879189750995</v>
      </c>
    </row>
    <row r="1036" spans="1:10" hidden="1">
      <c r="A1036" t="s">
        <v>223</v>
      </c>
      <c r="B1036" t="s">
        <v>225</v>
      </c>
      <c r="C1036" s="18">
        <v>2042</v>
      </c>
      <c r="D1036" t="s">
        <v>184</v>
      </c>
      <c r="E1036" s="9">
        <v>577020.74954092596</v>
      </c>
      <c r="F1036" s="9">
        <v>344841.12671679002</v>
      </c>
      <c r="G1036" s="9">
        <v>612664.177038008</v>
      </c>
      <c r="H1036" s="9">
        <v>357930.93950443697</v>
      </c>
      <c r="I1036" s="21">
        <f t="shared" si="32"/>
        <v>13089.812787646952</v>
      </c>
      <c r="J1036" s="21">
        <f t="shared" si="33"/>
        <v>35643.427497082041</v>
      </c>
    </row>
    <row r="1037" spans="1:10" hidden="1">
      <c r="A1037" t="s">
        <v>223</v>
      </c>
      <c r="B1037" t="s">
        <v>225</v>
      </c>
      <c r="C1037" s="18">
        <v>2042</v>
      </c>
      <c r="D1037" t="s">
        <v>365</v>
      </c>
      <c r="E1037" s="9">
        <v>43292.012654817801</v>
      </c>
      <c r="F1037" s="9">
        <v>7617.08346152591</v>
      </c>
      <c r="G1037" s="9">
        <v>43278.728481607301</v>
      </c>
      <c r="H1037" s="9">
        <v>7616.5928035502902</v>
      </c>
      <c r="I1037" s="21">
        <f t="shared" si="32"/>
        <v>-0.49065797561979707</v>
      </c>
      <c r="J1037" s="21">
        <f t="shared" si="33"/>
        <v>-13.28417321050074</v>
      </c>
    </row>
    <row r="1038" spans="1:10" hidden="1">
      <c r="A1038" t="s">
        <v>223</v>
      </c>
      <c r="B1038" t="s">
        <v>225</v>
      </c>
      <c r="C1038" s="18">
        <v>2043</v>
      </c>
      <c r="D1038" t="s">
        <v>167</v>
      </c>
      <c r="E1038" s="9">
        <v>20862.950549098401</v>
      </c>
      <c r="F1038" s="9">
        <v>14626.046622755301</v>
      </c>
      <c r="G1038" s="9">
        <v>20720.548205455299</v>
      </c>
      <c r="H1038" s="9">
        <v>14572.883153271399</v>
      </c>
      <c r="I1038" s="21">
        <f t="shared" si="32"/>
        <v>-53.163469483901281</v>
      </c>
      <c r="J1038" s="21">
        <f t="shared" si="33"/>
        <v>-142.40234364310163</v>
      </c>
    </row>
    <row r="1039" spans="1:10" hidden="1">
      <c r="A1039" t="s">
        <v>223</v>
      </c>
      <c r="B1039" t="s">
        <v>225</v>
      </c>
      <c r="C1039" s="18">
        <v>2043</v>
      </c>
      <c r="D1039" t="s">
        <v>206</v>
      </c>
      <c r="E1039" s="9">
        <v>1141437.47543332</v>
      </c>
      <c r="F1039" s="9">
        <v>267920.57343501801</v>
      </c>
      <c r="G1039" s="9">
        <v>1213049.26096591</v>
      </c>
      <c r="H1039" s="9">
        <v>272950.43541917799</v>
      </c>
      <c r="I1039" s="21">
        <f t="shared" si="32"/>
        <v>5029.8619841599721</v>
      </c>
      <c r="J1039" s="21">
        <f t="shared" si="33"/>
        <v>71611.785532590002</v>
      </c>
    </row>
    <row r="1040" spans="1:10" hidden="1">
      <c r="A1040" t="s">
        <v>223</v>
      </c>
      <c r="B1040" t="s">
        <v>225</v>
      </c>
      <c r="C1040" s="18">
        <v>2043</v>
      </c>
      <c r="D1040" t="s">
        <v>174</v>
      </c>
      <c r="E1040" s="9">
        <v>147807.03454911301</v>
      </c>
      <c r="F1040" s="9">
        <v>99535.135045129893</v>
      </c>
      <c r="G1040" s="9">
        <v>146993.81420820701</v>
      </c>
      <c r="H1040" s="9">
        <v>99271.391168072907</v>
      </c>
      <c r="I1040" s="21">
        <f t="shared" si="32"/>
        <v>-263.74387705698609</v>
      </c>
      <c r="J1040" s="21">
        <f t="shared" si="33"/>
        <v>-813.22034090600209</v>
      </c>
    </row>
    <row r="1041" spans="1:10" hidden="1">
      <c r="A1041" t="s">
        <v>223</v>
      </c>
      <c r="B1041" t="s">
        <v>225</v>
      </c>
      <c r="C1041" s="18">
        <v>2043</v>
      </c>
      <c r="D1041" t="s">
        <v>178</v>
      </c>
      <c r="E1041" s="9">
        <v>456305.77625694801</v>
      </c>
      <c r="F1041" s="9">
        <v>425174.07250428299</v>
      </c>
      <c r="G1041" s="9">
        <v>471154.83958066901</v>
      </c>
      <c r="H1041" s="9">
        <v>437679.98847184202</v>
      </c>
      <c r="I1041" s="21">
        <f t="shared" si="32"/>
        <v>12505.915967559034</v>
      </c>
      <c r="J1041" s="21">
        <f t="shared" si="33"/>
        <v>14849.063323720999</v>
      </c>
    </row>
    <row r="1042" spans="1:10" hidden="1">
      <c r="A1042" t="s">
        <v>223</v>
      </c>
      <c r="B1042" t="s">
        <v>225</v>
      </c>
      <c r="C1042" s="18">
        <v>2043</v>
      </c>
      <c r="D1042" t="s">
        <v>181</v>
      </c>
      <c r="E1042" s="9">
        <v>734799.734783074</v>
      </c>
      <c r="F1042" s="9">
        <v>482942.191781873</v>
      </c>
      <c r="G1042" s="9">
        <v>810014.77283431904</v>
      </c>
      <c r="H1042" s="9">
        <v>512610.44917931297</v>
      </c>
      <c r="I1042" s="21">
        <f t="shared" si="32"/>
        <v>29668.257397439971</v>
      </c>
      <c r="J1042" s="21">
        <f t="shared" si="33"/>
        <v>75215.038051245036</v>
      </c>
    </row>
    <row r="1043" spans="1:10" hidden="1">
      <c r="A1043" t="s">
        <v>223</v>
      </c>
      <c r="B1043" t="s">
        <v>225</v>
      </c>
      <c r="C1043" s="18">
        <v>2043</v>
      </c>
      <c r="D1043" t="s">
        <v>184</v>
      </c>
      <c r="E1043" s="9">
        <v>586757.00971655897</v>
      </c>
      <c r="F1043" s="9">
        <v>353670.20835343201</v>
      </c>
      <c r="G1043" s="9">
        <v>623953.35649413895</v>
      </c>
      <c r="H1043" s="9">
        <v>367959.059248153</v>
      </c>
      <c r="I1043" s="21">
        <f t="shared" si="32"/>
        <v>14288.850894720992</v>
      </c>
      <c r="J1043" s="21">
        <f t="shared" si="33"/>
        <v>37196.34677757998</v>
      </c>
    </row>
    <row r="1044" spans="1:10" hidden="1">
      <c r="A1044" t="s">
        <v>223</v>
      </c>
      <c r="B1044" t="s">
        <v>225</v>
      </c>
      <c r="C1044" s="18">
        <v>2043</v>
      </c>
      <c r="D1044" t="s">
        <v>365</v>
      </c>
      <c r="E1044" s="9">
        <v>43247.591800830298</v>
      </c>
      <c r="F1044" s="9">
        <v>7635.2348472378299</v>
      </c>
      <c r="G1044" s="9">
        <v>43232.1385441846</v>
      </c>
      <c r="H1044" s="9">
        <v>7634.6380979097503</v>
      </c>
      <c r="I1044" s="21">
        <f t="shared" si="32"/>
        <v>-0.59674932807956793</v>
      </c>
      <c r="J1044" s="21">
        <f t="shared" si="33"/>
        <v>-15.453256645698275</v>
      </c>
    </row>
    <row r="1045" spans="1:10" hidden="1">
      <c r="A1045" t="s">
        <v>223</v>
      </c>
      <c r="B1045" t="s">
        <v>225</v>
      </c>
      <c r="C1045" s="18">
        <v>2044</v>
      </c>
      <c r="D1045" t="s">
        <v>167</v>
      </c>
      <c r="E1045" s="9">
        <v>21386.216209725098</v>
      </c>
      <c r="F1045" s="9">
        <v>14925.0238992429</v>
      </c>
      <c r="G1045" s="9">
        <v>21220.2473713984</v>
      </c>
      <c r="H1045" s="9">
        <v>14861.4315691186</v>
      </c>
      <c r="I1045" s="21">
        <f t="shared" si="32"/>
        <v>-63.592330124300133</v>
      </c>
      <c r="J1045" s="21">
        <f t="shared" si="33"/>
        <v>-165.96883832669846</v>
      </c>
    </row>
    <row r="1046" spans="1:10" hidden="1">
      <c r="A1046" t="s">
        <v>223</v>
      </c>
      <c r="B1046" t="s">
        <v>225</v>
      </c>
      <c r="C1046" s="18">
        <v>2044</v>
      </c>
      <c r="D1046" t="s">
        <v>206</v>
      </c>
      <c r="E1046" s="9">
        <v>1145251.3882566099</v>
      </c>
      <c r="F1046" s="9">
        <v>274927.79919972701</v>
      </c>
      <c r="G1046" s="9">
        <v>1218988.4670045001</v>
      </c>
      <c r="H1046" s="9">
        <v>280506.44153550803</v>
      </c>
      <c r="I1046" s="21">
        <f t="shared" si="32"/>
        <v>5578.6423357810127</v>
      </c>
      <c r="J1046" s="21">
        <f t="shared" si="33"/>
        <v>73737.078747890191</v>
      </c>
    </row>
    <row r="1047" spans="1:10" hidden="1">
      <c r="A1047" t="s">
        <v>223</v>
      </c>
      <c r="B1047" t="s">
        <v>225</v>
      </c>
      <c r="C1047" s="18">
        <v>2044</v>
      </c>
      <c r="D1047" t="s">
        <v>174</v>
      </c>
      <c r="E1047" s="9">
        <v>150637.15207425601</v>
      </c>
      <c r="F1047" s="9">
        <v>101427.489887634</v>
      </c>
      <c r="G1047" s="9">
        <v>149696.21396730101</v>
      </c>
      <c r="H1047" s="9">
        <v>101112.290089553</v>
      </c>
      <c r="I1047" s="21">
        <f t="shared" si="32"/>
        <v>-315.19979808099743</v>
      </c>
      <c r="J1047" s="21">
        <f t="shared" si="33"/>
        <v>-940.93810695499997</v>
      </c>
    </row>
    <row r="1048" spans="1:10" hidden="1">
      <c r="A1048" t="s">
        <v>223</v>
      </c>
      <c r="B1048" t="s">
        <v>225</v>
      </c>
      <c r="C1048" s="18">
        <v>2044</v>
      </c>
      <c r="D1048" t="s">
        <v>178</v>
      </c>
      <c r="E1048" s="9">
        <v>462242.342577976</v>
      </c>
      <c r="F1048" s="9">
        <v>430719.32949616702</v>
      </c>
      <c r="G1048" s="9">
        <v>477581.31483664498</v>
      </c>
      <c r="H1048" s="9">
        <v>443800.63719739497</v>
      </c>
      <c r="I1048" s="21">
        <f t="shared" si="32"/>
        <v>13081.307701227954</v>
      </c>
      <c r="J1048" s="21">
        <f t="shared" si="33"/>
        <v>15338.972258668975</v>
      </c>
    </row>
    <row r="1049" spans="1:10" hidden="1">
      <c r="A1049" t="s">
        <v>223</v>
      </c>
      <c r="B1049" t="s">
        <v>225</v>
      </c>
      <c r="C1049" s="18">
        <v>2044</v>
      </c>
      <c r="D1049" t="s">
        <v>181</v>
      </c>
      <c r="E1049" s="9">
        <v>742561.26704247796</v>
      </c>
      <c r="F1049" s="9">
        <v>489247.44748026098</v>
      </c>
      <c r="G1049" s="9">
        <v>820742.37012193399</v>
      </c>
      <c r="H1049" s="9">
        <v>521420.17033099697</v>
      </c>
      <c r="I1049" s="21">
        <f t="shared" si="32"/>
        <v>32172.722850735998</v>
      </c>
      <c r="J1049" s="21">
        <f t="shared" si="33"/>
        <v>78181.103079456021</v>
      </c>
    </row>
    <row r="1050" spans="1:10" hidden="1">
      <c r="A1050" t="s">
        <v>223</v>
      </c>
      <c r="B1050" t="s">
        <v>225</v>
      </c>
      <c r="C1050" s="18">
        <v>2044</v>
      </c>
      <c r="D1050" t="s">
        <v>184</v>
      </c>
      <c r="E1050" s="9">
        <v>596366.93209512497</v>
      </c>
      <c r="F1050" s="9">
        <v>362431.94695949199</v>
      </c>
      <c r="G1050" s="9">
        <v>635024.54646764905</v>
      </c>
      <c r="H1050" s="9">
        <v>377918.58989895799</v>
      </c>
      <c r="I1050" s="21">
        <f t="shared" si="32"/>
        <v>15486.642939465994</v>
      </c>
      <c r="J1050" s="21">
        <f t="shared" si="33"/>
        <v>38657.614372524084</v>
      </c>
    </row>
    <row r="1051" spans="1:10" hidden="1">
      <c r="A1051" t="s">
        <v>223</v>
      </c>
      <c r="B1051" t="s">
        <v>225</v>
      </c>
      <c r="C1051" s="18">
        <v>2044</v>
      </c>
      <c r="D1051" t="s">
        <v>365</v>
      </c>
      <c r="E1051" s="9">
        <v>43220.4173056242</v>
      </c>
      <c r="F1051" s="9">
        <v>7653.4378549314497</v>
      </c>
      <c r="G1051" s="9">
        <v>43202.630038859497</v>
      </c>
      <c r="H1051" s="9">
        <v>7652.7218257366803</v>
      </c>
      <c r="I1051" s="21">
        <f t="shared" si="32"/>
        <v>-0.71602919476936222</v>
      </c>
      <c r="J1051" s="21">
        <f t="shared" si="33"/>
        <v>-17.787266764702508</v>
      </c>
    </row>
    <row r="1052" spans="1:10" hidden="1">
      <c r="A1052" t="s">
        <v>223</v>
      </c>
      <c r="B1052" t="s">
        <v>225</v>
      </c>
      <c r="C1052" s="18">
        <v>2045</v>
      </c>
      <c r="D1052" t="s">
        <v>167</v>
      </c>
      <c r="E1052" s="9">
        <v>21909.339044748001</v>
      </c>
      <c r="F1052" s="9">
        <v>15223.469875941</v>
      </c>
      <c r="G1052" s="9">
        <v>21717.616521529701</v>
      </c>
      <c r="H1052" s="9">
        <v>15148.297956242301</v>
      </c>
      <c r="I1052" s="21">
        <f t="shared" si="32"/>
        <v>-75.171919698699639</v>
      </c>
      <c r="J1052" s="21">
        <f t="shared" si="33"/>
        <v>-191.72252321830092</v>
      </c>
    </row>
    <row r="1053" spans="1:10" hidden="1">
      <c r="A1053" t="s">
        <v>223</v>
      </c>
      <c r="B1053" t="s">
        <v>225</v>
      </c>
      <c r="C1053" s="18">
        <v>2045</v>
      </c>
      <c r="D1053" t="s">
        <v>206</v>
      </c>
      <c r="E1053" s="9">
        <v>1148978.8379084701</v>
      </c>
      <c r="F1053" s="9">
        <v>281780.638165718</v>
      </c>
      <c r="G1053" s="9">
        <v>1224668.96644768</v>
      </c>
      <c r="H1053" s="9">
        <v>287925.04322278401</v>
      </c>
      <c r="I1053" s="21">
        <f t="shared" si="32"/>
        <v>6144.4050570660038</v>
      </c>
      <c r="J1053" s="21">
        <f t="shared" si="33"/>
        <v>75690.128539209953</v>
      </c>
    </row>
    <row r="1054" spans="1:10" hidden="1">
      <c r="A1054" t="s">
        <v>223</v>
      </c>
      <c r="B1054" t="s">
        <v>225</v>
      </c>
      <c r="C1054" s="18">
        <v>2045</v>
      </c>
      <c r="D1054" t="s">
        <v>174</v>
      </c>
      <c r="E1054" s="9">
        <v>153416.971208278</v>
      </c>
      <c r="F1054" s="9">
        <v>103307.347235205</v>
      </c>
      <c r="G1054" s="9">
        <v>152338.05281588601</v>
      </c>
      <c r="H1054" s="9">
        <v>102935.314985138</v>
      </c>
      <c r="I1054" s="21">
        <f t="shared" si="32"/>
        <v>-372.03225006700086</v>
      </c>
      <c r="J1054" s="21">
        <f t="shared" si="33"/>
        <v>-1078.9183923919918</v>
      </c>
    </row>
    <row r="1055" spans="1:10" hidden="1">
      <c r="A1055" t="s">
        <v>223</v>
      </c>
      <c r="B1055" t="s">
        <v>225</v>
      </c>
      <c r="C1055" s="18">
        <v>2045</v>
      </c>
      <c r="D1055" t="s">
        <v>178</v>
      </c>
      <c r="E1055" s="9">
        <v>467943.37400773098</v>
      </c>
      <c r="F1055" s="9">
        <v>436103.91696641099</v>
      </c>
      <c r="G1055" s="9">
        <v>483723.51612219802</v>
      </c>
      <c r="H1055" s="9">
        <v>449717.558047709</v>
      </c>
      <c r="I1055" s="21">
        <f t="shared" si="32"/>
        <v>13613.641081298003</v>
      </c>
      <c r="J1055" s="21">
        <f t="shared" si="33"/>
        <v>15780.142114467046</v>
      </c>
    </row>
    <row r="1056" spans="1:10" hidden="1">
      <c r="A1056" t="s">
        <v>223</v>
      </c>
      <c r="B1056" t="s">
        <v>225</v>
      </c>
      <c r="C1056" s="18">
        <v>2045</v>
      </c>
      <c r="D1056" t="s">
        <v>181</v>
      </c>
      <c r="E1056" s="9">
        <v>750456.763539779</v>
      </c>
      <c r="F1056" s="9">
        <v>495340.04584959103</v>
      </c>
      <c r="G1056" s="9">
        <v>831470.21009817696</v>
      </c>
      <c r="H1056" s="9">
        <v>529994.22695920803</v>
      </c>
      <c r="I1056" s="21">
        <f t="shared" si="32"/>
        <v>34654.181109616999</v>
      </c>
      <c r="J1056" s="21">
        <f t="shared" si="33"/>
        <v>81013.446558397962</v>
      </c>
    </row>
    <row r="1057" spans="1:10" hidden="1">
      <c r="A1057" t="s">
        <v>223</v>
      </c>
      <c r="B1057" t="s">
        <v>225</v>
      </c>
      <c r="C1057" s="18">
        <v>2045</v>
      </c>
      <c r="D1057" t="s">
        <v>184</v>
      </c>
      <c r="E1057" s="9">
        <v>605712.34584150801</v>
      </c>
      <c r="F1057" s="9">
        <v>371076.11367919802</v>
      </c>
      <c r="G1057" s="9">
        <v>645730.44769895996</v>
      </c>
      <c r="H1057" s="9">
        <v>387750.67878189799</v>
      </c>
      <c r="I1057" s="21">
        <f t="shared" si="32"/>
        <v>16674.565102699969</v>
      </c>
      <c r="J1057" s="21">
        <f t="shared" si="33"/>
        <v>40018.101857451955</v>
      </c>
    </row>
    <row r="1058" spans="1:10" hidden="1">
      <c r="A1058" t="s">
        <v>223</v>
      </c>
      <c r="B1058" t="s">
        <v>225</v>
      </c>
      <c r="C1058" s="18">
        <v>2045</v>
      </c>
      <c r="D1058" t="s">
        <v>365</v>
      </c>
      <c r="E1058" s="9">
        <v>43210.8870213259</v>
      </c>
      <c r="F1058" s="9">
        <v>7672.9174127013503</v>
      </c>
      <c r="G1058" s="9">
        <v>43190.603751316099</v>
      </c>
      <c r="H1058" s="9">
        <v>7672.0682267846396</v>
      </c>
      <c r="I1058" s="21">
        <f t="shared" si="32"/>
        <v>-0.84918591671066679</v>
      </c>
      <c r="J1058" s="21">
        <f t="shared" si="33"/>
        <v>-20.283270009800617</v>
      </c>
    </row>
    <row r="1059" spans="1:10" hidden="1">
      <c r="A1059" t="s">
        <v>223</v>
      </c>
      <c r="B1059" t="s">
        <v>225</v>
      </c>
      <c r="C1059" s="18">
        <v>2046</v>
      </c>
      <c r="D1059" t="s">
        <v>167</v>
      </c>
      <c r="E1059" s="9">
        <v>22430.680302070501</v>
      </c>
      <c r="F1059" s="9">
        <v>15524.8927603764</v>
      </c>
      <c r="G1059" s="9">
        <v>22210.974521910699</v>
      </c>
      <c r="H1059" s="9">
        <v>15436.8918612077</v>
      </c>
      <c r="I1059" s="21">
        <f t="shared" si="32"/>
        <v>-88.000899168700926</v>
      </c>
      <c r="J1059" s="21">
        <f t="shared" si="33"/>
        <v>-219.70578015980209</v>
      </c>
    </row>
    <row r="1060" spans="1:10" hidden="1">
      <c r="A1060" t="s">
        <v>223</v>
      </c>
      <c r="B1060" t="s">
        <v>225</v>
      </c>
      <c r="C1060" s="18">
        <v>2046</v>
      </c>
      <c r="D1060" t="s">
        <v>206</v>
      </c>
      <c r="E1060" s="9">
        <v>1152642.8015536901</v>
      </c>
      <c r="F1060" s="9">
        <v>288441.49310611701</v>
      </c>
      <c r="G1060" s="9">
        <v>1230125.0687766999</v>
      </c>
      <c r="H1060" s="9">
        <v>295165.87720880198</v>
      </c>
      <c r="I1060" s="21">
        <f t="shared" si="32"/>
        <v>6724.3841026849695</v>
      </c>
      <c r="J1060" s="21">
        <f t="shared" si="33"/>
        <v>77482.26722300984</v>
      </c>
    </row>
    <row r="1061" spans="1:10" hidden="1">
      <c r="A1061" t="s">
        <v>223</v>
      </c>
      <c r="B1061" t="s">
        <v>225</v>
      </c>
      <c r="C1061" s="18">
        <v>2046</v>
      </c>
      <c r="D1061" t="s">
        <v>174</v>
      </c>
      <c r="E1061" s="9">
        <v>156146.47988308</v>
      </c>
      <c r="F1061" s="9">
        <v>105165.498615017</v>
      </c>
      <c r="G1061" s="9">
        <v>154919.18519988199</v>
      </c>
      <c r="H1061" s="9">
        <v>104731.13398431199</v>
      </c>
      <c r="I1061" s="21">
        <f t="shared" si="32"/>
        <v>-434.36463070500758</v>
      </c>
      <c r="J1061" s="21">
        <f t="shared" si="33"/>
        <v>-1227.294683198008</v>
      </c>
    </row>
    <row r="1062" spans="1:10" hidden="1">
      <c r="A1062" t="s">
        <v>223</v>
      </c>
      <c r="B1062" t="s">
        <v>225</v>
      </c>
      <c r="C1062" s="18">
        <v>2046</v>
      </c>
      <c r="D1062" t="s">
        <v>178</v>
      </c>
      <c r="E1062" s="9">
        <v>473387.58525521099</v>
      </c>
      <c r="F1062" s="9">
        <v>441211.23902126099</v>
      </c>
      <c r="G1062" s="9">
        <v>489559.56948849699</v>
      </c>
      <c r="H1062" s="9">
        <v>455310.080020589</v>
      </c>
      <c r="I1062" s="21">
        <f t="shared" si="32"/>
        <v>14098.840999328007</v>
      </c>
      <c r="J1062" s="21">
        <f t="shared" si="33"/>
        <v>16171.984233285999</v>
      </c>
    </row>
    <row r="1063" spans="1:10" hidden="1">
      <c r="A1063" t="s">
        <v>223</v>
      </c>
      <c r="B1063" t="s">
        <v>225</v>
      </c>
      <c r="C1063" s="18">
        <v>2046</v>
      </c>
      <c r="D1063" t="s">
        <v>181</v>
      </c>
      <c r="E1063" s="9">
        <v>758323.76484339999</v>
      </c>
      <c r="F1063" s="9">
        <v>501331.079374886</v>
      </c>
      <c r="G1063" s="9">
        <v>842022.211146035</v>
      </c>
      <c r="H1063" s="9">
        <v>538440.16822828504</v>
      </c>
      <c r="I1063" s="21">
        <f t="shared" si="32"/>
        <v>37109.088853399036</v>
      </c>
      <c r="J1063" s="21">
        <f t="shared" si="33"/>
        <v>83698.446302635013</v>
      </c>
    </row>
    <row r="1064" spans="1:10" hidden="1">
      <c r="A1064" t="s">
        <v>223</v>
      </c>
      <c r="B1064" t="s">
        <v>225</v>
      </c>
      <c r="C1064" s="18">
        <v>2046</v>
      </c>
      <c r="D1064" t="s">
        <v>184</v>
      </c>
      <c r="E1064" s="9">
        <v>614749.72986190498</v>
      </c>
      <c r="F1064" s="9">
        <v>379586.74637699599</v>
      </c>
      <c r="G1064" s="9">
        <v>656023.20384824695</v>
      </c>
      <c r="H1064" s="9">
        <v>397431.95060261199</v>
      </c>
      <c r="I1064" s="21">
        <f t="shared" si="32"/>
        <v>17845.204225616006</v>
      </c>
      <c r="J1064" s="21">
        <f t="shared" si="33"/>
        <v>41273.473986341967</v>
      </c>
    </row>
    <row r="1065" spans="1:10" hidden="1">
      <c r="A1065" t="s">
        <v>223</v>
      </c>
      <c r="B1065" t="s">
        <v>225</v>
      </c>
      <c r="C1065" s="18">
        <v>2046</v>
      </c>
      <c r="D1065" t="s">
        <v>365</v>
      </c>
      <c r="E1065" s="9">
        <v>43219.253914142901</v>
      </c>
      <c r="F1065" s="9">
        <v>7694.5537156005003</v>
      </c>
      <c r="G1065" s="9">
        <v>43196.310323112302</v>
      </c>
      <c r="H1065" s="9">
        <v>7693.5570486562501</v>
      </c>
      <c r="I1065" s="21">
        <f t="shared" si="32"/>
        <v>-0.99666694425013702</v>
      </c>
      <c r="J1065" s="21">
        <f t="shared" si="33"/>
        <v>-22.943591030598327</v>
      </c>
    </row>
    <row r="1066" spans="1:10" hidden="1">
      <c r="A1066" t="s">
        <v>223</v>
      </c>
      <c r="B1066" t="s">
        <v>225</v>
      </c>
      <c r="C1066" s="18">
        <v>2047</v>
      </c>
      <c r="D1066" t="s">
        <v>167</v>
      </c>
      <c r="E1066" s="9">
        <v>22949.6419403254</v>
      </c>
      <c r="F1066" s="9">
        <v>15830.6589817605</v>
      </c>
      <c r="G1066" s="9">
        <v>22699.6629629007</v>
      </c>
      <c r="H1066" s="9">
        <v>15728.485494730299</v>
      </c>
      <c r="I1066" s="21">
        <f t="shared" si="32"/>
        <v>-102.1734870302007</v>
      </c>
      <c r="J1066" s="21">
        <f t="shared" si="33"/>
        <v>-249.97897742470013</v>
      </c>
    </row>
    <row r="1067" spans="1:10" hidden="1">
      <c r="A1067" t="s">
        <v>223</v>
      </c>
      <c r="B1067" t="s">
        <v>225</v>
      </c>
      <c r="C1067" s="18">
        <v>2047</v>
      </c>
      <c r="D1067" t="s">
        <v>206</v>
      </c>
      <c r="E1067" s="9">
        <v>1156157.9326832199</v>
      </c>
      <c r="F1067" s="9">
        <v>294864.82600543299</v>
      </c>
      <c r="G1067" s="9">
        <v>1235274.66521773</v>
      </c>
      <c r="H1067" s="9">
        <v>302180.55031250097</v>
      </c>
      <c r="I1067" s="21">
        <f t="shared" si="32"/>
        <v>7315.7243070679833</v>
      </c>
      <c r="J1067" s="21">
        <f t="shared" si="33"/>
        <v>79116.732534510083</v>
      </c>
    </row>
    <row r="1068" spans="1:10" hidden="1">
      <c r="A1068" t="s">
        <v>223</v>
      </c>
      <c r="B1068" t="s">
        <v>225</v>
      </c>
      <c r="C1068" s="18">
        <v>2047</v>
      </c>
      <c r="D1068" t="s">
        <v>174</v>
      </c>
      <c r="E1068" s="9">
        <v>158822.131167096</v>
      </c>
      <c r="F1068" s="9">
        <v>106990.005928556</v>
      </c>
      <c r="G1068" s="9">
        <v>157435.937342911</v>
      </c>
      <c r="H1068" s="9">
        <v>106487.67776034201</v>
      </c>
      <c r="I1068" s="21">
        <f t="shared" si="32"/>
        <v>-502.32816821399319</v>
      </c>
      <c r="J1068" s="21">
        <f t="shared" si="33"/>
        <v>-1386.1938241850003</v>
      </c>
    </row>
    <row r="1069" spans="1:10" hidden="1">
      <c r="A1069" t="s">
        <v>223</v>
      </c>
      <c r="B1069" t="s">
        <v>225</v>
      </c>
      <c r="C1069" s="18">
        <v>2047</v>
      </c>
      <c r="D1069" t="s">
        <v>178</v>
      </c>
      <c r="E1069" s="9">
        <v>478534.18870616303</v>
      </c>
      <c r="F1069" s="9">
        <v>446004.10478860303</v>
      </c>
      <c r="G1069" s="9">
        <v>495047.33168069902</v>
      </c>
      <c r="H1069" s="9">
        <v>460539.427749469</v>
      </c>
      <c r="I1069" s="21">
        <f t="shared" si="32"/>
        <v>14535.322960865975</v>
      </c>
      <c r="J1069" s="21">
        <f t="shared" si="33"/>
        <v>16513.142974535993</v>
      </c>
    </row>
    <row r="1070" spans="1:10" hidden="1">
      <c r="A1070" t="s">
        <v>223</v>
      </c>
      <c r="B1070" t="s">
        <v>225</v>
      </c>
      <c r="C1070" s="18">
        <v>2047</v>
      </c>
      <c r="D1070" t="s">
        <v>181</v>
      </c>
      <c r="E1070" s="9">
        <v>766119.37811814295</v>
      </c>
      <c r="F1070" s="9">
        <v>507355.40148323501</v>
      </c>
      <c r="G1070" s="9">
        <v>852357.03689663101</v>
      </c>
      <c r="H1070" s="9">
        <v>546892.884748123</v>
      </c>
      <c r="I1070" s="21">
        <f t="shared" si="32"/>
        <v>39537.483264887996</v>
      </c>
      <c r="J1070" s="21">
        <f t="shared" si="33"/>
        <v>86237.658778488054</v>
      </c>
    </row>
    <row r="1071" spans="1:10" hidden="1">
      <c r="A1071" t="s">
        <v>223</v>
      </c>
      <c r="B1071" t="s">
        <v>225</v>
      </c>
      <c r="C1071" s="18">
        <v>2047</v>
      </c>
      <c r="D1071" t="s">
        <v>184</v>
      </c>
      <c r="E1071" s="9">
        <v>623533.98342734703</v>
      </c>
      <c r="F1071" s="9">
        <v>387947.28257464798</v>
      </c>
      <c r="G1071" s="9">
        <v>665960.53053760703</v>
      </c>
      <c r="H1071" s="9">
        <v>406938.30985862098</v>
      </c>
      <c r="I1071" s="21">
        <f t="shared" si="32"/>
        <v>18991.027283973002</v>
      </c>
      <c r="J1071" s="21">
        <f t="shared" si="33"/>
        <v>42426.547110259999</v>
      </c>
    </row>
    <row r="1072" spans="1:10" hidden="1">
      <c r="A1072" t="s">
        <v>223</v>
      </c>
      <c r="B1072" t="s">
        <v>225</v>
      </c>
      <c r="C1072" s="18">
        <v>2047</v>
      </c>
      <c r="D1072" t="s">
        <v>365</v>
      </c>
      <c r="E1072" s="9">
        <v>43243.406160370498</v>
      </c>
      <c r="F1072" s="9">
        <v>7717.4233773306596</v>
      </c>
      <c r="G1072" s="9">
        <v>43217.634192350401</v>
      </c>
      <c r="H1072" s="9">
        <v>7716.2645250788601</v>
      </c>
      <c r="I1072" s="21">
        <f t="shared" si="32"/>
        <v>-1.1588522517995443</v>
      </c>
      <c r="J1072" s="21">
        <f t="shared" si="33"/>
        <v>-25.77196802009712</v>
      </c>
    </row>
    <row r="1073" spans="1:10" hidden="1">
      <c r="A1073" t="s">
        <v>223</v>
      </c>
      <c r="B1073" t="s">
        <v>225</v>
      </c>
      <c r="C1073" s="18">
        <v>2048</v>
      </c>
      <c r="D1073" t="s">
        <v>167</v>
      </c>
      <c r="E1073" s="9">
        <v>23462.327180730699</v>
      </c>
      <c r="F1073" s="9">
        <v>16142.8982897224</v>
      </c>
      <c r="G1073" s="9">
        <v>23179.777529823201</v>
      </c>
      <c r="H1073" s="9">
        <v>16025.2187605858</v>
      </c>
      <c r="I1073" s="21">
        <f t="shared" si="32"/>
        <v>-117.67952913659974</v>
      </c>
      <c r="J1073" s="21">
        <f t="shared" si="33"/>
        <v>-282.54965090749829</v>
      </c>
    </row>
    <row r="1074" spans="1:10" hidden="1">
      <c r="A1074" t="s">
        <v>223</v>
      </c>
      <c r="B1074" t="s">
        <v>225</v>
      </c>
      <c r="C1074" s="18">
        <v>2048</v>
      </c>
      <c r="D1074" t="s">
        <v>206</v>
      </c>
      <c r="E1074" s="9">
        <v>1159601.12286498</v>
      </c>
      <c r="F1074" s="9">
        <v>301047.589468566</v>
      </c>
      <c r="G1074" s="9">
        <v>1240209.10376068</v>
      </c>
      <c r="H1074" s="9">
        <v>308964.31037728197</v>
      </c>
      <c r="I1074" s="21">
        <f t="shared" si="32"/>
        <v>7916.7209087159717</v>
      </c>
      <c r="J1074" s="21">
        <f t="shared" si="33"/>
        <v>80607.980895699933</v>
      </c>
    </row>
    <row r="1075" spans="1:10" hidden="1">
      <c r="A1075" t="s">
        <v>223</v>
      </c>
      <c r="B1075" t="s">
        <v>225</v>
      </c>
      <c r="C1075" s="18">
        <v>2048</v>
      </c>
      <c r="D1075" t="s">
        <v>174</v>
      </c>
      <c r="E1075" s="9">
        <v>161432.52099095099</v>
      </c>
      <c r="F1075" s="9">
        <v>108781.282256024</v>
      </c>
      <c r="G1075" s="9">
        <v>159877.06955740901</v>
      </c>
      <c r="H1075" s="9">
        <v>108205.309376064</v>
      </c>
      <c r="I1075" s="21">
        <f t="shared" si="32"/>
        <v>-575.97287995999795</v>
      </c>
      <c r="J1075" s="21">
        <f t="shared" si="33"/>
        <v>-1555.4514335419808</v>
      </c>
    </row>
    <row r="1076" spans="1:10" hidden="1">
      <c r="A1076" t="s">
        <v>223</v>
      </c>
      <c r="B1076" t="s">
        <v>225</v>
      </c>
      <c r="C1076" s="18">
        <v>2048</v>
      </c>
      <c r="D1076" t="s">
        <v>178</v>
      </c>
      <c r="E1076" s="9">
        <v>483445.149038843</v>
      </c>
      <c r="F1076" s="9">
        <v>450630.61718593398</v>
      </c>
      <c r="G1076" s="9">
        <v>500251.96367663803</v>
      </c>
      <c r="H1076" s="9">
        <v>465558.478994868</v>
      </c>
      <c r="I1076" s="21">
        <f t="shared" si="32"/>
        <v>14927.861808934016</v>
      </c>
      <c r="J1076" s="21">
        <f t="shared" si="33"/>
        <v>16806.814637795032</v>
      </c>
    </row>
    <row r="1077" spans="1:10" hidden="1">
      <c r="A1077" t="s">
        <v>223</v>
      </c>
      <c r="B1077" t="s">
        <v>225</v>
      </c>
      <c r="C1077" s="18">
        <v>2048</v>
      </c>
      <c r="D1077" t="s">
        <v>181</v>
      </c>
      <c r="E1077" s="9">
        <v>773792.41394979402</v>
      </c>
      <c r="F1077" s="9">
        <v>513296.92235417798</v>
      </c>
      <c r="G1077" s="9">
        <v>862421.19766606798</v>
      </c>
      <c r="H1077" s="9">
        <v>555219.25427407597</v>
      </c>
      <c r="I1077" s="21">
        <f t="shared" si="32"/>
        <v>41922.331919897988</v>
      </c>
      <c r="J1077" s="21">
        <f t="shared" si="33"/>
        <v>88628.78371627396</v>
      </c>
    </row>
    <row r="1078" spans="1:10" hidden="1">
      <c r="A1078" t="s">
        <v>223</v>
      </c>
      <c r="B1078" t="s">
        <v>225</v>
      </c>
      <c r="C1078" s="18">
        <v>2048</v>
      </c>
      <c r="D1078" t="s">
        <v>184</v>
      </c>
      <c r="E1078" s="9">
        <v>632059.66035111703</v>
      </c>
      <c r="F1078" s="9">
        <v>396117.57738859701</v>
      </c>
      <c r="G1078" s="9">
        <v>675538.06713143899</v>
      </c>
      <c r="H1078" s="9">
        <v>416221.14564351598</v>
      </c>
      <c r="I1078" s="21">
        <f t="shared" si="32"/>
        <v>20103.568254918966</v>
      </c>
      <c r="J1078" s="21">
        <f t="shared" si="33"/>
        <v>43478.406780321966</v>
      </c>
    </row>
    <row r="1079" spans="1:10" hidden="1">
      <c r="A1079" t="s">
        <v>223</v>
      </c>
      <c r="B1079" t="s">
        <v>225</v>
      </c>
      <c r="C1079" s="18">
        <v>2048</v>
      </c>
      <c r="D1079" t="s">
        <v>365</v>
      </c>
      <c r="E1079" s="9">
        <v>43275.879669901296</v>
      </c>
      <c r="F1079" s="9">
        <v>7742.3047232338404</v>
      </c>
      <c r="G1079" s="9">
        <v>43247.116568268502</v>
      </c>
      <c r="H1079" s="9">
        <v>7740.9682323091401</v>
      </c>
      <c r="I1079" s="21">
        <f t="shared" si="32"/>
        <v>-1.3364909247002288</v>
      </c>
      <c r="J1079" s="21">
        <f t="shared" si="33"/>
        <v>-28.763101632794132</v>
      </c>
    </row>
    <row r="1080" spans="1:10" hidden="1">
      <c r="A1080" t="s">
        <v>223</v>
      </c>
      <c r="B1080" t="s">
        <v>225</v>
      </c>
      <c r="C1080" s="18">
        <v>2049</v>
      </c>
      <c r="D1080" t="s">
        <v>167</v>
      </c>
      <c r="E1080" s="9">
        <v>23967.732189767299</v>
      </c>
      <c r="F1080" s="9">
        <v>16457.1530203972</v>
      </c>
      <c r="G1080" s="9">
        <v>23650.361484044901</v>
      </c>
      <c r="H1080" s="9">
        <v>16322.61151708</v>
      </c>
      <c r="I1080" s="21">
        <f t="shared" si="32"/>
        <v>-134.54150331719939</v>
      </c>
      <c r="J1080" s="21">
        <f t="shared" si="33"/>
        <v>-317.37070572239827</v>
      </c>
    </row>
    <row r="1081" spans="1:10" hidden="1">
      <c r="A1081" t="s">
        <v>223</v>
      </c>
      <c r="B1081" t="s">
        <v>225</v>
      </c>
      <c r="C1081" s="18">
        <v>2049</v>
      </c>
      <c r="D1081" t="s">
        <v>206</v>
      </c>
      <c r="E1081" s="9">
        <v>1162992.8742629399</v>
      </c>
      <c r="F1081" s="9">
        <v>307003.23332168401</v>
      </c>
      <c r="G1081" s="9">
        <v>1244958.37630862</v>
      </c>
      <c r="H1081" s="9">
        <v>315528.65457465599</v>
      </c>
      <c r="I1081" s="21">
        <f t="shared" si="32"/>
        <v>8525.4212529719807</v>
      </c>
      <c r="J1081" s="21">
        <f t="shared" si="33"/>
        <v>81965.50204568007</v>
      </c>
    </row>
    <row r="1082" spans="1:10" hidden="1">
      <c r="A1082" t="s">
        <v>223</v>
      </c>
      <c r="B1082" t="s">
        <v>225</v>
      </c>
      <c r="C1082" s="18">
        <v>2049</v>
      </c>
      <c r="D1082" t="s">
        <v>174</v>
      </c>
      <c r="E1082" s="9">
        <v>163972.89056033501</v>
      </c>
      <c r="F1082" s="9">
        <v>110537.63431743201</v>
      </c>
      <c r="G1082" s="9">
        <v>162238.134685625</v>
      </c>
      <c r="H1082" s="9">
        <v>109882.371148655</v>
      </c>
      <c r="I1082" s="21">
        <f t="shared" si="32"/>
        <v>-655.26316877700447</v>
      </c>
      <c r="J1082" s="21">
        <f t="shared" si="33"/>
        <v>-1734.755874710012</v>
      </c>
    </row>
    <row r="1083" spans="1:10" hidden="1">
      <c r="A1083" t="s">
        <v>223</v>
      </c>
      <c r="B1083" t="s">
        <v>225</v>
      </c>
      <c r="C1083" s="18">
        <v>2049</v>
      </c>
      <c r="D1083" t="s">
        <v>178</v>
      </c>
      <c r="E1083" s="9">
        <v>488160.17036572698</v>
      </c>
      <c r="F1083" s="9">
        <v>455105.96224397502</v>
      </c>
      <c r="G1083" s="9">
        <v>505215.90050813899</v>
      </c>
      <c r="H1083" s="9">
        <v>470383.880162835</v>
      </c>
      <c r="I1083" s="21">
        <f t="shared" si="32"/>
        <v>15277.917918859981</v>
      </c>
      <c r="J1083" s="21">
        <f t="shared" si="33"/>
        <v>17055.730142412009</v>
      </c>
    </row>
    <row r="1084" spans="1:10" hidden="1">
      <c r="A1084" t="s">
        <v>223</v>
      </c>
      <c r="B1084" t="s">
        <v>225</v>
      </c>
      <c r="C1084" s="18">
        <v>2049</v>
      </c>
      <c r="D1084" t="s">
        <v>181</v>
      </c>
      <c r="E1084" s="9">
        <v>781183.38945234602</v>
      </c>
      <c r="F1084" s="9">
        <v>519089.19926389202</v>
      </c>
      <c r="G1084" s="9">
        <v>872039.41256190802</v>
      </c>
      <c r="H1084" s="9">
        <v>563337.76559367101</v>
      </c>
      <c r="I1084" s="21">
        <f t="shared" si="32"/>
        <v>44248.566329778987</v>
      </c>
      <c r="J1084" s="21">
        <f t="shared" si="33"/>
        <v>90856.023109561997</v>
      </c>
    </row>
    <row r="1085" spans="1:10" hidden="1">
      <c r="A1085" t="s">
        <v>223</v>
      </c>
      <c r="B1085" t="s">
        <v>225</v>
      </c>
      <c r="C1085" s="18">
        <v>2049</v>
      </c>
      <c r="D1085" t="s">
        <v>184</v>
      </c>
      <c r="E1085" s="9">
        <v>640365.363572145</v>
      </c>
      <c r="F1085" s="9">
        <v>404037.42171020701</v>
      </c>
      <c r="G1085" s="9">
        <v>684799.51924341801</v>
      </c>
      <c r="H1085" s="9">
        <v>425211.29480666103</v>
      </c>
      <c r="I1085" s="21">
        <f t="shared" si="32"/>
        <v>21173.873096454015</v>
      </c>
      <c r="J1085" s="21">
        <f t="shared" si="33"/>
        <v>44434.155671273009</v>
      </c>
    </row>
    <row r="1086" spans="1:10" hidden="1">
      <c r="A1086" t="s">
        <v>223</v>
      </c>
      <c r="B1086" t="s">
        <v>225</v>
      </c>
      <c r="C1086" s="18">
        <v>2049</v>
      </c>
      <c r="D1086" t="s">
        <v>365</v>
      </c>
      <c r="E1086" s="9">
        <v>43319.601695110803</v>
      </c>
      <c r="F1086" s="9">
        <v>7765.9552446886</v>
      </c>
      <c r="G1086" s="9">
        <v>43287.694118175197</v>
      </c>
      <c r="H1086" s="9">
        <v>7764.4250577338198</v>
      </c>
      <c r="I1086" s="21">
        <f t="shared" si="32"/>
        <v>-1.5301869547802198</v>
      </c>
      <c r="J1086" s="21">
        <f t="shared" si="33"/>
        <v>-31.907576935605903</v>
      </c>
    </row>
    <row r="1087" spans="1:10" hidden="1">
      <c r="A1087" t="s">
        <v>223</v>
      </c>
      <c r="B1087" t="s">
        <v>225</v>
      </c>
      <c r="C1087" s="18">
        <v>2050</v>
      </c>
      <c r="D1087" t="s">
        <v>167</v>
      </c>
      <c r="E1087" s="9">
        <v>24464.818312831001</v>
      </c>
      <c r="F1087" s="9">
        <v>16771.683840608301</v>
      </c>
      <c r="G1087" s="9">
        <v>24110.4306261692</v>
      </c>
      <c r="H1087" s="9">
        <v>16618.923709126098</v>
      </c>
      <c r="I1087" s="21">
        <f t="shared" si="32"/>
        <v>-152.76013148220227</v>
      </c>
      <c r="J1087" s="21">
        <f t="shared" si="33"/>
        <v>-354.38768666180113</v>
      </c>
    </row>
    <row r="1088" spans="1:10" hidden="1">
      <c r="A1088" t="s">
        <v>223</v>
      </c>
      <c r="B1088" t="s">
        <v>225</v>
      </c>
      <c r="C1088" s="18">
        <v>2050</v>
      </c>
      <c r="D1088" t="s">
        <v>206</v>
      </c>
      <c r="E1088" s="9">
        <v>1166374.4916898401</v>
      </c>
      <c r="F1088" s="9">
        <v>312726.20420811098</v>
      </c>
      <c r="G1088" s="9">
        <v>1249574.9812984299</v>
      </c>
      <c r="H1088" s="9">
        <v>321866.14542390499</v>
      </c>
      <c r="I1088" s="21">
        <f t="shared" si="32"/>
        <v>9139.9412157940096</v>
      </c>
      <c r="J1088" s="21">
        <f t="shared" si="33"/>
        <v>83200.489608589793</v>
      </c>
    </row>
    <row r="1089" spans="1:10" hidden="1">
      <c r="A1089" t="s">
        <v>223</v>
      </c>
      <c r="B1089" t="s">
        <v>225</v>
      </c>
      <c r="C1089" s="18">
        <v>2050</v>
      </c>
      <c r="D1089" t="s">
        <v>174</v>
      </c>
      <c r="E1089" s="9">
        <v>166450.76349734401</v>
      </c>
      <c r="F1089" s="9">
        <v>112236.292028317</v>
      </c>
      <c r="G1089" s="9">
        <v>164526.94959842</v>
      </c>
      <c r="H1089" s="9">
        <v>111496.260054028</v>
      </c>
      <c r="I1089" s="21">
        <f t="shared" si="32"/>
        <v>-740.03197428899875</v>
      </c>
      <c r="J1089" s="21">
        <f t="shared" si="33"/>
        <v>-1923.8138989240106</v>
      </c>
    </row>
    <row r="1090" spans="1:10" hidden="1">
      <c r="A1090" t="s">
        <v>223</v>
      </c>
      <c r="B1090" t="s">
        <v>225</v>
      </c>
      <c r="C1090" s="18">
        <v>2050</v>
      </c>
      <c r="D1090" t="s">
        <v>178</v>
      </c>
      <c r="E1090" s="9">
        <v>492663.27067827201</v>
      </c>
      <c r="F1090" s="9">
        <v>459310.82205243601</v>
      </c>
      <c r="G1090" s="9">
        <v>509923.79465326603</v>
      </c>
      <c r="H1090" s="9">
        <v>474893.25455494301</v>
      </c>
      <c r="I1090" s="21">
        <f t="shared" ref="I1090:I1153" si="34">H1090-F1090</f>
        <v>15582.432502506999</v>
      </c>
      <c r="J1090" s="21">
        <f t="shared" ref="J1090:J1153" si="35">G1090-E1090</f>
        <v>17260.523974994023</v>
      </c>
    </row>
    <row r="1091" spans="1:10" hidden="1">
      <c r="A1091" t="s">
        <v>223</v>
      </c>
      <c r="B1091" t="s">
        <v>225</v>
      </c>
      <c r="C1091" s="18">
        <v>2050</v>
      </c>
      <c r="D1091" t="s">
        <v>181</v>
      </c>
      <c r="E1091" s="9">
        <v>788295.74576063396</v>
      </c>
      <c r="F1091" s="9">
        <v>524790.09314840101</v>
      </c>
      <c r="G1091" s="9">
        <v>881220.21017861494</v>
      </c>
      <c r="H1091" s="9">
        <v>571305.13066545594</v>
      </c>
      <c r="I1091" s="21">
        <f t="shared" si="34"/>
        <v>46515.037517054938</v>
      </c>
      <c r="J1091" s="21">
        <f t="shared" si="35"/>
        <v>92924.464417980984</v>
      </c>
    </row>
    <row r="1092" spans="1:10" hidden="1">
      <c r="A1092" t="s">
        <v>223</v>
      </c>
      <c r="B1092" t="s">
        <v>225</v>
      </c>
      <c r="C1092" s="18">
        <v>2050</v>
      </c>
      <c r="D1092" t="s">
        <v>184</v>
      </c>
      <c r="E1092" s="9">
        <v>648530.76557081996</v>
      </c>
      <c r="F1092" s="9">
        <v>411730.130755733</v>
      </c>
      <c r="G1092" s="9">
        <v>693833.37581002596</v>
      </c>
      <c r="H1092" s="9">
        <v>433928.11684243701</v>
      </c>
      <c r="I1092" s="21">
        <f t="shared" si="34"/>
        <v>22197.986086704012</v>
      </c>
      <c r="J1092" s="21">
        <f t="shared" si="35"/>
        <v>45302.610239205998</v>
      </c>
    </row>
    <row r="1093" spans="1:10" hidden="1">
      <c r="A1093" t="s">
        <v>223</v>
      </c>
      <c r="B1093" t="s">
        <v>225</v>
      </c>
      <c r="C1093" s="18">
        <v>2050</v>
      </c>
      <c r="D1093" t="s">
        <v>365</v>
      </c>
      <c r="E1093" s="9">
        <v>43372.530311613598</v>
      </c>
      <c r="F1093" s="9">
        <v>7787.3327815225502</v>
      </c>
      <c r="G1093" s="9">
        <v>43337.334071848098</v>
      </c>
      <c r="H1093" s="9">
        <v>7785.5925162465101</v>
      </c>
      <c r="I1093" s="21">
        <f t="shared" si="34"/>
        <v>-1.7402652760401907</v>
      </c>
      <c r="J1093" s="21">
        <f t="shared" si="35"/>
        <v>-35.19623976550065</v>
      </c>
    </row>
    <row r="1094" spans="1:10" hidden="1">
      <c r="A1094" t="s">
        <v>76</v>
      </c>
      <c r="B1094" t="s">
        <v>366</v>
      </c>
      <c r="C1094" s="18">
        <v>2025</v>
      </c>
      <c r="D1094" t="s">
        <v>167</v>
      </c>
      <c r="E1094" s="9">
        <v>12347.3896757033</v>
      </c>
      <c r="F1094" s="9">
        <v>8975.3084972287597</v>
      </c>
      <c r="G1094" s="9">
        <v>12347.3896757033</v>
      </c>
      <c r="H1094" s="9">
        <v>8975.3084972287597</v>
      </c>
      <c r="I1094" s="21">
        <f t="shared" si="34"/>
        <v>0</v>
      </c>
      <c r="J1094" s="21">
        <f t="shared" si="35"/>
        <v>0</v>
      </c>
    </row>
    <row r="1095" spans="1:10" hidden="1">
      <c r="A1095" t="s">
        <v>76</v>
      </c>
      <c r="B1095" t="s">
        <v>366</v>
      </c>
      <c r="C1095" s="18">
        <v>2025</v>
      </c>
      <c r="D1095" t="s">
        <v>206</v>
      </c>
      <c r="E1095" s="9">
        <v>1026043.97207164</v>
      </c>
      <c r="F1095" s="9">
        <v>129403.02283067199</v>
      </c>
      <c r="G1095" s="9">
        <v>1026043.97207164</v>
      </c>
      <c r="H1095" s="9">
        <v>129403.02283067199</v>
      </c>
      <c r="I1095" s="21">
        <f t="shared" si="34"/>
        <v>0</v>
      </c>
      <c r="J1095" s="21">
        <f t="shared" si="35"/>
        <v>0</v>
      </c>
    </row>
    <row r="1096" spans="1:10" hidden="1">
      <c r="A1096" t="s">
        <v>76</v>
      </c>
      <c r="B1096" t="s">
        <v>366</v>
      </c>
      <c r="C1096" s="18">
        <v>2025</v>
      </c>
      <c r="D1096" t="s">
        <v>174</v>
      </c>
      <c r="E1096" s="9">
        <v>91684.509014274605</v>
      </c>
      <c r="F1096" s="9">
        <v>63318.751825202096</v>
      </c>
      <c r="G1096" s="9">
        <v>91684.509014274605</v>
      </c>
      <c r="H1096" s="9">
        <v>63318.751825202096</v>
      </c>
      <c r="I1096" s="21">
        <f t="shared" si="34"/>
        <v>0</v>
      </c>
      <c r="J1096" s="21">
        <f t="shared" si="35"/>
        <v>0</v>
      </c>
    </row>
    <row r="1097" spans="1:10" hidden="1">
      <c r="A1097" t="s">
        <v>76</v>
      </c>
      <c r="B1097" t="s">
        <v>366</v>
      </c>
      <c r="C1097" s="18">
        <v>2025</v>
      </c>
      <c r="D1097" t="s">
        <v>178</v>
      </c>
      <c r="E1097" s="9">
        <v>327817.99211152899</v>
      </c>
      <c r="F1097" s="9">
        <v>300216.82861998002</v>
      </c>
      <c r="G1097" s="9">
        <v>327817.99211152899</v>
      </c>
      <c r="H1097" s="9">
        <v>300216.82861998002</v>
      </c>
      <c r="I1097" s="21">
        <f t="shared" si="34"/>
        <v>0</v>
      </c>
      <c r="J1097" s="21">
        <f t="shared" si="35"/>
        <v>0</v>
      </c>
    </row>
    <row r="1098" spans="1:10" hidden="1">
      <c r="A1098" t="s">
        <v>76</v>
      </c>
      <c r="B1098" t="s">
        <v>366</v>
      </c>
      <c r="C1098" s="18">
        <v>2025</v>
      </c>
      <c r="D1098" t="s">
        <v>181</v>
      </c>
      <c r="E1098" s="9">
        <v>563964.12892884796</v>
      </c>
      <c r="F1098" s="9">
        <v>321188.16298793198</v>
      </c>
      <c r="G1098" s="9">
        <v>563964.12892884796</v>
      </c>
      <c r="H1098" s="9">
        <v>321188.16298793198</v>
      </c>
      <c r="I1098" s="21">
        <f t="shared" si="34"/>
        <v>0</v>
      </c>
      <c r="J1098" s="21">
        <f t="shared" si="35"/>
        <v>0</v>
      </c>
    </row>
    <row r="1099" spans="1:10" hidden="1">
      <c r="A1099" t="s">
        <v>76</v>
      </c>
      <c r="B1099" t="s">
        <v>366</v>
      </c>
      <c r="C1099" s="18">
        <v>2025</v>
      </c>
      <c r="D1099" t="s">
        <v>184</v>
      </c>
      <c r="E1099" s="9">
        <v>396205.91279756802</v>
      </c>
      <c r="F1099" s="9">
        <v>191954.71357959701</v>
      </c>
      <c r="G1099" s="9">
        <v>396205.91279756802</v>
      </c>
      <c r="H1099" s="9">
        <v>191954.71357959701</v>
      </c>
      <c r="I1099" s="21">
        <f t="shared" si="34"/>
        <v>0</v>
      </c>
      <c r="J1099" s="21">
        <f t="shared" si="35"/>
        <v>0</v>
      </c>
    </row>
    <row r="1100" spans="1:10" hidden="1">
      <c r="A1100" t="s">
        <v>76</v>
      </c>
      <c r="B1100" t="s">
        <v>366</v>
      </c>
      <c r="C1100" s="18">
        <v>2025</v>
      </c>
      <c r="D1100" t="s">
        <v>365</v>
      </c>
      <c r="E1100" s="9">
        <v>44024.855784556101</v>
      </c>
      <c r="F1100" s="9">
        <v>6961.0286695127397</v>
      </c>
      <c r="G1100" s="9">
        <v>44024.855784556101</v>
      </c>
      <c r="H1100" s="9">
        <v>6961.0286695127397</v>
      </c>
      <c r="I1100" s="21">
        <f t="shared" si="34"/>
        <v>0</v>
      </c>
      <c r="J1100" s="21">
        <f t="shared" si="35"/>
        <v>0</v>
      </c>
    </row>
    <row r="1101" spans="1:10" hidden="1">
      <c r="A1101" t="s">
        <v>76</v>
      </c>
      <c r="B1101" t="s">
        <v>366</v>
      </c>
      <c r="C1101" s="18">
        <v>2026</v>
      </c>
      <c r="D1101" t="s">
        <v>167</v>
      </c>
      <c r="E1101" s="9">
        <v>12812.505477188301</v>
      </c>
      <c r="F1101" s="9">
        <v>9308.2642091095495</v>
      </c>
      <c r="G1101" s="9">
        <v>12812.507871628</v>
      </c>
      <c r="H1101" s="9">
        <v>9308.2642091095495</v>
      </c>
      <c r="I1101" s="21">
        <f t="shared" si="34"/>
        <v>0</v>
      </c>
      <c r="J1101" s="21">
        <f t="shared" si="35"/>
        <v>2.3944396998558659E-3</v>
      </c>
    </row>
    <row r="1102" spans="1:10" hidden="1">
      <c r="A1102" t="s">
        <v>76</v>
      </c>
      <c r="B1102" t="s">
        <v>366</v>
      </c>
      <c r="C1102" s="18">
        <v>2026</v>
      </c>
      <c r="D1102" t="s">
        <v>206</v>
      </c>
      <c r="E1102" s="9">
        <v>1040293.9343253101</v>
      </c>
      <c r="F1102" s="9">
        <v>137191.89613692299</v>
      </c>
      <c r="G1102" s="9">
        <v>1040956.74283153</v>
      </c>
      <c r="H1102" s="9">
        <v>137191.89613692299</v>
      </c>
      <c r="I1102" s="21">
        <f t="shared" si="34"/>
        <v>0</v>
      </c>
      <c r="J1102" s="21">
        <f t="shared" si="35"/>
        <v>662.80850621999707</v>
      </c>
    </row>
    <row r="1103" spans="1:10" hidden="1">
      <c r="A1103" t="s">
        <v>76</v>
      </c>
      <c r="B1103" t="s">
        <v>366</v>
      </c>
      <c r="C1103" s="18">
        <v>2026</v>
      </c>
      <c r="D1103" t="s">
        <v>174</v>
      </c>
      <c r="E1103" s="9">
        <v>93502.941833841294</v>
      </c>
      <c r="F1103" s="9">
        <v>65164.470413401701</v>
      </c>
      <c r="G1103" s="9">
        <v>95077.183303526501</v>
      </c>
      <c r="H1103" s="9">
        <v>65164.470413401701</v>
      </c>
      <c r="I1103" s="21">
        <f t="shared" si="34"/>
        <v>0</v>
      </c>
      <c r="J1103" s="21">
        <f t="shared" si="35"/>
        <v>1574.2414696852065</v>
      </c>
    </row>
    <row r="1104" spans="1:10" hidden="1">
      <c r="A1104" t="s">
        <v>76</v>
      </c>
      <c r="B1104" t="s">
        <v>366</v>
      </c>
      <c r="C1104" s="18">
        <v>2026</v>
      </c>
      <c r="D1104" t="s">
        <v>178</v>
      </c>
      <c r="E1104" s="9">
        <v>331323.42586386699</v>
      </c>
      <c r="F1104" s="9">
        <v>308606.943045308</v>
      </c>
      <c r="G1104" s="9">
        <v>336875.42349560501</v>
      </c>
      <c r="H1104" s="9">
        <v>308606.943045308</v>
      </c>
      <c r="I1104" s="21">
        <f t="shared" si="34"/>
        <v>0</v>
      </c>
      <c r="J1104" s="21">
        <f t="shared" si="35"/>
        <v>5551.9976317380206</v>
      </c>
    </row>
    <row r="1105" spans="1:10" hidden="1">
      <c r="A1105" t="s">
        <v>76</v>
      </c>
      <c r="B1105" t="s">
        <v>366</v>
      </c>
      <c r="C1105" s="18">
        <v>2026</v>
      </c>
      <c r="D1105" t="s">
        <v>181</v>
      </c>
      <c r="E1105" s="9">
        <v>570428.79148177302</v>
      </c>
      <c r="F1105" s="9">
        <v>332896.18576831103</v>
      </c>
      <c r="G1105" s="9">
        <v>580111.54195764905</v>
      </c>
      <c r="H1105" s="9">
        <v>332896.18576831103</v>
      </c>
      <c r="I1105" s="21">
        <f t="shared" si="34"/>
        <v>0</v>
      </c>
      <c r="J1105" s="21">
        <f t="shared" si="35"/>
        <v>9682.7504758760333</v>
      </c>
    </row>
    <row r="1106" spans="1:10" hidden="1">
      <c r="A1106" t="s">
        <v>76</v>
      </c>
      <c r="B1106" t="s">
        <v>366</v>
      </c>
      <c r="C1106" s="18">
        <v>2026</v>
      </c>
      <c r="D1106" t="s">
        <v>184</v>
      </c>
      <c r="E1106" s="9">
        <v>403090.353858963</v>
      </c>
      <c r="F1106" s="9">
        <v>202008.19978323701</v>
      </c>
      <c r="G1106" s="9">
        <v>409829.87281699001</v>
      </c>
      <c r="H1106" s="9">
        <v>202008.19978323701</v>
      </c>
      <c r="I1106" s="21">
        <f t="shared" si="34"/>
        <v>0</v>
      </c>
      <c r="J1106" s="21">
        <f t="shared" si="35"/>
        <v>6739.5189580270089</v>
      </c>
    </row>
    <row r="1107" spans="1:10" hidden="1">
      <c r="A1107" t="s">
        <v>76</v>
      </c>
      <c r="B1107" t="s">
        <v>366</v>
      </c>
      <c r="C1107" s="18">
        <v>2026</v>
      </c>
      <c r="D1107" t="s">
        <v>365</v>
      </c>
      <c r="E1107" s="9">
        <v>44219.170751765298</v>
      </c>
      <c r="F1107" s="9">
        <v>7023.7712687228704</v>
      </c>
      <c r="G1107" s="9">
        <v>44219.170751765298</v>
      </c>
      <c r="H1107" s="9">
        <v>7023.7712687228704</v>
      </c>
      <c r="I1107" s="21">
        <f t="shared" si="34"/>
        <v>0</v>
      </c>
      <c r="J1107" s="21">
        <f t="shared" si="35"/>
        <v>0</v>
      </c>
    </row>
    <row r="1108" spans="1:10" hidden="1">
      <c r="A1108" t="s">
        <v>76</v>
      </c>
      <c r="B1108" t="s">
        <v>366</v>
      </c>
      <c r="C1108" s="18">
        <v>2027</v>
      </c>
      <c r="D1108" t="s">
        <v>167</v>
      </c>
      <c r="E1108" s="9">
        <v>13273.476800431599</v>
      </c>
      <c r="F1108" s="9">
        <v>9640.7149137727101</v>
      </c>
      <c r="G1108" s="9">
        <v>13273.481772584</v>
      </c>
      <c r="H1108" s="9">
        <v>9640.7153077701696</v>
      </c>
      <c r="I1108" s="21">
        <f t="shared" si="34"/>
        <v>3.939974594686646E-4</v>
      </c>
      <c r="J1108" s="21">
        <f t="shared" si="35"/>
        <v>4.9721524010237772E-3</v>
      </c>
    </row>
    <row r="1109" spans="1:10" hidden="1">
      <c r="A1109" t="s">
        <v>76</v>
      </c>
      <c r="B1109" t="s">
        <v>366</v>
      </c>
      <c r="C1109" s="18">
        <v>2027</v>
      </c>
      <c r="D1109" t="s">
        <v>206</v>
      </c>
      <c r="E1109" s="9">
        <v>1046371.1240492</v>
      </c>
      <c r="F1109" s="9">
        <v>145082.704176156</v>
      </c>
      <c r="G1109" s="9">
        <v>1055255.40879996</v>
      </c>
      <c r="H1109" s="9">
        <v>145087.13077641799</v>
      </c>
      <c r="I1109" s="21">
        <f t="shared" si="34"/>
        <v>4.4266002619988285</v>
      </c>
      <c r="J1109" s="21">
        <f t="shared" si="35"/>
        <v>8884.2847507600673</v>
      </c>
    </row>
    <row r="1110" spans="1:10" hidden="1">
      <c r="A1110" t="s">
        <v>76</v>
      </c>
      <c r="B1110" t="s">
        <v>366</v>
      </c>
      <c r="C1110" s="18">
        <v>2027</v>
      </c>
      <c r="D1110" t="s">
        <v>174</v>
      </c>
      <c r="E1110" s="9">
        <v>95218.456679610594</v>
      </c>
      <c r="F1110" s="9">
        <v>66801.374457140802</v>
      </c>
      <c r="G1110" s="9">
        <v>98448.827883966893</v>
      </c>
      <c r="H1110" s="9">
        <v>67068.016908610196</v>
      </c>
      <c r="I1110" s="21">
        <f t="shared" si="34"/>
        <v>266.64245146939356</v>
      </c>
      <c r="J1110" s="21">
        <f t="shared" si="35"/>
        <v>3230.3712043562991</v>
      </c>
    </row>
    <row r="1111" spans="1:10" hidden="1">
      <c r="A1111" t="s">
        <v>76</v>
      </c>
      <c r="B1111" t="s">
        <v>366</v>
      </c>
      <c r="C1111" s="18">
        <v>2027</v>
      </c>
      <c r="D1111" t="s">
        <v>178</v>
      </c>
      <c r="E1111" s="9">
        <v>333325.62339260499</v>
      </c>
      <c r="F1111" s="9">
        <v>314713.24866761698</v>
      </c>
      <c r="G1111" s="9">
        <v>345936.70671640302</v>
      </c>
      <c r="H1111" s="9">
        <v>317119.55355255498</v>
      </c>
      <c r="I1111" s="21">
        <f t="shared" si="34"/>
        <v>2406.3048849379993</v>
      </c>
      <c r="J1111" s="21">
        <f t="shared" si="35"/>
        <v>12611.083323798026</v>
      </c>
    </row>
    <row r="1112" spans="1:10" hidden="1">
      <c r="A1112" t="s">
        <v>76</v>
      </c>
      <c r="B1112" t="s">
        <v>366</v>
      </c>
      <c r="C1112" s="18">
        <v>2027</v>
      </c>
      <c r="D1112" t="s">
        <v>181</v>
      </c>
      <c r="E1112" s="9">
        <v>570031.86791016394</v>
      </c>
      <c r="F1112" s="9">
        <v>343892.65181223</v>
      </c>
      <c r="G1112" s="9">
        <v>596148.83233467594</v>
      </c>
      <c r="H1112" s="9">
        <v>344517.274659827</v>
      </c>
      <c r="I1112" s="21">
        <f t="shared" si="34"/>
        <v>624.62284759699833</v>
      </c>
      <c r="J1112" s="21">
        <f t="shared" si="35"/>
        <v>26116.964424512</v>
      </c>
    </row>
    <row r="1113" spans="1:10" hidden="1">
      <c r="A1113" t="s">
        <v>76</v>
      </c>
      <c r="B1113" t="s">
        <v>366</v>
      </c>
      <c r="C1113" s="18">
        <v>2027</v>
      </c>
      <c r="D1113" t="s">
        <v>184</v>
      </c>
      <c r="E1113" s="9">
        <v>406655.19839517702</v>
      </c>
      <c r="F1113" s="9">
        <v>211484.249720903</v>
      </c>
      <c r="G1113" s="9">
        <v>423485.10132199898</v>
      </c>
      <c r="H1113" s="9">
        <v>211995.48802417101</v>
      </c>
      <c r="I1113" s="21">
        <f t="shared" si="34"/>
        <v>511.23830326800817</v>
      </c>
      <c r="J1113" s="21">
        <f t="shared" si="35"/>
        <v>16829.90292682196</v>
      </c>
    </row>
    <row r="1114" spans="1:10" hidden="1">
      <c r="A1114" t="s">
        <v>76</v>
      </c>
      <c r="B1114" t="s">
        <v>366</v>
      </c>
      <c r="C1114" s="18">
        <v>2027</v>
      </c>
      <c r="D1114" t="s">
        <v>365</v>
      </c>
      <c r="E1114" s="9">
        <v>44384.2018393689</v>
      </c>
      <c r="F1114" s="9">
        <v>7080.0570056816796</v>
      </c>
      <c r="G1114" s="9">
        <v>44384.2018393689</v>
      </c>
      <c r="H1114" s="9">
        <v>7080.0570056816796</v>
      </c>
      <c r="I1114" s="21">
        <f t="shared" si="34"/>
        <v>0</v>
      </c>
      <c r="J1114" s="21">
        <f t="shared" si="35"/>
        <v>0</v>
      </c>
    </row>
    <row r="1115" spans="1:10" hidden="1">
      <c r="A1115" t="s">
        <v>76</v>
      </c>
      <c r="B1115" t="s">
        <v>366</v>
      </c>
      <c r="C1115" s="18">
        <v>2028</v>
      </c>
      <c r="D1115" t="s">
        <v>167</v>
      </c>
      <c r="E1115" s="9">
        <v>13730.781870156001</v>
      </c>
      <c r="F1115" s="9">
        <v>9971.4536019963107</v>
      </c>
      <c r="G1115" s="9">
        <v>13729.5005000864</v>
      </c>
      <c r="H1115" s="9">
        <v>9971.4547216338906</v>
      </c>
      <c r="I1115" s="21">
        <f t="shared" si="34"/>
        <v>1.11963757990452E-3</v>
      </c>
      <c r="J1115" s="21">
        <f t="shared" si="35"/>
        <v>-1.2813700696005981</v>
      </c>
    </row>
    <row r="1116" spans="1:10" hidden="1">
      <c r="A1116" t="s">
        <v>76</v>
      </c>
      <c r="B1116" t="s">
        <v>366</v>
      </c>
      <c r="C1116" s="18">
        <v>2028</v>
      </c>
      <c r="D1116" t="s">
        <v>206</v>
      </c>
      <c r="E1116" s="9">
        <v>1052265.9647256599</v>
      </c>
      <c r="F1116" s="9">
        <v>153013.09259544901</v>
      </c>
      <c r="G1116" s="9">
        <v>1069005.07088018</v>
      </c>
      <c r="H1116" s="9">
        <v>153077.86738724401</v>
      </c>
      <c r="I1116" s="21">
        <f t="shared" si="34"/>
        <v>64.774791795003694</v>
      </c>
      <c r="J1116" s="21">
        <f t="shared" si="35"/>
        <v>16739.106154520065</v>
      </c>
    </row>
    <row r="1117" spans="1:10" hidden="1">
      <c r="A1117" t="s">
        <v>76</v>
      </c>
      <c r="B1117" t="s">
        <v>366</v>
      </c>
      <c r="C1117" s="18">
        <v>2028</v>
      </c>
      <c r="D1117" t="s">
        <v>174</v>
      </c>
      <c r="E1117" s="9">
        <v>96840.014553337096</v>
      </c>
      <c r="F1117" s="9">
        <v>68272.978756048396</v>
      </c>
      <c r="G1117" s="9">
        <v>101797.96761407</v>
      </c>
      <c r="H1117" s="9">
        <v>69019.933123164999</v>
      </c>
      <c r="I1117" s="21">
        <f t="shared" si="34"/>
        <v>746.95436711660295</v>
      </c>
      <c r="J1117" s="21">
        <f t="shared" si="35"/>
        <v>4957.953060732907</v>
      </c>
    </row>
    <row r="1118" spans="1:10" hidden="1">
      <c r="A1118" t="s">
        <v>76</v>
      </c>
      <c r="B1118" t="s">
        <v>366</v>
      </c>
      <c r="C1118" s="18">
        <v>2028</v>
      </c>
      <c r="D1118" t="s">
        <v>178</v>
      </c>
      <c r="E1118" s="9">
        <v>335188.043914943</v>
      </c>
      <c r="F1118" s="9">
        <v>319194.52614044899</v>
      </c>
      <c r="G1118" s="9">
        <v>354965.53581913299</v>
      </c>
      <c r="H1118" s="9">
        <v>325690.68301689299</v>
      </c>
      <c r="I1118" s="21">
        <f t="shared" si="34"/>
        <v>6496.1568764440017</v>
      </c>
      <c r="J1118" s="21">
        <f t="shared" si="35"/>
        <v>19777.491904189985</v>
      </c>
    </row>
    <row r="1119" spans="1:10" hidden="1">
      <c r="A1119" t="s">
        <v>76</v>
      </c>
      <c r="B1119" t="s">
        <v>366</v>
      </c>
      <c r="C1119" s="18">
        <v>2028</v>
      </c>
      <c r="D1119" t="s">
        <v>181</v>
      </c>
      <c r="E1119" s="9">
        <v>569561.88366421498</v>
      </c>
      <c r="F1119" s="9">
        <v>353802.050143881</v>
      </c>
      <c r="G1119" s="9">
        <v>612031.65944475099</v>
      </c>
      <c r="H1119" s="9">
        <v>356073.57143805898</v>
      </c>
      <c r="I1119" s="21">
        <f t="shared" si="34"/>
        <v>2271.5212941779755</v>
      </c>
      <c r="J1119" s="21">
        <f t="shared" si="35"/>
        <v>42469.775780536002</v>
      </c>
    </row>
    <row r="1120" spans="1:10" hidden="1">
      <c r="A1120" t="s">
        <v>76</v>
      </c>
      <c r="B1120" t="s">
        <v>366</v>
      </c>
      <c r="C1120" s="18">
        <v>2028</v>
      </c>
      <c r="D1120" t="s">
        <v>184</v>
      </c>
      <c r="E1120" s="9">
        <v>410113.77754760702</v>
      </c>
      <c r="F1120" s="9">
        <v>220196.358012615</v>
      </c>
      <c r="G1120" s="9">
        <v>437159.75519195799</v>
      </c>
      <c r="H1120" s="9">
        <v>221908.95856330299</v>
      </c>
      <c r="I1120" s="21">
        <f t="shared" si="34"/>
        <v>1712.6005506879883</v>
      </c>
      <c r="J1120" s="21">
        <f t="shared" si="35"/>
        <v>27045.977644350962</v>
      </c>
    </row>
    <row r="1121" spans="1:10" hidden="1">
      <c r="A1121" t="s">
        <v>76</v>
      </c>
      <c r="B1121" t="s">
        <v>366</v>
      </c>
      <c r="C1121" s="18">
        <v>2028</v>
      </c>
      <c r="D1121" t="s">
        <v>365</v>
      </c>
      <c r="E1121" s="9">
        <v>44510.233373205898</v>
      </c>
      <c r="F1121" s="9">
        <v>7131.0701635649802</v>
      </c>
      <c r="G1121" s="9">
        <v>44510.064962992903</v>
      </c>
      <c r="H1121" s="9">
        <v>7131.0701635649802</v>
      </c>
      <c r="I1121" s="21">
        <f t="shared" si="34"/>
        <v>0</v>
      </c>
      <c r="J1121" s="21">
        <f t="shared" si="35"/>
        <v>-0.16841021299478598</v>
      </c>
    </row>
    <row r="1122" spans="1:10" hidden="1">
      <c r="A1122" t="s">
        <v>76</v>
      </c>
      <c r="B1122" t="s">
        <v>366</v>
      </c>
      <c r="C1122" s="18">
        <v>2029</v>
      </c>
      <c r="D1122" t="s">
        <v>167</v>
      </c>
      <c r="E1122" s="9">
        <v>14186.558850646201</v>
      </c>
      <c r="F1122" s="9">
        <v>10301.4719421837</v>
      </c>
      <c r="G1122" s="9">
        <v>14181.423637546701</v>
      </c>
      <c r="H1122" s="9">
        <v>10301.2295792609</v>
      </c>
      <c r="I1122" s="21">
        <f t="shared" si="34"/>
        <v>-0.2423629227996571</v>
      </c>
      <c r="J1122" s="21">
        <f t="shared" si="35"/>
        <v>-5.1352130995001062</v>
      </c>
    </row>
    <row r="1123" spans="1:10" hidden="1">
      <c r="A1123" t="s">
        <v>76</v>
      </c>
      <c r="B1123" t="s">
        <v>366</v>
      </c>
      <c r="C1123" s="18">
        <v>2029</v>
      </c>
      <c r="D1123" t="s">
        <v>206</v>
      </c>
      <c r="E1123" s="9">
        <v>1058045.2827105799</v>
      </c>
      <c r="F1123" s="9">
        <v>160980.74196044801</v>
      </c>
      <c r="G1123" s="9">
        <v>1082252.3942307399</v>
      </c>
      <c r="H1123" s="9">
        <v>161161.06213209301</v>
      </c>
      <c r="I1123" s="21">
        <f t="shared" si="34"/>
        <v>180.32017164499848</v>
      </c>
      <c r="J1123" s="21">
        <f t="shared" si="35"/>
        <v>24207.11152015999</v>
      </c>
    </row>
    <row r="1124" spans="1:10" hidden="1">
      <c r="A1124" t="s">
        <v>76</v>
      </c>
      <c r="B1124" t="s">
        <v>366</v>
      </c>
      <c r="C1124" s="18">
        <v>2029</v>
      </c>
      <c r="D1124" t="s">
        <v>174</v>
      </c>
      <c r="E1124" s="9">
        <v>98368.282866567606</v>
      </c>
      <c r="F1124" s="9">
        <v>69640.360994689603</v>
      </c>
      <c r="G1124" s="9">
        <v>105114.693344183</v>
      </c>
      <c r="H1124" s="9">
        <v>71042.054429439493</v>
      </c>
      <c r="I1124" s="21">
        <f t="shared" si="34"/>
        <v>1401.69343474989</v>
      </c>
      <c r="J1124" s="21">
        <f t="shared" si="35"/>
        <v>6746.4104776153981</v>
      </c>
    </row>
    <row r="1125" spans="1:10" hidden="1">
      <c r="A1125" t="s">
        <v>76</v>
      </c>
      <c r="B1125" t="s">
        <v>366</v>
      </c>
      <c r="C1125" s="18">
        <v>2029</v>
      </c>
      <c r="D1125" t="s">
        <v>178</v>
      </c>
      <c r="E1125" s="9">
        <v>336865.06431281602</v>
      </c>
      <c r="F1125" s="9">
        <v>322792.13135179301</v>
      </c>
      <c r="G1125" s="9">
        <v>363896.20424716797</v>
      </c>
      <c r="H1125" s="9">
        <v>334292.677138926</v>
      </c>
      <c r="I1125" s="21">
        <f t="shared" si="34"/>
        <v>11500.545787132985</v>
      </c>
      <c r="J1125" s="21">
        <f t="shared" si="35"/>
        <v>27031.139934351959</v>
      </c>
    </row>
    <row r="1126" spans="1:10" hidden="1">
      <c r="A1126" t="s">
        <v>76</v>
      </c>
      <c r="B1126" t="s">
        <v>366</v>
      </c>
      <c r="C1126" s="18">
        <v>2029</v>
      </c>
      <c r="D1126" t="s">
        <v>181</v>
      </c>
      <c r="E1126" s="9">
        <v>569018.65769148897</v>
      </c>
      <c r="F1126" s="9">
        <v>362716.04179036699</v>
      </c>
      <c r="G1126" s="9">
        <v>627726.33689879405</v>
      </c>
      <c r="H1126" s="9">
        <v>367575.22274735</v>
      </c>
      <c r="I1126" s="21">
        <f t="shared" si="34"/>
        <v>4859.1809569830075</v>
      </c>
      <c r="J1126" s="21">
        <f t="shared" si="35"/>
        <v>58707.679207305075</v>
      </c>
    </row>
    <row r="1127" spans="1:10" hidden="1">
      <c r="A1127" t="s">
        <v>76</v>
      </c>
      <c r="B1127" t="s">
        <v>366</v>
      </c>
      <c r="C1127" s="18">
        <v>2029</v>
      </c>
      <c r="D1127" t="s">
        <v>184</v>
      </c>
      <c r="E1127" s="9">
        <v>413430.76181482797</v>
      </c>
      <c r="F1127" s="9">
        <v>228198.96818047101</v>
      </c>
      <c r="G1127" s="9">
        <v>450786.13401356898</v>
      </c>
      <c r="H1127" s="9">
        <v>231708.01887569</v>
      </c>
      <c r="I1127" s="21">
        <f t="shared" si="34"/>
        <v>3509.0506952189899</v>
      </c>
      <c r="J1127" s="21">
        <f t="shared" si="35"/>
        <v>37355.37219874101</v>
      </c>
    </row>
    <row r="1128" spans="1:10" hidden="1">
      <c r="A1128" t="s">
        <v>76</v>
      </c>
      <c r="B1128" t="s">
        <v>366</v>
      </c>
      <c r="C1128" s="18">
        <v>2029</v>
      </c>
      <c r="D1128" t="s">
        <v>365</v>
      </c>
      <c r="E1128" s="9">
        <v>44600.929441746099</v>
      </c>
      <c r="F1128" s="9">
        <v>7178.2216814181802</v>
      </c>
      <c r="G1128" s="9">
        <v>44600.261443595497</v>
      </c>
      <c r="H1128" s="9">
        <v>7178.2193159725202</v>
      </c>
      <c r="I1128" s="21">
        <f t="shared" si="34"/>
        <v>-2.3654456599615514E-3</v>
      </c>
      <c r="J1128" s="21">
        <f t="shared" si="35"/>
        <v>-0.6679981506022159</v>
      </c>
    </row>
    <row r="1129" spans="1:10" hidden="1">
      <c r="A1129" t="s">
        <v>76</v>
      </c>
      <c r="B1129" t="s">
        <v>366</v>
      </c>
      <c r="C1129" s="18">
        <v>2030</v>
      </c>
      <c r="D1129" t="s">
        <v>167</v>
      </c>
      <c r="E1129" s="9">
        <v>14643.446653134301</v>
      </c>
      <c r="F1129" s="9">
        <v>10631.421399909301</v>
      </c>
      <c r="G1129" s="9">
        <v>14630.9263575645</v>
      </c>
      <c r="H1129" s="9">
        <v>10630.2702680602</v>
      </c>
      <c r="I1129" s="21">
        <f t="shared" si="34"/>
        <v>-1.151131849101148</v>
      </c>
      <c r="J1129" s="21">
        <f t="shared" si="35"/>
        <v>-12.52029556980051</v>
      </c>
    </row>
    <row r="1130" spans="1:10" hidden="1">
      <c r="A1130" t="s">
        <v>76</v>
      </c>
      <c r="B1130" t="s">
        <v>366</v>
      </c>
      <c r="C1130" s="18">
        <v>2030</v>
      </c>
      <c r="D1130" t="s">
        <v>206</v>
      </c>
      <c r="E1130" s="9">
        <v>1063679.6770003701</v>
      </c>
      <c r="F1130" s="9">
        <v>168965.410734501</v>
      </c>
      <c r="G1130" s="9">
        <v>1094956.8444496701</v>
      </c>
      <c r="H1130" s="9">
        <v>169314.83403803801</v>
      </c>
      <c r="I1130" s="21">
        <f t="shared" si="34"/>
        <v>349.42330353701254</v>
      </c>
      <c r="J1130" s="21">
        <f t="shared" si="35"/>
        <v>31277.167449299945</v>
      </c>
    </row>
    <row r="1131" spans="1:10" hidden="1">
      <c r="A1131" t="s">
        <v>76</v>
      </c>
      <c r="B1131" t="s">
        <v>366</v>
      </c>
      <c r="C1131" s="18">
        <v>2030</v>
      </c>
      <c r="D1131" t="s">
        <v>174</v>
      </c>
      <c r="E1131" s="9">
        <v>99806.565788114996</v>
      </c>
      <c r="F1131" s="9">
        <v>70920.018230351197</v>
      </c>
      <c r="G1131" s="9">
        <v>108393.77376611999</v>
      </c>
      <c r="H1131" s="9">
        <v>73120.8011068864</v>
      </c>
      <c r="I1131" s="21">
        <f t="shared" si="34"/>
        <v>2200.7828765352024</v>
      </c>
      <c r="J1131" s="21">
        <f t="shared" si="35"/>
        <v>8587.2079780049971</v>
      </c>
    </row>
    <row r="1132" spans="1:10" hidden="1">
      <c r="A1132" t="s">
        <v>76</v>
      </c>
      <c r="B1132" t="s">
        <v>366</v>
      </c>
      <c r="C1132" s="18">
        <v>2030</v>
      </c>
      <c r="D1132" t="s">
        <v>178</v>
      </c>
      <c r="E1132" s="9">
        <v>338384.99385830201</v>
      </c>
      <c r="F1132" s="9">
        <v>325791.441660479</v>
      </c>
      <c r="G1132" s="9">
        <v>372741.79546126397</v>
      </c>
      <c r="H1132" s="9">
        <v>342889.63536639401</v>
      </c>
      <c r="I1132" s="21">
        <f t="shared" si="34"/>
        <v>17098.193705915008</v>
      </c>
      <c r="J1132" s="21">
        <f t="shared" si="35"/>
        <v>34356.801602961961</v>
      </c>
    </row>
    <row r="1133" spans="1:10" hidden="1">
      <c r="A1133" t="s">
        <v>76</v>
      </c>
      <c r="B1133" t="s">
        <v>366</v>
      </c>
      <c r="C1133" s="18">
        <v>2030</v>
      </c>
      <c r="D1133" t="s">
        <v>181</v>
      </c>
      <c r="E1133" s="9">
        <v>568353.03519614297</v>
      </c>
      <c r="F1133" s="9">
        <v>370634.19331439398</v>
      </c>
      <c r="G1133" s="9">
        <v>643154.21130562795</v>
      </c>
      <c r="H1133" s="9">
        <v>378940.23126744502</v>
      </c>
      <c r="I1133" s="21">
        <f t="shared" si="34"/>
        <v>8306.0379530510399</v>
      </c>
      <c r="J1133" s="21">
        <f t="shared" si="35"/>
        <v>74801.176109484979</v>
      </c>
    </row>
    <row r="1134" spans="1:10" hidden="1">
      <c r="A1134" t="s">
        <v>76</v>
      </c>
      <c r="B1134" t="s">
        <v>366</v>
      </c>
      <c r="C1134" s="18">
        <v>2030</v>
      </c>
      <c r="D1134" t="s">
        <v>184</v>
      </c>
      <c r="E1134" s="9">
        <v>416624.77453217201</v>
      </c>
      <c r="F1134" s="9">
        <v>235479.62755393301</v>
      </c>
      <c r="G1134" s="9">
        <v>464360.51810377202</v>
      </c>
      <c r="H1134" s="9">
        <v>241310.309903655</v>
      </c>
      <c r="I1134" s="21">
        <f t="shared" si="34"/>
        <v>5830.6823497219884</v>
      </c>
      <c r="J1134" s="21">
        <f t="shared" si="35"/>
        <v>47735.743571600004</v>
      </c>
    </row>
    <row r="1135" spans="1:10" hidden="1">
      <c r="A1135" t="s">
        <v>76</v>
      </c>
      <c r="B1135" t="s">
        <v>366</v>
      </c>
      <c r="C1135" s="18">
        <v>2030</v>
      </c>
      <c r="D1135" t="s">
        <v>365</v>
      </c>
      <c r="E1135" s="9">
        <v>44648.883434637697</v>
      </c>
      <c r="F1135" s="9">
        <v>7223.1218145904804</v>
      </c>
      <c r="G1135" s="9">
        <v>44647.268915282999</v>
      </c>
      <c r="H1135" s="9">
        <v>7223.1103147423601</v>
      </c>
      <c r="I1135" s="21">
        <f t="shared" si="34"/>
        <v>-1.1499848120365641E-2</v>
      </c>
      <c r="J1135" s="21">
        <f t="shared" si="35"/>
        <v>-1.6145193546981318</v>
      </c>
    </row>
    <row r="1136" spans="1:10" hidden="1">
      <c r="A1136" t="s">
        <v>76</v>
      </c>
      <c r="B1136" t="s">
        <v>366</v>
      </c>
      <c r="C1136" s="18">
        <v>2031</v>
      </c>
      <c r="D1136" t="s">
        <v>167</v>
      </c>
      <c r="E1136" s="9">
        <v>15104.6321748467</v>
      </c>
      <c r="F1136" s="9">
        <v>10958.6335113313</v>
      </c>
      <c r="G1136" s="9">
        <v>15080.3825495532</v>
      </c>
      <c r="H1136" s="9">
        <v>10955.4255331558</v>
      </c>
      <c r="I1136" s="21">
        <f t="shared" si="34"/>
        <v>-3.2079781755001022</v>
      </c>
      <c r="J1136" s="21">
        <f t="shared" si="35"/>
        <v>-24.249625293499776</v>
      </c>
    </row>
    <row r="1137" spans="1:10" hidden="1">
      <c r="A1137" t="s">
        <v>76</v>
      </c>
      <c r="B1137" t="s">
        <v>366</v>
      </c>
      <c r="C1137" s="18">
        <v>2031</v>
      </c>
      <c r="D1137" t="s">
        <v>206</v>
      </c>
      <c r="E1137" s="9">
        <v>1069761.6840124701</v>
      </c>
      <c r="F1137" s="9">
        <v>176941.16056004999</v>
      </c>
      <c r="G1137" s="9">
        <v>1107027.6916289399</v>
      </c>
      <c r="H1137" s="9">
        <v>177510.90619666901</v>
      </c>
      <c r="I1137" s="21">
        <f t="shared" si="34"/>
        <v>569.7456366190163</v>
      </c>
      <c r="J1137" s="21">
        <f t="shared" si="35"/>
        <v>37266.007616469869</v>
      </c>
    </row>
    <row r="1138" spans="1:10" hidden="1">
      <c r="A1138" t="s">
        <v>76</v>
      </c>
      <c r="B1138" t="s">
        <v>366</v>
      </c>
      <c r="C1138" s="18">
        <v>2031</v>
      </c>
      <c r="D1138" t="s">
        <v>174</v>
      </c>
      <c r="E1138" s="9">
        <v>102863.03833315401</v>
      </c>
      <c r="F1138" s="9">
        <v>72109.523375251796</v>
      </c>
      <c r="G1138" s="9">
        <v>111632.94755435199</v>
      </c>
      <c r="H1138" s="9">
        <v>75230.219664338001</v>
      </c>
      <c r="I1138" s="21">
        <f t="shared" si="34"/>
        <v>3120.6962890862051</v>
      </c>
      <c r="J1138" s="21">
        <f t="shared" si="35"/>
        <v>8769.9092211979878</v>
      </c>
    </row>
    <row r="1139" spans="1:10" hidden="1">
      <c r="A1139" t="s">
        <v>76</v>
      </c>
      <c r="B1139" t="s">
        <v>366</v>
      </c>
      <c r="C1139" s="18">
        <v>2031</v>
      </c>
      <c r="D1139" t="s">
        <v>178</v>
      </c>
      <c r="E1139" s="9">
        <v>345425.93452118197</v>
      </c>
      <c r="F1139" s="9">
        <v>328323.15748128702</v>
      </c>
      <c r="G1139" s="9">
        <v>381470.26678102103</v>
      </c>
      <c r="H1139" s="9">
        <v>351432.51867295097</v>
      </c>
      <c r="I1139" s="21">
        <f t="shared" si="34"/>
        <v>23109.361191663949</v>
      </c>
      <c r="J1139" s="21">
        <f t="shared" si="35"/>
        <v>36044.332259839051</v>
      </c>
    </row>
    <row r="1140" spans="1:10" hidden="1">
      <c r="A1140" t="s">
        <v>76</v>
      </c>
      <c r="B1140" t="s">
        <v>366</v>
      </c>
      <c r="C1140" s="18">
        <v>2031</v>
      </c>
      <c r="D1140" t="s">
        <v>181</v>
      </c>
      <c r="E1140" s="9">
        <v>577187.16540703899</v>
      </c>
      <c r="F1140" s="9">
        <v>377648.34104652598</v>
      </c>
      <c r="G1140" s="9">
        <v>658282.14926881401</v>
      </c>
      <c r="H1140" s="9">
        <v>390181.00302030199</v>
      </c>
      <c r="I1140" s="21">
        <f t="shared" si="34"/>
        <v>12532.661973776005</v>
      </c>
      <c r="J1140" s="21">
        <f t="shared" si="35"/>
        <v>81094.983861775021</v>
      </c>
    </row>
    <row r="1141" spans="1:10" hidden="1">
      <c r="A1141" t="s">
        <v>76</v>
      </c>
      <c r="B1141" t="s">
        <v>366</v>
      </c>
      <c r="C1141" s="18">
        <v>2031</v>
      </c>
      <c r="D1141" t="s">
        <v>184</v>
      </c>
      <c r="E1141" s="9">
        <v>426637.05551787699</v>
      </c>
      <c r="F1141" s="9">
        <v>242194.142940747</v>
      </c>
      <c r="G1141" s="9">
        <v>477778.14604748198</v>
      </c>
      <c r="H1141" s="9">
        <v>250815.78266259201</v>
      </c>
      <c r="I1141" s="21">
        <f t="shared" si="34"/>
        <v>8621.6397218450147</v>
      </c>
      <c r="J1141" s="21">
        <f t="shared" si="35"/>
        <v>51141.09052960499</v>
      </c>
    </row>
    <row r="1142" spans="1:10" hidden="1">
      <c r="A1142" t="s">
        <v>76</v>
      </c>
      <c r="B1142" t="s">
        <v>366</v>
      </c>
      <c r="C1142" s="18">
        <v>2031</v>
      </c>
      <c r="D1142" t="s">
        <v>365</v>
      </c>
      <c r="E1142" s="9">
        <v>44643.445072884599</v>
      </c>
      <c r="F1142" s="9">
        <v>7266.7987869968101</v>
      </c>
      <c r="G1142" s="9">
        <v>44640.347295477797</v>
      </c>
      <c r="H1142" s="9">
        <v>7266.7660002075399</v>
      </c>
      <c r="I1142" s="21">
        <f t="shared" si="34"/>
        <v>-3.2786789270176087E-2</v>
      </c>
      <c r="J1142" s="21">
        <f t="shared" si="35"/>
        <v>-3.0977774068014696</v>
      </c>
    </row>
    <row r="1143" spans="1:10" hidden="1">
      <c r="A1143" t="s">
        <v>76</v>
      </c>
      <c r="B1143" t="s">
        <v>366</v>
      </c>
      <c r="C1143" s="18">
        <v>2032</v>
      </c>
      <c r="D1143" t="s">
        <v>167</v>
      </c>
      <c r="E1143" s="9">
        <v>15572.297558358299</v>
      </c>
      <c r="F1143" s="9">
        <v>11281.3958534754</v>
      </c>
      <c r="G1143" s="9">
        <v>15531.2601955666</v>
      </c>
      <c r="H1143" s="9">
        <v>11274.495449735199</v>
      </c>
      <c r="I1143" s="21">
        <f t="shared" si="34"/>
        <v>-6.9004037402009999</v>
      </c>
      <c r="J1143" s="21">
        <f t="shared" si="35"/>
        <v>-41.037362791699707</v>
      </c>
    </row>
    <row r="1144" spans="1:10" hidden="1">
      <c r="A1144" t="s">
        <v>76</v>
      </c>
      <c r="B1144" t="s">
        <v>366</v>
      </c>
      <c r="C1144" s="18">
        <v>2032</v>
      </c>
      <c r="D1144" t="s">
        <v>206</v>
      </c>
      <c r="E1144" s="9">
        <v>1075620.0764999001</v>
      </c>
      <c r="F1144" s="9">
        <v>184892.46764145701</v>
      </c>
      <c r="G1144" s="9">
        <v>1118477.3274982399</v>
      </c>
      <c r="H1144" s="9">
        <v>185725.99905880101</v>
      </c>
      <c r="I1144" s="21">
        <f t="shared" si="34"/>
        <v>833.53141734399833</v>
      </c>
      <c r="J1144" s="21">
        <f t="shared" si="35"/>
        <v>42857.250998339849</v>
      </c>
    </row>
    <row r="1145" spans="1:10" hidden="1">
      <c r="A1145" t="s">
        <v>76</v>
      </c>
      <c r="B1145" t="s">
        <v>366</v>
      </c>
      <c r="C1145" s="18">
        <v>2032</v>
      </c>
      <c r="D1145" t="s">
        <v>174</v>
      </c>
      <c r="E1145" s="9">
        <v>105912.215044368</v>
      </c>
      <c r="F1145" s="9">
        <v>73495.631796427493</v>
      </c>
      <c r="G1145" s="9">
        <v>114835.221802653</v>
      </c>
      <c r="H1145" s="9">
        <v>77353.061023932896</v>
      </c>
      <c r="I1145" s="21">
        <f t="shared" si="34"/>
        <v>3857.4292275054031</v>
      </c>
      <c r="J1145" s="21">
        <f t="shared" si="35"/>
        <v>8923.0067582850024</v>
      </c>
    </row>
    <row r="1146" spans="1:10" hidden="1">
      <c r="A1146" t="s">
        <v>76</v>
      </c>
      <c r="B1146" t="s">
        <v>366</v>
      </c>
      <c r="C1146" s="18">
        <v>2032</v>
      </c>
      <c r="D1146" t="s">
        <v>178</v>
      </c>
      <c r="E1146" s="9">
        <v>352347.91221843398</v>
      </c>
      <c r="F1146" s="9">
        <v>332976.25393524201</v>
      </c>
      <c r="G1146" s="9">
        <v>389998.37668875401</v>
      </c>
      <c r="H1146" s="9">
        <v>359834.54685286601</v>
      </c>
      <c r="I1146" s="21">
        <f t="shared" si="34"/>
        <v>26858.292917624</v>
      </c>
      <c r="J1146" s="21">
        <f t="shared" si="35"/>
        <v>37650.464470320032</v>
      </c>
    </row>
    <row r="1147" spans="1:10" hidden="1">
      <c r="A1147" t="s">
        <v>76</v>
      </c>
      <c r="B1147" t="s">
        <v>366</v>
      </c>
      <c r="C1147" s="18">
        <v>2032</v>
      </c>
      <c r="D1147" t="s">
        <v>181</v>
      </c>
      <c r="E1147" s="9">
        <v>585986.53078605898</v>
      </c>
      <c r="F1147" s="9">
        <v>384509.95680421498</v>
      </c>
      <c r="G1147" s="9">
        <v>673133.88827326603</v>
      </c>
      <c r="H1147" s="9">
        <v>401318.28619347198</v>
      </c>
      <c r="I1147" s="21">
        <f t="shared" si="34"/>
        <v>16808.329389257007</v>
      </c>
      <c r="J1147" s="21">
        <f t="shared" si="35"/>
        <v>87147.357487207046</v>
      </c>
    </row>
    <row r="1148" spans="1:10" hidden="1">
      <c r="A1148" t="s">
        <v>76</v>
      </c>
      <c r="B1148" t="s">
        <v>366</v>
      </c>
      <c r="C1148" s="18">
        <v>2032</v>
      </c>
      <c r="D1148" t="s">
        <v>184</v>
      </c>
      <c r="E1148" s="9">
        <v>436510.27409654402</v>
      </c>
      <c r="F1148" s="9">
        <v>249108.67593911101</v>
      </c>
      <c r="G1148" s="9">
        <v>490904.70344577997</v>
      </c>
      <c r="H1148" s="9">
        <v>260346.937343717</v>
      </c>
      <c r="I1148" s="21">
        <f t="shared" si="34"/>
        <v>11238.26140460599</v>
      </c>
      <c r="J1148" s="21">
        <f t="shared" si="35"/>
        <v>54394.429349235957</v>
      </c>
    </row>
    <row r="1149" spans="1:10" hidden="1">
      <c r="A1149" t="s">
        <v>76</v>
      </c>
      <c r="B1149" t="s">
        <v>366</v>
      </c>
      <c r="C1149" s="18">
        <v>2032</v>
      </c>
      <c r="D1149" t="s">
        <v>365</v>
      </c>
      <c r="E1149" s="9">
        <v>44588.433416939297</v>
      </c>
      <c r="F1149" s="9">
        <v>7308.7615266218299</v>
      </c>
      <c r="G1149" s="9">
        <v>44583.245501595899</v>
      </c>
      <c r="H1149" s="9">
        <v>7308.6895683399798</v>
      </c>
      <c r="I1149" s="21">
        <f t="shared" si="34"/>
        <v>-7.1958281850129424E-2</v>
      </c>
      <c r="J1149" s="21">
        <f t="shared" si="35"/>
        <v>-5.1879153433983447</v>
      </c>
    </row>
    <row r="1150" spans="1:10" hidden="1">
      <c r="A1150" t="s">
        <v>76</v>
      </c>
      <c r="B1150" t="s">
        <v>366</v>
      </c>
      <c r="C1150" s="18">
        <v>2033</v>
      </c>
      <c r="D1150" t="s">
        <v>167</v>
      </c>
      <c r="E1150" s="9">
        <v>16045.653150606</v>
      </c>
      <c r="F1150" s="9">
        <v>11599.6336257731</v>
      </c>
      <c r="G1150" s="9">
        <v>15983.7175379286</v>
      </c>
      <c r="H1150" s="9">
        <v>11586.9335708044</v>
      </c>
      <c r="I1150" s="21">
        <f t="shared" si="34"/>
        <v>-12.700054968699988</v>
      </c>
      <c r="J1150" s="21">
        <f t="shared" si="35"/>
        <v>-61.935612677400059</v>
      </c>
    </row>
    <row r="1151" spans="1:10" hidden="1">
      <c r="A1151" t="s">
        <v>76</v>
      </c>
      <c r="B1151" t="s">
        <v>366</v>
      </c>
      <c r="C1151" s="18">
        <v>2033</v>
      </c>
      <c r="D1151" t="s">
        <v>206</v>
      </c>
      <c r="E1151" s="9">
        <v>1081149.2129933799</v>
      </c>
      <c r="F1151" s="9">
        <v>192815.65504374399</v>
      </c>
      <c r="G1151" s="9">
        <v>1129233.47845058</v>
      </c>
      <c r="H1151" s="9">
        <v>193953.224223645</v>
      </c>
      <c r="I1151" s="21">
        <f t="shared" si="34"/>
        <v>1137.5691799010092</v>
      </c>
      <c r="J1151" s="21">
        <f t="shared" si="35"/>
        <v>48084.265457200119</v>
      </c>
    </row>
    <row r="1152" spans="1:10" hidden="1">
      <c r="A1152" t="s">
        <v>76</v>
      </c>
      <c r="B1152" t="s">
        <v>366</v>
      </c>
      <c r="C1152" s="18">
        <v>2033</v>
      </c>
      <c r="D1152" t="s">
        <v>174</v>
      </c>
      <c r="E1152" s="9">
        <v>108947.277499057</v>
      </c>
      <c r="F1152" s="9">
        <v>75026.086430936804</v>
      </c>
      <c r="G1152" s="9">
        <v>117998.73843744201</v>
      </c>
      <c r="H1152" s="9">
        <v>79480.4761690429</v>
      </c>
      <c r="I1152" s="21">
        <f t="shared" si="34"/>
        <v>4454.389738106096</v>
      </c>
      <c r="J1152" s="21">
        <f t="shared" si="35"/>
        <v>9051.4609383850038</v>
      </c>
    </row>
    <row r="1153" spans="1:10" hidden="1">
      <c r="A1153" t="s">
        <v>76</v>
      </c>
      <c r="B1153" t="s">
        <v>366</v>
      </c>
      <c r="C1153" s="18">
        <v>2033</v>
      </c>
      <c r="D1153" t="s">
        <v>178</v>
      </c>
      <c r="E1153" s="9">
        <v>359175.27089712297</v>
      </c>
      <c r="F1153" s="9">
        <v>338329.64998386201</v>
      </c>
      <c r="G1153" s="9">
        <v>398354.344992358</v>
      </c>
      <c r="H1153" s="9">
        <v>368051.62457544298</v>
      </c>
      <c r="I1153" s="21">
        <f t="shared" si="34"/>
        <v>29721.974591580976</v>
      </c>
      <c r="J1153" s="21">
        <f t="shared" si="35"/>
        <v>39179.074095235032</v>
      </c>
    </row>
    <row r="1154" spans="1:10" hidden="1">
      <c r="A1154" t="s">
        <v>76</v>
      </c>
      <c r="B1154" t="s">
        <v>366</v>
      </c>
      <c r="C1154" s="18">
        <v>2033</v>
      </c>
      <c r="D1154" t="s">
        <v>181</v>
      </c>
      <c r="E1154" s="9">
        <v>594663.87798353401</v>
      </c>
      <c r="F1154" s="9">
        <v>391224.64239873801</v>
      </c>
      <c r="G1154" s="9">
        <v>687634.69954692596</v>
      </c>
      <c r="H1154" s="9">
        <v>412348.075678578</v>
      </c>
      <c r="I1154" s="21">
        <f t="shared" ref="I1154:I1217" si="36">H1154-F1154</f>
        <v>21123.433279839985</v>
      </c>
      <c r="J1154" s="21">
        <f t="shared" ref="J1154:J1217" si="37">G1154-E1154</f>
        <v>92970.821563391946</v>
      </c>
    </row>
    <row r="1155" spans="1:10" hidden="1">
      <c r="A1155" t="s">
        <v>76</v>
      </c>
      <c r="B1155" t="s">
        <v>366</v>
      </c>
      <c r="C1155" s="18">
        <v>2033</v>
      </c>
      <c r="D1155" t="s">
        <v>184</v>
      </c>
      <c r="E1155" s="9">
        <v>446240.61065681302</v>
      </c>
      <c r="F1155" s="9">
        <v>256120.07269873601</v>
      </c>
      <c r="G1155" s="9">
        <v>503751.109420694</v>
      </c>
      <c r="H1155" s="9">
        <v>269883.407599987</v>
      </c>
      <c r="I1155" s="21">
        <f t="shared" si="36"/>
        <v>13763.334901250986</v>
      </c>
      <c r="J1155" s="21">
        <f t="shared" si="37"/>
        <v>57510.498763880983</v>
      </c>
    </row>
    <row r="1156" spans="1:10" hidden="1">
      <c r="A1156" t="s">
        <v>76</v>
      </c>
      <c r="B1156" t="s">
        <v>366</v>
      </c>
      <c r="C1156" s="18">
        <v>2033</v>
      </c>
      <c r="D1156" t="s">
        <v>365</v>
      </c>
      <c r="E1156" s="9">
        <v>44491.435267506698</v>
      </c>
      <c r="F1156" s="9">
        <v>7348.2088292216404</v>
      </c>
      <c r="G1156" s="9">
        <v>44483.683589841297</v>
      </c>
      <c r="H1156" s="9">
        <v>7348.0741473220596</v>
      </c>
      <c r="I1156" s="21">
        <f t="shared" si="36"/>
        <v>-0.13468189958075527</v>
      </c>
      <c r="J1156" s="21">
        <f t="shared" si="37"/>
        <v>-7.7516776654010755</v>
      </c>
    </row>
    <row r="1157" spans="1:10" hidden="1">
      <c r="A1157" t="s">
        <v>76</v>
      </c>
      <c r="B1157" t="s">
        <v>366</v>
      </c>
      <c r="C1157" s="18">
        <v>2034</v>
      </c>
      <c r="D1157" t="s">
        <v>167</v>
      </c>
      <c r="E1157" s="9">
        <v>16523.540778811599</v>
      </c>
      <c r="F1157" s="9">
        <v>11917.1151591136</v>
      </c>
      <c r="G1157" s="9">
        <v>16436.9312806497</v>
      </c>
      <c r="H1157" s="9">
        <v>11896.382318738601</v>
      </c>
      <c r="I1157" s="21">
        <f t="shared" si="36"/>
        <v>-20.732840374999796</v>
      </c>
      <c r="J1157" s="21">
        <f t="shared" si="37"/>
        <v>-86.609498161898955</v>
      </c>
    </row>
    <row r="1158" spans="1:10" hidden="1">
      <c r="A1158" t="s">
        <v>76</v>
      </c>
      <c r="B1158" t="s">
        <v>366</v>
      </c>
      <c r="C1158" s="18">
        <v>2034</v>
      </c>
      <c r="D1158" t="s">
        <v>206</v>
      </c>
      <c r="E1158" s="9">
        <v>1086398.6588234699</v>
      </c>
      <c r="F1158" s="9">
        <v>200668.069596927</v>
      </c>
      <c r="G1158" s="9">
        <v>1139357.0195160699</v>
      </c>
      <c r="H1158" s="9">
        <v>202147.27044605001</v>
      </c>
      <c r="I1158" s="21">
        <f t="shared" si="36"/>
        <v>1479.2008491230081</v>
      </c>
      <c r="J1158" s="21">
        <f t="shared" si="37"/>
        <v>52958.360692600021</v>
      </c>
    </row>
    <row r="1159" spans="1:10" hidden="1">
      <c r="A1159" t="s">
        <v>76</v>
      </c>
      <c r="B1159" t="s">
        <v>366</v>
      </c>
      <c r="C1159" s="18">
        <v>2034</v>
      </c>
      <c r="D1159" t="s">
        <v>174</v>
      </c>
      <c r="E1159" s="9">
        <v>111949.40577908</v>
      </c>
      <c r="F1159" s="9">
        <v>76652.524780952401</v>
      </c>
      <c r="G1159" s="9">
        <v>121105.471839437</v>
      </c>
      <c r="H1159" s="9">
        <v>81594.948233921197</v>
      </c>
      <c r="I1159" s="21">
        <f t="shared" si="36"/>
        <v>4942.4234529687965</v>
      </c>
      <c r="J1159" s="21">
        <f t="shared" si="37"/>
        <v>9156.0660603569995</v>
      </c>
    </row>
    <row r="1160" spans="1:10" hidden="1">
      <c r="A1160" t="s">
        <v>76</v>
      </c>
      <c r="B1160" t="s">
        <v>366</v>
      </c>
      <c r="C1160" s="18">
        <v>2034</v>
      </c>
      <c r="D1160" t="s">
        <v>178</v>
      </c>
      <c r="E1160" s="9">
        <v>365926.90067217097</v>
      </c>
      <c r="F1160" s="9">
        <v>343942.90752514702</v>
      </c>
      <c r="G1160" s="9">
        <v>406559.86735378799</v>
      </c>
      <c r="H1160" s="9">
        <v>376028.13227833499</v>
      </c>
      <c r="I1160" s="21">
        <f t="shared" si="36"/>
        <v>32085.224753187969</v>
      </c>
      <c r="J1160" s="21">
        <f t="shared" si="37"/>
        <v>40632.966681617021</v>
      </c>
    </row>
    <row r="1161" spans="1:10" hidden="1">
      <c r="A1161" t="s">
        <v>76</v>
      </c>
      <c r="B1161" t="s">
        <v>366</v>
      </c>
      <c r="C1161" s="18">
        <v>2034</v>
      </c>
      <c r="D1161" t="s">
        <v>181</v>
      </c>
      <c r="E1161" s="9">
        <v>603135.71211439604</v>
      </c>
      <c r="F1161" s="9">
        <v>397790.97698117502</v>
      </c>
      <c r="G1161" s="9">
        <v>701691.67735876795</v>
      </c>
      <c r="H1161" s="9">
        <v>423259.10059080599</v>
      </c>
      <c r="I1161" s="21">
        <f t="shared" si="36"/>
        <v>25468.123609630973</v>
      </c>
      <c r="J1161" s="21">
        <f t="shared" si="37"/>
        <v>98555.96524437191</v>
      </c>
    </row>
    <row r="1162" spans="1:10" hidden="1">
      <c r="A1162" t="s">
        <v>76</v>
      </c>
      <c r="B1162" t="s">
        <v>366</v>
      </c>
      <c r="C1162" s="18">
        <v>2034</v>
      </c>
      <c r="D1162" t="s">
        <v>184</v>
      </c>
      <c r="E1162" s="9">
        <v>455906.25804837898</v>
      </c>
      <c r="F1162" s="9">
        <v>263256.80204375199</v>
      </c>
      <c r="G1162" s="9">
        <v>516406.53850878001</v>
      </c>
      <c r="H1162" s="9">
        <v>279484.98028522899</v>
      </c>
      <c r="I1162" s="21">
        <f t="shared" si="36"/>
        <v>16228.178241476999</v>
      </c>
      <c r="J1162" s="21">
        <f t="shared" si="37"/>
        <v>60500.280460401031</v>
      </c>
    </row>
    <row r="1163" spans="1:10" hidden="1">
      <c r="A1163" t="s">
        <v>76</v>
      </c>
      <c r="B1163" t="s">
        <v>366</v>
      </c>
      <c r="C1163" s="18">
        <v>2034</v>
      </c>
      <c r="D1163" t="s">
        <v>365</v>
      </c>
      <c r="E1163" s="9">
        <v>44365.909273688398</v>
      </c>
      <c r="F1163" s="9">
        <v>7385.2644263791699</v>
      </c>
      <c r="G1163" s="9">
        <v>44355.184450178996</v>
      </c>
      <c r="H1163" s="9">
        <v>7385.0409467521704</v>
      </c>
      <c r="I1163" s="21">
        <f t="shared" si="36"/>
        <v>-0.22347962699950585</v>
      </c>
      <c r="J1163" s="21">
        <f t="shared" si="37"/>
        <v>-10.724823509401176</v>
      </c>
    </row>
    <row r="1164" spans="1:10" hidden="1">
      <c r="A1164" t="s">
        <v>76</v>
      </c>
      <c r="B1164" t="s">
        <v>366</v>
      </c>
      <c r="C1164" s="18">
        <v>2035</v>
      </c>
      <c r="D1164" t="s">
        <v>167</v>
      </c>
      <c r="E1164" s="9">
        <v>17007.098919390999</v>
      </c>
      <c r="F1164" s="9">
        <v>12234.0686872769</v>
      </c>
      <c r="G1164" s="9">
        <v>16892.2141390053</v>
      </c>
      <c r="H1164" s="9">
        <v>12203.057717863399</v>
      </c>
      <c r="I1164" s="21">
        <f t="shared" si="36"/>
        <v>-31.010969413500789</v>
      </c>
      <c r="J1164" s="21">
        <f t="shared" si="37"/>
        <v>-114.88478038569883</v>
      </c>
    </row>
    <row r="1165" spans="1:10" hidden="1">
      <c r="A1165" t="s">
        <v>76</v>
      </c>
      <c r="B1165" t="s">
        <v>366</v>
      </c>
      <c r="C1165" s="18">
        <v>2035</v>
      </c>
      <c r="D1165" t="s">
        <v>206</v>
      </c>
      <c r="E1165" s="9">
        <v>1091476.93033168</v>
      </c>
      <c r="F1165" s="9">
        <v>208435.07294405001</v>
      </c>
      <c r="G1165" s="9">
        <v>1148972.16574985</v>
      </c>
      <c r="H1165" s="9">
        <v>210290.98052792501</v>
      </c>
      <c r="I1165" s="21">
        <f t="shared" si="36"/>
        <v>1855.9075838749995</v>
      </c>
      <c r="J1165" s="21">
        <f t="shared" si="37"/>
        <v>57495.235418169992</v>
      </c>
    </row>
    <row r="1166" spans="1:10" hidden="1">
      <c r="A1166" t="s">
        <v>76</v>
      </c>
      <c r="B1166" t="s">
        <v>366</v>
      </c>
      <c r="C1166" s="18">
        <v>2035</v>
      </c>
      <c r="D1166" t="s">
        <v>174</v>
      </c>
      <c r="E1166" s="9">
        <v>114910.46629390201</v>
      </c>
      <c r="F1166" s="9">
        <v>78351.198325854202</v>
      </c>
      <c r="G1166" s="9">
        <v>124148.20719584401</v>
      </c>
      <c r="H1166" s="9">
        <v>83695.117872879797</v>
      </c>
      <c r="I1166" s="21">
        <f t="shared" si="36"/>
        <v>5343.9195470255945</v>
      </c>
      <c r="J1166" s="21">
        <f t="shared" si="37"/>
        <v>9237.7409019420011</v>
      </c>
    </row>
    <row r="1167" spans="1:10" hidden="1">
      <c r="A1167" t="s">
        <v>76</v>
      </c>
      <c r="B1167" t="s">
        <v>366</v>
      </c>
      <c r="C1167" s="18">
        <v>2035</v>
      </c>
      <c r="D1167" t="s">
        <v>178</v>
      </c>
      <c r="E1167" s="9">
        <v>372528.73399462801</v>
      </c>
      <c r="F1167" s="9">
        <v>349660.63113818801</v>
      </c>
      <c r="G1167" s="9">
        <v>414533.16060314502</v>
      </c>
      <c r="H1167" s="9">
        <v>383788.76252667198</v>
      </c>
      <c r="I1167" s="21">
        <f t="shared" si="36"/>
        <v>34128.131388483976</v>
      </c>
      <c r="J1167" s="21">
        <f t="shared" si="37"/>
        <v>42004.426608517009</v>
      </c>
    </row>
    <row r="1168" spans="1:10" hidden="1">
      <c r="A1168" t="s">
        <v>76</v>
      </c>
      <c r="B1168" t="s">
        <v>366</v>
      </c>
      <c r="C1168" s="18">
        <v>2035</v>
      </c>
      <c r="D1168" t="s">
        <v>181</v>
      </c>
      <c r="E1168" s="9">
        <v>611424.73390964605</v>
      </c>
      <c r="F1168" s="9">
        <v>404248.09935332899</v>
      </c>
      <c r="G1168" s="9">
        <v>715331.78882210201</v>
      </c>
      <c r="H1168" s="9">
        <v>434082.03155119502</v>
      </c>
      <c r="I1168" s="21">
        <f t="shared" si="36"/>
        <v>29833.93219786603</v>
      </c>
      <c r="J1168" s="21">
        <f t="shared" si="37"/>
        <v>103907.05491245596</v>
      </c>
    </row>
    <row r="1169" spans="1:10" hidden="1">
      <c r="A1169" t="s">
        <v>76</v>
      </c>
      <c r="B1169" t="s">
        <v>366</v>
      </c>
      <c r="C1169" s="18">
        <v>2035</v>
      </c>
      <c r="D1169" t="s">
        <v>184</v>
      </c>
      <c r="E1169" s="9">
        <v>465460.84112696798</v>
      </c>
      <c r="F1169" s="9">
        <v>270505.180406528</v>
      </c>
      <c r="G1169" s="9">
        <v>528818.37188395299</v>
      </c>
      <c r="H1169" s="9">
        <v>289150.80243598297</v>
      </c>
      <c r="I1169" s="21">
        <f t="shared" si="36"/>
        <v>18645.622029454971</v>
      </c>
      <c r="J1169" s="21">
        <f t="shared" si="37"/>
        <v>63357.530756985012</v>
      </c>
    </row>
    <row r="1170" spans="1:10" hidden="1">
      <c r="A1170" t="s">
        <v>76</v>
      </c>
      <c r="B1170" t="s">
        <v>366</v>
      </c>
      <c r="C1170" s="18">
        <v>2035</v>
      </c>
      <c r="D1170" t="s">
        <v>365</v>
      </c>
      <c r="E1170" s="9">
        <v>44220.771783837197</v>
      </c>
      <c r="F1170" s="9">
        <v>7420.3182247386503</v>
      </c>
      <c r="G1170" s="9">
        <v>44206.707306712102</v>
      </c>
      <c r="H1170" s="9">
        <v>7419.9788551932097</v>
      </c>
      <c r="I1170" s="21">
        <f t="shared" si="36"/>
        <v>-0.33936954544060427</v>
      </c>
      <c r="J1170" s="21">
        <f t="shared" si="37"/>
        <v>-14.064477125095436</v>
      </c>
    </row>
    <row r="1171" spans="1:10" hidden="1">
      <c r="A1171" t="s">
        <v>76</v>
      </c>
      <c r="B1171" t="s">
        <v>366</v>
      </c>
      <c r="C1171" s="18">
        <v>2036</v>
      </c>
      <c r="D1171" t="s">
        <v>167</v>
      </c>
      <c r="E1171" s="9">
        <v>17497.330358023901</v>
      </c>
      <c r="F1171" s="9">
        <v>12550.401678329599</v>
      </c>
      <c r="G1171" s="9">
        <v>17350.6546269342</v>
      </c>
      <c r="H1171" s="9">
        <v>12506.9021026876</v>
      </c>
      <c r="I1171" s="21">
        <f t="shared" si="36"/>
        <v>-43.4995756419994</v>
      </c>
      <c r="J1171" s="21">
        <f t="shared" si="37"/>
        <v>-146.675731089701</v>
      </c>
    </row>
    <row r="1172" spans="1:10" hidden="1">
      <c r="A1172" t="s">
        <v>76</v>
      </c>
      <c r="B1172" t="s">
        <v>366</v>
      </c>
      <c r="C1172" s="18">
        <v>2036</v>
      </c>
      <c r="D1172" t="s">
        <v>206</v>
      </c>
      <c r="E1172" s="9">
        <v>1096547.6902073601</v>
      </c>
      <c r="F1172" s="9">
        <v>216105.42039388799</v>
      </c>
      <c r="G1172" s="9">
        <v>1158266.1377582899</v>
      </c>
      <c r="H1172" s="9">
        <v>218370.687575925</v>
      </c>
      <c r="I1172" s="21">
        <f t="shared" si="36"/>
        <v>2265.2671820370015</v>
      </c>
      <c r="J1172" s="21">
        <f t="shared" si="37"/>
        <v>61718.44755092985</v>
      </c>
    </row>
    <row r="1173" spans="1:10" hidden="1">
      <c r="A1173" t="s">
        <v>76</v>
      </c>
      <c r="B1173" t="s">
        <v>366</v>
      </c>
      <c r="C1173" s="18">
        <v>2036</v>
      </c>
      <c r="D1173" t="s">
        <v>174</v>
      </c>
      <c r="E1173" s="9">
        <v>117840.015138</v>
      </c>
      <c r="F1173" s="9">
        <v>80091.266929056903</v>
      </c>
      <c r="G1173" s="9">
        <v>127138.451085333</v>
      </c>
      <c r="H1173" s="9">
        <v>85765.564735317093</v>
      </c>
      <c r="I1173" s="21">
        <f t="shared" si="36"/>
        <v>5674.2978062601906</v>
      </c>
      <c r="J1173" s="21">
        <f t="shared" si="37"/>
        <v>9298.4359473329969</v>
      </c>
    </row>
    <row r="1174" spans="1:10" hidden="1">
      <c r="A1174" t="s">
        <v>76</v>
      </c>
      <c r="B1174" t="s">
        <v>366</v>
      </c>
      <c r="C1174" s="18">
        <v>2036</v>
      </c>
      <c r="D1174" t="s">
        <v>178</v>
      </c>
      <c r="E1174" s="9">
        <v>378942.95149317803</v>
      </c>
      <c r="F1174" s="9">
        <v>355348.11543942097</v>
      </c>
      <c r="G1174" s="9">
        <v>422232.65992213303</v>
      </c>
      <c r="H1174" s="9">
        <v>391285.95573958702</v>
      </c>
      <c r="I1174" s="21">
        <f t="shared" si="36"/>
        <v>35937.840300166048</v>
      </c>
      <c r="J1174" s="21">
        <f t="shared" si="37"/>
        <v>43289.708428954997</v>
      </c>
    </row>
    <row r="1175" spans="1:10" hidden="1">
      <c r="A1175" t="s">
        <v>76</v>
      </c>
      <c r="B1175" t="s">
        <v>366</v>
      </c>
      <c r="C1175" s="18">
        <v>2036</v>
      </c>
      <c r="D1175" t="s">
        <v>181</v>
      </c>
      <c r="E1175" s="9">
        <v>619510.40862940403</v>
      </c>
      <c r="F1175" s="9">
        <v>410540.89757377701</v>
      </c>
      <c r="G1175" s="9">
        <v>728531.610160843</v>
      </c>
      <c r="H1175" s="9">
        <v>444747.90756616899</v>
      </c>
      <c r="I1175" s="21">
        <f t="shared" si="36"/>
        <v>34207.009992391977</v>
      </c>
      <c r="J1175" s="21">
        <f t="shared" si="37"/>
        <v>109021.20153143897</v>
      </c>
    </row>
    <row r="1176" spans="1:10" hidden="1">
      <c r="A1176" t="s">
        <v>76</v>
      </c>
      <c r="B1176" t="s">
        <v>366</v>
      </c>
      <c r="C1176" s="18">
        <v>2036</v>
      </c>
      <c r="D1176" t="s">
        <v>184</v>
      </c>
      <c r="E1176" s="9">
        <v>474962.68156212301</v>
      </c>
      <c r="F1176" s="9">
        <v>277858.31803737499</v>
      </c>
      <c r="G1176" s="9">
        <v>541052.28077363002</v>
      </c>
      <c r="H1176" s="9">
        <v>298879.61130973301</v>
      </c>
      <c r="I1176" s="21">
        <f t="shared" si="36"/>
        <v>21021.293272358016</v>
      </c>
      <c r="J1176" s="21">
        <f t="shared" si="37"/>
        <v>66089.599211507011</v>
      </c>
    </row>
    <row r="1177" spans="1:10" hidden="1">
      <c r="A1177" t="s">
        <v>76</v>
      </c>
      <c r="B1177" t="s">
        <v>366</v>
      </c>
      <c r="C1177" s="18">
        <v>2036</v>
      </c>
      <c r="D1177" t="s">
        <v>365</v>
      </c>
      <c r="E1177" s="9">
        <v>44067.735708196997</v>
      </c>
      <c r="F1177" s="9">
        <v>7453.8175751457202</v>
      </c>
      <c r="G1177" s="9">
        <v>44049.998378272197</v>
      </c>
      <c r="H1177" s="9">
        <v>7453.3351271514002</v>
      </c>
      <c r="I1177" s="21">
        <f t="shared" si="36"/>
        <v>-0.48244799431995489</v>
      </c>
      <c r="J1177" s="21">
        <f t="shared" si="37"/>
        <v>-17.737329924799269</v>
      </c>
    </row>
    <row r="1178" spans="1:10" hidden="1">
      <c r="A1178" t="s">
        <v>76</v>
      </c>
      <c r="B1178" t="s">
        <v>366</v>
      </c>
      <c r="C1178" s="18">
        <v>2037</v>
      </c>
      <c r="D1178" t="s">
        <v>167</v>
      </c>
      <c r="E1178" s="9">
        <v>17994.3985159841</v>
      </c>
      <c r="F1178" s="9">
        <v>12865.6386578249</v>
      </c>
      <c r="G1178" s="9">
        <v>17812.5035281772</v>
      </c>
      <c r="H1178" s="9">
        <v>12807.501268399201</v>
      </c>
      <c r="I1178" s="21">
        <f t="shared" si="36"/>
        <v>-58.137389425699439</v>
      </c>
      <c r="J1178" s="21">
        <f t="shared" si="37"/>
        <v>-181.89498780689974</v>
      </c>
    </row>
    <row r="1179" spans="1:10" hidden="1">
      <c r="A1179" t="s">
        <v>76</v>
      </c>
      <c r="B1179" t="s">
        <v>366</v>
      </c>
      <c r="C1179" s="18">
        <v>2037</v>
      </c>
      <c r="D1179" t="s">
        <v>206</v>
      </c>
      <c r="E1179" s="9">
        <v>1101714.69733208</v>
      </c>
      <c r="F1179" s="9">
        <v>223668.25922451599</v>
      </c>
      <c r="G1179" s="9">
        <v>1167364.6654137501</v>
      </c>
      <c r="H1179" s="9">
        <v>226373.365626062</v>
      </c>
      <c r="I1179" s="21">
        <f t="shared" si="36"/>
        <v>2705.1064015460142</v>
      </c>
      <c r="J1179" s="21">
        <f t="shared" si="37"/>
        <v>65649.968081670115</v>
      </c>
    </row>
    <row r="1180" spans="1:10" hidden="1">
      <c r="A1180" t="s">
        <v>76</v>
      </c>
      <c r="B1180" t="s">
        <v>366</v>
      </c>
      <c r="C1180" s="18">
        <v>2037</v>
      </c>
      <c r="D1180" t="s">
        <v>174</v>
      </c>
      <c r="E1180" s="9">
        <v>120751.97192779</v>
      </c>
      <c r="F1180" s="9">
        <v>81840.530109021303</v>
      </c>
      <c r="G1180" s="9">
        <v>130092.112965313</v>
      </c>
      <c r="H1180" s="9">
        <v>87785.873914228694</v>
      </c>
      <c r="I1180" s="21">
        <f t="shared" si="36"/>
        <v>5945.3438052073907</v>
      </c>
      <c r="J1180" s="21">
        <f t="shared" si="37"/>
        <v>9340.1410375230043</v>
      </c>
    </row>
    <row r="1181" spans="1:10" hidden="1">
      <c r="A1181" t="s">
        <v>76</v>
      </c>
      <c r="B1181" t="s">
        <v>366</v>
      </c>
      <c r="C1181" s="18">
        <v>2037</v>
      </c>
      <c r="D1181" t="s">
        <v>178</v>
      </c>
      <c r="E1181" s="9">
        <v>385183.33714000398</v>
      </c>
      <c r="F1181" s="9">
        <v>360908.77199222101</v>
      </c>
      <c r="G1181" s="9">
        <v>429674.679324948</v>
      </c>
      <c r="H1181" s="9">
        <v>398473.81338660797</v>
      </c>
      <c r="I1181" s="21">
        <f t="shared" si="36"/>
        <v>37565.041394386964</v>
      </c>
      <c r="J1181" s="21">
        <f t="shared" si="37"/>
        <v>44491.34218494402</v>
      </c>
    </row>
    <row r="1182" spans="1:10" hidden="1">
      <c r="A1182" t="s">
        <v>76</v>
      </c>
      <c r="B1182" t="s">
        <v>366</v>
      </c>
      <c r="C1182" s="18">
        <v>2037</v>
      </c>
      <c r="D1182" t="s">
        <v>181</v>
      </c>
      <c r="E1182" s="9">
        <v>627367.25967487495</v>
      </c>
      <c r="F1182" s="9">
        <v>416604.98947227898</v>
      </c>
      <c r="G1182" s="9">
        <v>741261.42723499297</v>
      </c>
      <c r="H1182" s="9">
        <v>455168.18452875799</v>
      </c>
      <c r="I1182" s="21">
        <f t="shared" si="36"/>
        <v>38563.195056479017</v>
      </c>
      <c r="J1182" s="21">
        <f t="shared" si="37"/>
        <v>113894.16756011802</v>
      </c>
    </row>
    <row r="1183" spans="1:10" hidden="1">
      <c r="A1183" t="s">
        <v>76</v>
      </c>
      <c r="B1183" t="s">
        <v>366</v>
      </c>
      <c r="C1183" s="18">
        <v>2037</v>
      </c>
      <c r="D1183" t="s">
        <v>184</v>
      </c>
      <c r="E1183" s="9">
        <v>484542.62350382801</v>
      </c>
      <c r="F1183" s="9">
        <v>285306.931551783</v>
      </c>
      <c r="G1183" s="9">
        <v>553258.51776135701</v>
      </c>
      <c r="H1183" s="9">
        <v>308666.04356230202</v>
      </c>
      <c r="I1183" s="21">
        <f t="shared" si="36"/>
        <v>23359.11201051902</v>
      </c>
      <c r="J1183" s="21">
        <f t="shared" si="37"/>
        <v>68715.894257528998</v>
      </c>
    </row>
    <row r="1184" spans="1:10" hidden="1">
      <c r="A1184" t="s">
        <v>76</v>
      </c>
      <c r="B1184" t="s">
        <v>366</v>
      </c>
      <c r="C1184" s="18">
        <v>2037</v>
      </c>
      <c r="D1184" t="s">
        <v>365</v>
      </c>
      <c r="E1184" s="9">
        <v>43908.211581807802</v>
      </c>
      <c r="F1184" s="9">
        <v>7486.2920046378804</v>
      </c>
      <c r="G1184" s="9">
        <v>43886.496639761303</v>
      </c>
      <c r="H1184" s="9">
        <v>7485.6394586101196</v>
      </c>
      <c r="I1184" s="21">
        <f t="shared" si="36"/>
        <v>-0.65254602776076354</v>
      </c>
      <c r="J1184" s="21">
        <f t="shared" si="37"/>
        <v>-21.714942046499345</v>
      </c>
    </row>
    <row r="1185" spans="1:10" hidden="1">
      <c r="A1185" t="s">
        <v>76</v>
      </c>
      <c r="B1185" t="s">
        <v>366</v>
      </c>
      <c r="C1185" s="18">
        <v>2038</v>
      </c>
      <c r="D1185" t="s">
        <v>167</v>
      </c>
      <c r="E1185" s="9">
        <v>18499.115036033902</v>
      </c>
      <c r="F1185" s="9">
        <v>13183.126137807199</v>
      </c>
      <c r="G1185" s="9">
        <v>18278.619531582299</v>
      </c>
      <c r="H1185" s="9">
        <v>13108.258682167399</v>
      </c>
      <c r="I1185" s="21">
        <f t="shared" si="36"/>
        <v>-74.867455639800028</v>
      </c>
      <c r="J1185" s="21">
        <f t="shared" si="37"/>
        <v>-220.49550445160276</v>
      </c>
    </row>
    <row r="1186" spans="1:10" hidden="1">
      <c r="A1186" t="s">
        <v>76</v>
      </c>
      <c r="B1186" t="s">
        <v>366</v>
      </c>
      <c r="C1186" s="18">
        <v>2038</v>
      </c>
      <c r="D1186" t="s">
        <v>206</v>
      </c>
      <c r="E1186" s="9">
        <v>1107006.2038182199</v>
      </c>
      <c r="F1186" s="9">
        <v>231112.70604773701</v>
      </c>
      <c r="G1186" s="9">
        <v>1176286.23006217</v>
      </c>
      <c r="H1186" s="9">
        <v>234286.30240329501</v>
      </c>
      <c r="I1186" s="21">
        <f t="shared" si="36"/>
        <v>3173.5963555579947</v>
      </c>
      <c r="J1186" s="21">
        <f t="shared" si="37"/>
        <v>69280.026243950007</v>
      </c>
    </row>
    <row r="1187" spans="1:10" hidden="1">
      <c r="A1187" t="s">
        <v>76</v>
      </c>
      <c r="B1187" t="s">
        <v>366</v>
      </c>
      <c r="C1187" s="18">
        <v>2038</v>
      </c>
      <c r="D1187" t="s">
        <v>174</v>
      </c>
      <c r="E1187" s="9">
        <v>123641.495252491</v>
      </c>
      <c r="F1187" s="9">
        <v>83595.243784704304</v>
      </c>
      <c r="G1187" s="9">
        <v>133004.77137127001</v>
      </c>
      <c r="H1187" s="9">
        <v>89762.908504627194</v>
      </c>
      <c r="I1187" s="21">
        <f t="shared" si="36"/>
        <v>6167.6647199228901</v>
      </c>
      <c r="J1187" s="21">
        <f t="shared" si="37"/>
        <v>9363.276118779002</v>
      </c>
    </row>
    <row r="1188" spans="1:10" hidden="1">
      <c r="A1188" t="s">
        <v>76</v>
      </c>
      <c r="B1188" t="s">
        <v>366</v>
      </c>
      <c r="C1188" s="18">
        <v>2038</v>
      </c>
      <c r="D1188" t="s">
        <v>178</v>
      </c>
      <c r="E1188" s="9">
        <v>391266.65743557003</v>
      </c>
      <c r="F1188" s="9">
        <v>366339.53199118102</v>
      </c>
      <c r="G1188" s="9">
        <v>436878.35953831702</v>
      </c>
      <c r="H1188" s="9">
        <v>405384.95777232101</v>
      </c>
      <c r="I1188" s="21">
        <f t="shared" si="36"/>
        <v>39045.425781139988</v>
      </c>
      <c r="J1188" s="21">
        <f t="shared" si="37"/>
        <v>45611.702102746989</v>
      </c>
    </row>
    <row r="1189" spans="1:10" hidden="1">
      <c r="A1189" t="s">
        <v>76</v>
      </c>
      <c r="B1189" t="s">
        <v>366</v>
      </c>
      <c r="C1189" s="18">
        <v>2038</v>
      </c>
      <c r="D1189" t="s">
        <v>181</v>
      </c>
      <c r="E1189" s="9">
        <v>635034.825121523</v>
      </c>
      <c r="F1189" s="9">
        <v>422461.88385533303</v>
      </c>
      <c r="G1189" s="9">
        <v>753560.82214679301</v>
      </c>
      <c r="H1189" s="9">
        <v>465342.91786371003</v>
      </c>
      <c r="I1189" s="21">
        <f t="shared" si="36"/>
        <v>42881.034008376999</v>
      </c>
      <c r="J1189" s="21">
        <f t="shared" si="37"/>
        <v>118525.99702527002</v>
      </c>
    </row>
    <row r="1190" spans="1:10" hidden="1">
      <c r="A1190" t="s">
        <v>76</v>
      </c>
      <c r="B1190" t="s">
        <v>366</v>
      </c>
      <c r="C1190" s="18">
        <v>2038</v>
      </c>
      <c r="D1190" t="s">
        <v>184</v>
      </c>
      <c r="E1190" s="9">
        <v>494172.35867021</v>
      </c>
      <c r="F1190" s="9">
        <v>292802.88926430797</v>
      </c>
      <c r="G1190" s="9">
        <v>565403.75879938505</v>
      </c>
      <c r="H1190" s="9">
        <v>318461.02224812203</v>
      </c>
      <c r="I1190" s="21">
        <f t="shared" si="36"/>
        <v>25658.132983814052</v>
      </c>
      <c r="J1190" s="21">
        <f t="shared" si="37"/>
        <v>71231.400129175046</v>
      </c>
    </row>
    <row r="1191" spans="1:10" hidden="1">
      <c r="A1191" t="s">
        <v>76</v>
      </c>
      <c r="B1191" t="s">
        <v>366</v>
      </c>
      <c r="C1191" s="18">
        <v>2038</v>
      </c>
      <c r="D1191" t="s">
        <v>365</v>
      </c>
      <c r="E1191" s="9">
        <v>43756.721680662296</v>
      </c>
      <c r="F1191" s="9">
        <v>7518.6196356975097</v>
      </c>
      <c r="G1191" s="9">
        <v>43730.744850638199</v>
      </c>
      <c r="H1191" s="9">
        <v>7517.77035327065</v>
      </c>
      <c r="I1191" s="21">
        <f t="shared" si="36"/>
        <v>-0.84928242685964506</v>
      </c>
      <c r="J1191" s="21">
        <f t="shared" si="37"/>
        <v>-25.97683002409758</v>
      </c>
    </row>
    <row r="1192" spans="1:10" hidden="1">
      <c r="A1192" t="s">
        <v>76</v>
      </c>
      <c r="B1192" t="s">
        <v>366</v>
      </c>
      <c r="C1192" s="18">
        <v>2039</v>
      </c>
      <c r="D1192" t="s">
        <v>167</v>
      </c>
      <c r="E1192" s="9">
        <v>19014.6203296444</v>
      </c>
      <c r="F1192" s="9">
        <v>13498.300476575199</v>
      </c>
      <c r="G1192" s="9">
        <v>18752.090499402999</v>
      </c>
      <c r="H1192" s="9">
        <v>13404.669620275599</v>
      </c>
      <c r="I1192" s="21">
        <f t="shared" si="36"/>
        <v>-93.630856299600055</v>
      </c>
      <c r="J1192" s="21">
        <f t="shared" si="37"/>
        <v>-262.52983024140121</v>
      </c>
    </row>
    <row r="1193" spans="1:10" hidden="1">
      <c r="A1193" t="s">
        <v>76</v>
      </c>
      <c r="B1193" t="s">
        <v>366</v>
      </c>
      <c r="C1193" s="18">
        <v>2039</v>
      </c>
      <c r="D1193" t="s">
        <v>206</v>
      </c>
      <c r="E1193" s="9">
        <v>1112115.80441008</v>
      </c>
      <c r="F1193" s="9">
        <v>238463.47316775701</v>
      </c>
      <c r="G1193" s="9">
        <v>1184738.3918449101</v>
      </c>
      <c r="H1193" s="9">
        <v>242132.19115316399</v>
      </c>
      <c r="I1193" s="21">
        <f t="shared" si="36"/>
        <v>3668.7179854069836</v>
      </c>
      <c r="J1193" s="21">
        <f t="shared" si="37"/>
        <v>72622.587434830144</v>
      </c>
    </row>
    <row r="1194" spans="1:10" hidden="1">
      <c r="A1194" t="s">
        <v>76</v>
      </c>
      <c r="B1194" t="s">
        <v>366</v>
      </c>
      <c r="C1194" s="18">
        <v>2039</v>
      </c>
      <c r="D1194" t="s">
        <v>174</v>
      </c>
      <c r="E1194" s="9">
        <v>126503.95267707801</v>
      </c>
      <c r="F1194" s="9">
        <v>85366.057364886205</v>
      </c>
      <c r="G1194" s="9">
        <v>135872.13136763001</v>
      </c>
      <c r="H1194" s="9">
        <v>91716.366353602294</v>
      </c>
      <c r="I1194" s="21">
        <f t="shared" si="36"/>
        <v>6350.3089887160895</v>
      </c>
      <c r="J1194" s="21">
        <f t="shared" si="37"/>
        <v>9368.1786905519984</v>
      </c>
    </row>
    <row r="1195" spans="1:10" hidden="1">
      <c r="A1195" t="s">
        <v>76</v>
      </c>
      <c r="B1195" t="s">
        <v>366</v>
      </c>
      <c r="C1195" s="18">
        <v>2039</v>
      </c>
      <c r="D1195" t="s">
        <v>178</v>
      </c>
      <c r="E1195" s="9">
        <v>397246.99452375702</v>
      </c>
      <c r="F1195" s="9">
        <v>371713.51309153799</v>
      </c>
      <c r="G1195" s="9">
        <v>443905.980748337</v>
      </c>
      <c r="H1195" s="9">
        <v>412120.21350488003</v>
      </c>
      <c r="I1195" s="21">
        <f t="shared" si="36"/>
        <v>40406.700413342041</v>
      </c>
      <c r="J1195" s="21">
        <f t="shared" si="37"/>
        <v>46658.986224579974</v>
      </c>
    </row>
    <row r="1196" spans="1:10" hidden="1">
      <c r="A1196" t="s">
        <v>76</v>
      </c>
      <c r="B1196" t="s">
        <v>366</v>
      </c>
      <c r="C1196" s="18">
        <v>2039</v>
      </c>
      <c r="D1196" t="s">
        <v>181</v>
      </c>
      <c r="E1196" s="9">
        <v>642587.55372381699</v>
      </c>
      <c r="F1196" s="9">
        <v>428131.57954700402</v>
      </c>
      <c r="G1196" s="9">
        <v>765528.46783885697</v>
      </c>
      <c r="H1196" s="9">
        <v>475269.78752891801</v>
      </c>
      <c r="I1196" s="21">
        <f t="shared" si="36"/>
        <v>47138.207981913991</v>
      </c>
      <c r="J1196" s="21">
        <f t="shared" si="37"/>
        <v>122940.91411503998</v>
      </c>
    </row>
    <row r="1197" spans="1:10" hidden="1">
      <c r="A1197" t="s">
        <v>76</v>
      </c>
      <c r="B1197" t="s">
        <v>366</v>
      </c>
      <c r="C1197" s="18">
        <v>2039</v>
      </c>
      <c r="D1197" t="s">
        <v>184</v>
      </c>
      <c r="E1197" s="9">
        <v>503785.67631602602</v>
      </c>
      <c r="F1197" s="9">
        <v>300329.60893097101</v>
      </c>
      <c r="G1197" s="9">
        <v>577414.514396235</v>
      </c>
      <c r="H1197" s="9">
        <v>328246.40127636801</v>
      </c>
      <c r="I1197" s="21">
        <f t="shared" si="36"/>
        <v>27916.792345397</v>
      </c>
      <c r="J1197" s="21">
        <f t="shared" si="37"/>
        <v>73628.838080208981</v>
      </c>
    </row>
    <row r="1198" spans="1:10" hidden="1">
      <c r="A1198" t="s">
        <v>76</v>
      </c>
      <c r="B1198" t="s">
        <v>366</v>
      </c>
      <c r="C1198" s="18">
        <v>2039</v>
      </c>
      <c r="D1198" t="s">
        <v>365</v>
      </c>
      <c r="E1198" s="9">
        <v>43619.355947640099</v>
      </c>
      <c r="F1198" s="9">
        <v>7548.6320381183896</v>
      </c>
      <c r="G1198" s="9">
        <v>43588.845456636998</v>
      </c>
      <c r="H1198" s="9">
        <v>7547.5598608641003</v>
      </c>
      <c r="I1198" s="21">
        <f t="shared" si="36"/>
        <v>-1.0721772542892722</v>
      </c>
      <c r="J1198" s="21">
        <f t="shared" si="37"/>
        <v>-30.510491003100469</v>
      </c>
    </row>
    <row r="1199" spans="1:10" hidden="1">
      <c r="A1199" t="s">
        <v>76</v>
      </c>
      <c r="B1199" t="s">
        <v>366</v>
      </c>
      <c r="C1199" s="18">
        <v>2040</v>
      </c>
      <c r="D1199" t="s">
        <v>167</v>
      </c>
      <c r="E1199" s="9">
        <v>19543.848822300501</v>
      </c>
      <c r="F1199" s="9">
        <v>13813.4022455801</v>
      </c>
      <c r="G1199" s="9">
        <v>19235.736542927301</v>
      </c>
      <c r="H1199" s="9">
        <v>13698.9721681132</v>
      </c>
      <c r="I1199" s="21">
        <f t="shared" si="36"/>
        <v>-114.43007746690091</v>
      </c>
      <c r="J1199" s="21">
        <f t="shared" si="37"/>
        <v>-308.11227937319927</v>
      </c>
    </row>
    <row r="1200" spans="1:10" hidden="1">
      <c r="A1200" t="s">
        <v>76</v>
      </c>
      <c r="B1200" t="s">
        <v>366</v>
      </c>
      <c r="C1200" s="18">
        <v>2040</v>
      </c>
      <c r="D1200" t="s">
        <v>206</v>
      </c>
      <c r="E1200" s="9">
        <v>1116948.56493983</v>
      </c>
      <c r="F1200" s="9">
        <v>245705.96675457599</v>
      </c>
      <c r="G1200" s="9">
        <v>1192634.43006365</v>
      </c>
      <c r="H1200" s="9">
        <v>249894.478827588</v>
      </c>
      <c r="I1200" s="21">
        <f t="shared" si="36"/>
        <v>4188.5120730120107</v>
      </c>
      <c r="J1200" s="21">
        <f t="shared" si="37"/>
        <v>75685.865123820025</v>
      </c>
    </row>
    <row r="1201" spans="1:10" hidden="1">
      <c r="A1201" t="s">
        <v>76</v>
      </c>
      <c r="B1201" t="s">
        <v>366</v>
      </c>
      <c r="C1201" s="18">
        <v>2040</v>
      </c>
      <c r="D1201" t="s">
        <v>174</v>
      </c>
      <c r="E1201" s="9">
        <v>129334.709355832</v>
      </c>
      <c r="F1201" s="9">
        <v>87137.999670022997</v>
      </c>
      <c r="G1201" s="9">
        <v>138689.796610277</v>
      </c>
      <c r="H1201" s="9">
        <v>93636.896760059302</v>
      </c>
      <c r="I1201" s="21">
        <f t="shared" si="36"/>
        <v>6498.8970900363056</v>
      </c>
      <c r="J1201" s="21">
        <f t="shared" si="37"/>
        <v>9355.0872544449958</v>
      </c>
    </row>
    <row r="1202" spans="1:10" hidden="1">
      <c r="A1202" t="s">
        <v>76</v>
      </c>
      <c r="B1202" t="s">
        <v>366</v>
      </c>
      <c r="C1202" s="18">
        <v>2040</v>
      </c>
      <c r="D1202" t="s">
        <v>178</v>
      </c>
      <c r="E1202" s="9">
        <v>403198.06847955502</v>
      </c>
      <c r="F1202" s="9">
        <v>376963.09778437403</v>
      </c>
      <c r="G1202" s="9">
        <v>450841.764596063</v>
      </c>
      <c r="H1202" s="9">
        <v>418620.90894817398</v>
      </c>
      <c r="I1202" s="21">
        <f t="shared" si="36"/>
        <v>41657.811163799954</v>
      </c>
      <c r="J1202" s="21">
        <f t="shared" si="37"/>
        <v>47643.696116507985</v>
      </c>
    </row>
    <row r="1203" spans="1:10" hidden="1">
      <c r="A1203" t="s">
        <v>76</v>
      </c>
      <c r="B1203" t="s">
        <v>366</v>
      </c>
      <c r="C1203" s="18">
        <v>2040</v>
      </c>
      <c r="D1203" t="s">
        <v>181</v>
      </c>
      <c r="E1203" s="9">
        <v>649957.50658903399</v>
      </c>
      <c r="F1203" s="9">
        <v>433627.537977328</v>
      </c>
      <c r="G1203" s="9">
        <v>777088.49670209095</v>
      </c>
      <c r="H1203" s="9">
        <v>484947.105425179</v>
      </c>
      <c r="I1203" s="21">
        <f t="shared" si="36"/>
        <v>51319.567447851005</v>
      </c>
      <c r="J1203" s="21">
        <f t="shared" si="37"/>
        <v>127130.99011305696</v>
      </c>
    </row>
    <row r="1204" spans="1:10" hidden="1">
      <c r="A1204" t="s">
        <v>76</v>
      </c>
      <c r="B1204" t="s">
        <v>366</v>
      </c>
      <c r="C1204" s="18">
        <v>2040</v>
      </c>
      <c r="D1204" t="s">
        <v>184</v>
      </c>
      <c r="E1204" s="9">
        <v>513441.893548981</v>
      </c>
      <c r="F1204" s="9">
        <v>307905.42394349503</v>
      </c>
      <c r="G1204" s="9">
        <v>589359.73383284197</v>
      </c>
      <c r="H1204" s="9">
        <v>338039.01043044601</v>
      </c>
      <c r="I1204" s="21">
        <f t="shared" si="36"/>
        <v>30133.586486950982</v>
      </c>
      <c r="J1204" s="21">
        <f t="shared" si="37"/>
        <v>75917.840283860976</v>
      </c>
    </row>
    <row r="1205" spans="1:10" hidden="1">
      <c r="A1205" t="s">
        <v>76</v>
      </c>
      <c r="B1205" t="s">
        <v>366</v>
      </c>
      <c r="C1205" s="18">
        <v>2040</v>
      </c>
      <c r="D1205" t="s">
        <v>365</v>
      </c>
      <c r="E1205" s="9">
        <v>43500.166533425603</v>
      </c>
      <c r="F1205" s="9">
        <v>7575.0462580662997</v>
      </c>
      <c r="G1205" s="9">
        <v>43464.859681883601</v>
      </c>
      <c r="H1205" s="9">
        <v>7573.7255608269897</v>
      </c>
      <c r="I1205" s="21">
        <f t="shared" si="36"/>
        <v>-1.3206972393099932</v>
      </c>
      <c r="J1205" s="21">
        <f t="shared" si="37"/>
        <v>-35.306851542001823</v>
      </c>
    </row>
    <row r="1206" spans="1:10" hidden="1">
      <c r="A1206" t="s">
        <v>76</v>
      </c>
      <c r="B1206" t="s">
        <v>366</v>
      </c>
      <c r="C1206" s="18">
        <v>2041</v>
      </c>
      <c r="D1206" t="s">
        <v>167</v>
      </c>
      <c r="E1206" s="9">
        <v>20084.568997910599</v>
      </c>
      <c r="F1206" s="9">
        <v>14128.9069762707</v>
      </c>
      <c r="G1206" s="9">
        <v>19727.283486384</v>
      </c>
      <c r="H1206" s="9">
        <v>13991.606690282801</v>
      </c>
      <c r="I1206" s="21">
        <f t="shared" si="36"/>
        <v>-137.30028598789977</v>
      </c>
      <c r="J1206" s="21">
        <f t="shared" si="37"/>
        <v>-357.28551152659929</v>
      </c>
    </row>
    <row r="1207" spans="1:10" hidden="1">
      <c r="A1207" t="s">
        <v>76</v>
      </c>
      <c r="B1207" t="s">
        <v>366</v>
      </c>
      <c r="C1207" s="18">
        <v>2041</v>
      </c>
      <c r="D1207" t="s">
        <v>206</v>
      </c>
      <c r="E1207" s="9">
        <v>1121501.39458926</v>
      </c>
      <c r="F1207" s="9">
        <v>252867.46076440599</v>
      </c>
      <c r="G1207" s="9">
        <v>1199988.17586749</v>
      </c>
      <c r="H1207" s="9">
        <v>257599.044002988</v>
      </c>
      <c r="I1207" s="21">
        <f t="shared" si="36"/>
        <v>4731.5832385820104</v>
      </c>
      <c r="J1207" s="21">
        <f t="shared" si="37"/>
        <v>78486.781278230017</v>
      </c>
    </row>
    <row r="1208" spans="1:10" hidden="1">
      <c r="A1208" t="s">
        <v>76</v>
      </c>
      <c r="B1208" t="s">
        <v>366</v>
      </c>
      <c r="C1208" s="18">
        <v>2041</v>
      </c>
      <c r="D1208" t="s">
        <v>174</v>
      </c>
      <c r="E1208" s="9">
        <v>132150.15697007999</v>
      </c>
      <c r="F1208" s="9">
        <v>88908.4695702389</v>
      </c>
      <c r="G1208" s="9">
        <v>141475.570851386</v>
      </c>
      <c r="H1208" s="9">
        <v>95527.0063786807</v>
      </c>
      <c r="I1208" s="21">
        <f t="shared" si="36"/>
        <v>6618.5368084418005</v>
      </c>
      <c r="J1208" s="21">
        <f t="shared" si="37"/>
        <v>9325.4138813060126</v>
      </c>
    </row>
    <row r="1209" spans="1:10" hidden="1">
      <c r="A1209" t="s">
        <v>76</v>
      </c>
      <c r="B1209" t="s">
        <v>366</v>
      </c>
      <c r="C1209" s="18">
        <v>2041</v>
      </c>
      <c r="D1209" t="s">
        <v>178</v>
      </c>
      <c r="E1209" s="9">
        <v>409129.85616596497</v>
      </c>
      <c r="F1209" s="9">
        <v>382184.676600773</v>
      </c>
      <c r="G1209" s="9">
        <v>457698.12813480198</v>
      </c>
      <c r="H1209" s="9">
        <v>425005.77720965003</v>
      </c>
      <c r="I1209" s="21">
        <f t="shared" si="36"/>
        <v>42821.100608877023</v>
      </c>
      <c r="J1209" s="21">
        <f t="shared" si="37"/>
        <v>48568.271968837013</v>
      </c>
    </row>
    <row r="1210" spans="1:10" hidden="1">
      <c r="A1210" t="s">
        <v>76</v>
      </c>
      <c r="B1210" t="s">
        <v>366</v>
      </c>
      <c r="C1210" s="18">
        <v>2041</v>
      </c>
      <c r="D1210" t="s">
        <v>181</v>
      </c>
      <c r="E1210" s="9">
        <v>657186.448785897</v>
      </c>
      <c r="F1210" s="9">
        <v>438977.00727076002</v>
      </c>
      <c r="G1210" s="9">
        <v>788293.24275668897</v>
      </c>
      <c r="H1210" s="9">
        <v>494390.87324825901</v>
      </c>
      <c r="I1210" s="21">
        <f t="shared" si="36"/>
        <v>55413.865977498994</v>
      </c>
      <c r="J1210" s="21">
        <f t="shared" si="37"/>
        <v>131106.79397079197</v>
      </c>
    </row>
    <row r="1211" spans="1:10" hidden="1">
      <c r="A1211" t="s">
        <v>76</v>
      </c>
      <c r="B1211" t="s">
        <v>366</v>
      </c>
      <c r="C1211" s="18">
        <v>2041</v>
      </c>
      <c r="D1211" t="s">
        <v>184</v>
      </c>
      <c r="E1211" s="9">
        <v>523066.35015073902</v>
      </c>
      <c r="F1211" s="9">
        <v>315608.81741172302</v>
      </c>
      <c r="G1211" s="9">
        <v>601155.34094696096</v>
      </c>
      <c r="H1211" s="9">
        <v>347924.76632707799</v>
      </c>
      <c r="I1211" s="21">
        <f t="shared" si="36"/>
        <v>32315.948915354966</v>
      </c>
      <c r="J1211" s="21">
        <f t="shared" si="37"/>
        <v>78088.990796221944</v>
      </c>
    </row>
    <row r="1212" spans="1:10" hidden="1">
      <c r="A1212" t="s">
        <v>76</v>
      </c>
      <c r="B1212" t="s">
        <v>366</v>
      </c>
      <c r="C1212" s="18">
        <v>2041</v>
      </c>
      <c r="D1212" t="s">
        <v>365</v>
      </c>
      <c r="E1212" s="9">
        <v>43401.292227504302</v>
      </c>
      <c r="F1212" s="9">
        <v>7597.5905179247702</v>
      </c>
      <c r="G1212" s="9">
        <v>43360.9356755525</v>
      </c>
      <c r="H1212" s="9">
        <v>7595.9953338682099</v>
      </c>
      <c r="I1212" s="21">
        <f t="shared" si="36"/>
        <v>-1.5951840565603561</v>
      </c>
      <c r="J1212" s="21">
        <f t="shared" si="37"/>
        <v>-40.356551951801521</v>
      </c>
    </row>
    <row r="1213" spans="1:10" hidden="1">
      <c r="A1213" t="s">
        <v>76</v>
      </c>
      <c r="B1213" t="s">
        <v>366</v>
      </c>
      <c r="C1213" s="18">
        <v>2042</v>
      </c>
      <c r="D1213" t="s">
        <v>167</v>
      </c>
      <c r="E1213" s="9">
        <v>20632.371413904599</v>
      </c>
      <c r="F1213" s="9">
        <v>14446.9453834259</v>
      </c>
      <c r="G1213" s="9">
        <v>20222.268399164699</v>
      </c>
      <c r="H1213" s="9">
        <v>14284.6169088399</v>
      </c>
      <c r="I1213" s="21">
        <f t="shared" si="36"/>
        <v>-162.32847458600008</v>
      </c>
      <c r="J1213" s="21">
        <f t="shared" si="37"/>
        <v>-410.10301473989966</v>
      </c>
    </row>
    <row r="1214" spans="1:10" hidden="1">
      <c r="A1214" t="s">
        <v>76</v>
      </c>
      <c r="B1214" t="s">
        <v>366</v>
      </c>
      <c r="C1214" s="18">
        <v>2042</v>
      </c>
      <c r="D1214" t="s">
        <v>206</v>
      </c>
      <c r="E1214" s="9">
        <v>1125763.9896267799</v>
      </c>
      <c r="F1214" s="9">
        <v>259992.516085879</v>
      </c>
      <c r="G1214" s="9">
        <v>1206799.58929471</v>
      </c>
      <c r="H1214" s="9">
        <v>265289.409116733</v>
      </c>
      <c r="I1214" s="21">
        <f t="shared" si="36"/>
        <v>5296.8930308540002</v>
      </c>
      <c r="J1214" s="21">
        <f t="shared" si="37"/>
        <v>81035.599667930044</v>
      </c>
    </row>
    <row r="1215" spans="1:10" hidden="1">
      <c r="A1215" t="s">
        <v>76</v>
      </c>
      <c r="B1215" t="s">
        <v>366</v>
      </c>
      <c r="C1215" s="18">
        <v>2042</v>
      </c>
      <c r="D1215" t="s">
        <v>174</v>
      </c>
      <c r="E1215" s="9">
        <v>134968.16475749301</v>
      </c>
      <c r="F1215" s="9">
        <v>90692.009100525</v>
      </c>
      <c r="G1215" s="9">
        <v>144248.066926011</v>
      </c>
      <c r="H1215" s="9">
        <v>97406.156977096296</v>
      </c>
      <c r="I1215" s="21">
        <f t="shared" si="36"/>
        <v>6714.1478765712964</v>
      </c>
      <c r="J1215" s="21">
        <f t="shared" si="37"/>
        <v>9279.9021685179905</v>
      </c>
    </row>
    <row r="1216" spans="1:10" hidden="1">
      <c r="A1216" t="s">
        <v>76</v>
      </c>
      <c r="B1216" t="s">
        <v>366</v>
      </c>
      <c r="C1216" s="18">
        <v>2042</v>
      </c>
      <c r="D1216" t="s">
        <v>178</v>
      </c>
      <c r="E1216" s="9">
        <v>415052.50044939399</v>
      </c>
      <c r="F1216" s="9">
        <v>387481.911890093</v>
      </c>
      <c r="G1216" s="9">
        <v>464487.03899019101</v>
      </c>
      <c r="H1216" s="9">
        <v>431397.042999706</v>
      </c>
      <c r="I1216" s="21">
        <f t="shared" si="36"/>
        <v>43915.131109612994</v>
      </c>
      <c r="J1216" s="21">
        <f t="shared" si="37"/>
        <v>49434.538540797017</v>
      </c>
    </row>
    <row r="1217" spans="1:10" hidden="1">
      <c r="A1217" t="s">
        <v>76</v>
      </c>
      <c r="B1217" t="s">
        <v>366</v>
      </c>
      <c r="C1217" s="18">
        <v>2042</v>
      </c>
      <c r="D1217" t="s">
        <v>181</v>
      </c>
      <c r="E1217" s="9">
        <v>664347.15927241498</v>
      </c>
      <c r="F1217" s="9">
        <v>444190.88538635301</v>
      </c>
      <c r="G1217" s="9">
        <v>799225.499121645</v>
      </c>
      <c r="H1217" s="9">
        <v>503603.80380956898</v>
      </c>
      <c r="I1217" s="21">
        <f t="shared" si="36"/>
        <v>59412.918423215975</v>
      </c>
      <c r="J1217" s="21">
        <f t="shared" si="37"/>
        <v>134878.33984923002</v>
      </c>
    </row>
    <row r="1218" spans="1:10" hidden="1">
      <c r="A1218" t="s">
        <v>76</v>
      </c>
      <c r="B1218" t="s">
        <v>366</v>
      </c>
      <c r="C1218" s="18">
        <v>2042</v>
      </c>
      <c r="D1218" t="s">
        <v>184</v>
      </c>
      <c r="E1218" s="9">
        <v>532539.45531157905</v>
      </c>
      <c r="F1218" s="9">
        <v>323463.23512057599</v>
      </c>
      <c r="G1218" s="9">
        <v>612664.177038008</v>
      </c>
      <c r="H1218" s="9">
        <v>357930.93950443697</v>
      </c>
      <c r="I1218" s="21">
        <f t="shared" ref="I1218:I1281" si="38">H1218-F1218</f>
        <v>34467.704383860982</v>
      </c>
      <c r="J1218" s="21">
        <f t="shared" ref="J1218:J1275" si="39">G1218-E1218</f>
        <v>80124.72172642895</v>
      </c>
    </row>
    <row r="1219" spans="1:10" hidden="1">
      <c r="A1219" t="s">
        <v>76</v>
      </c>
      <c r="B1219" t="s">
        <v>366</v>
      </c>
      <c r="C1219" s="18">
        <v>2042</v>
      </c>
      <c r="D1219" t="s">
        <v>365</v>
      </c>
      <c r="E1219" s="9">
        <v>43324.381284691699</v>
      </c>
      <c r="F1219" s="9">
        <v>7618.4893660870002</v>
      </c>
      <c r="G1219" s="9">
        <v>43278.728481607301</v>
      </c>
      <c r="H1219" s="9">
        <v>7616.5928035502902</v>
      </c>
      <c r="I1219" s="21">
        <f t="shared" si="38"/>
        <v>-1.8965625367100074</v>
      </c>
      <c r="J1219" s="21">
        <f t="shared" si="39"/>
        <v>-45.652803084398329</v>
      </c>
    </row>
    <row r="1220" spans="1:10" hidden="1">
      <c r="A1220" t="s">
        <v>76</v>
      </c>
      <c r="B1220" t="s">
        <v>366</v>
      </c>
      <c r="C1220" s="18">
        <v>2043</v>
      </c>
      <c r="D1220" t="s">
        <v>167</v>
      </c>
      <c r="E1220" s="9">
        <v>21187.309053351299</v>
      </c>
      <c r="F1220" s="9">
        <v>14762.4339343994</v>
      </c>
      <c r="G1220" s="9">
        <v>20720.548205455299</v>
      </c>
      <c r="H1220" s="9">
        <v>14572.883153271399</v>
      </c>
      <c r="I1220" s="21">
        <f t="shared" si="38"/>
        <v>-189.55078112800038</v>
      </c>
      <c r="J1220" s="21">
        <f t="shared" si="39"/>
        <v>-466.76084789599918</v>
      </c>
    </row>
    <row r="1221" spans="1:10" hidden="1">
      <c r="A1221" t="s">
        <v>76</v>
      </c>
      <c r="B1221" t="s">
        <v>366</v>
      </c>
      <c r="C1221" s="18">
        <v>2043</v>
      </c>
      <c r="D1221" t="s">
        <v>206</v>
      </c>
      <c r="E1221" s="9">
        <v>1129709.2408030201</v>
      </c>
      <c r="F1221" s="9">
        <v>267068.12626776198</v>
      </c>
      <c r="G1221" s="9">
        <v>1213049.26096591</v>
      </c>
      <c r="H1221" s="9">
        <v>272950.43541917799</v>
      </c>
      <c r="I1221" s="21">
        <f t="shared" si="38"/>
        <v>5882.3091514160042</v>
      </c>
      <c r="J1221" s="21">
        <f t="shared" si="39"/>
        <v>83340.020162889967</v>
      </c>
    </row>
    <row r="1222" spans="1:10" hidden="1">
      <c r="A1222" t="s">
        <v>76</v>
      </c>
      <c r="B1222" t="s">
        <v>366</v>
      </c>
      <c r="C1222" s="18">
        <v>2043</v>
      </c>
      <c r="D1222" t="s">
        <v>174</v>
      </c>
      <c r="E1222" s="9">
        <v>137776.66386812899</v>
      </c>
      <c r="F1222" s="9">
        <v>92483.313776593801</v>
      </c>
      <c r="G1222" s="9">
        <v>146993.81420820701</v>
      </c>
      <c r="H1222" s="9">
        <v>99271.391168072907</v>
      </c>
      <c r="I1222" s="21">
        <f t="shared" si="38"/>
        <v>6788.0773914791062</v>
      </c>
      <c r="J1222" s="21">
        <f t="shared" si="39"/>
        <v>9217.1503400780202</v>
      </c>
    </row>
    <row r="1223" spans="1:10" hidden="1">
      <c r="A1223" t="s">
        <v>76</v>
      </c>
      <c r="B1223" t="s">
        <v>366</v>
      </c>
      <c r="C1223" s="18">
        <v>2043</v>
      </c>
      <c r="D1223" t="s">
        <v>178</v>
      </c>
      <c r="E1223" s="9">
        <v>420917.69329988101</v>
      </c>
      <c r="F1223" s="9">
        <v>392747.21386708401</v>
      </c>
      <c r="G1223" s="9">
        <v>471154.83958066901</v>
      </c>
      <c r="H1223" s="9">
        <v>437679.98847184202</v>
      </c>
      <c r="I1223" s="21">
        <f t="shared" si="38"/>
        <v>44932.774604758015</v>
      </c>
      <c r="J1223" s="21">
        <f t="shared" si="39"/>
        <v>50237.146280788002</v>
      </c>
    </row>
    <row r="1224" spans="1:10" hidden="1">
      <c r="A1224" t="s">
        <v>76</v>
      </c>
      <c r="B1224" t="s">
        <v>366</v>
      </c>
      <c r="C1224" s="18">
        <v>2043</v>
      </c>
      <c r="D1224" t="s">
        <v>181</v>
      </c>
      <c r="E1224" s="9">
        <v>671546.392786943</v>
      </c>
      <c r="F1224" s="9">
        <v>449297.75495856599</v>
      </c>
      <c r="G1224" s="9">
        <v>810014.77283431904</v>
      </c>
      <c r="H1224" s="9">
        <v>512610.44917931297</v>
      </c>
      <c r="I1224" s="21">
        <f t="shared" si="38"/>
        <v>63312.694220746984</v>
      </c>
      <c r="J1224" s="21">
        <f t="shared" si="39"/>
        <v>138468.38004737603</v>
      </c>
    </row>
    <row r="1225" spans="1:10" hidden="1">
      <c r="A1225" t="s">
        <v>76</v>
      </c>
      <c r="B1225" t="s">
        <v>366</v>
      </c>
      <c r="C1225" s="18">
        <v>2043</v>
      </c>
      <c r="D1225" t="s">
        <v>184</v>
      </c>
      <c r="E1225" s="9">
        <v>541918.60835060396</v>
      </c>
      <c r="F1225" s="9">
        <v>331381.41611421399</v>
      </c>
      <c r="G1225" s="9">
        <v>623953.35649413895</v>
      </c>
      <c r="H1225" s="9">
        <v>367959.059248153</v>
      </c>
      <c r="I1225" s="21">
        <f t="shared" si="38"/>
        <v>36577.643133939011</v>
      </c>
      <c r="J1225" s="21">
        <f t="shared" si="39"/>
        <v>82034.748143534991</v>
      </c>
    </row>
    <row r="1226" spans="1:10" hidden="1">
      <c r="A1226" t="s">
        <v>76</v>
      </c>
      <c r="B1226" t="s">
        <v>366</v>
      </c>
      <c r="C1226" s="18">
        <v>2043</v>
      </c>
      <c r="D1226" t="s">
        <v>365</v>
      </c>
      <c r="E1226" s="9">
        <v>43283.331609777597</v>
      </c>
      <c r="F1226" s="9">
        <v>7636.8637402214699</v>
      </c>
      <c r="G1226" s="9">
        <v>43232.1385441846</v>
      </c>
      <c r="H1226" s="9">
        <v>7634.6380979097503</v>
      </c>
      <c r="I1226" s="21">
        <f t="shared" si="38"/>
        <v>-2.2256423117196391</v>
      </c>
      <c r="J1226" s="21">
        <f t="shared" si="39"/>
        <v>-51.1930655929973</v>
      </c>
    </row>
    <row r="1227" spans="1:10" hidden="1">
      <c r="A1227" t="s">
        <v>76</v>
      </c>
      <c r="B1227" t="s">
        <v>366</v>
      </c>
      <c r="C1227" s="18">
        <v>2044</v>
      </c>
      <c r="D1227" t="s">
        <v>167</v>
      </c>
      <c r="E1227" s="9">
        <v>21747.658152179902</v>
      </c>
      <c r="F1227" s="9">
        <v>15080.4058739913</v>
      </c>
      <c r="G1227" s="9">
        <v>21220.2473713984</v>
      </c>
      <c r="H1227" s="9">
        <v>14861.4315691186</v>
      </c>
      <c r="I1227" s="21">
        <f t="shared" si="38"/>
        <v>-218.97430487269958</v>
      </c>
      <c r="J1227" s="21">
        <f t="shared" si="39"/>
        <v>-527.41078078150167</v>
      </c>
    </row>
    <row r="1228" spans="1:10" hidden="1">
      <c r="A1228" t="s">
        <v>76</v>
      </c>
      <c r="B1228" t="s">
        <v>366</v>
      </c>
      <c r="C1228" s="18">
        <v>2044</v>
      </c>
      <c r="D1228" t="s">
        <v>206</v>
      </c>
      <c r="E1228" s="9">
        <v>1133558.7608179799</v>
      </c>
      <c r="F1228" s="9">
        <v>274020.81210302003</v>
      </c>
      <c r="G1228" s="9">
        <v>1218988.4670045001</v>
      </c>
      <c r="H1228" s="9">
        <v>280506.44153550803</v>
      </c>
      <c r="I1228" s="21">
        <f t="shared" si="38"/>
        <v>6485.629432488</v>
      </c>
      <c r="J1228" s="21">
        <f t="shared" si="39"/>
        <v>85429.706186520169</v>
      </c>
    </row>
    <row r="1229" spans="1:10" hidden="1">
      <c r="A1229" t="s">
        <v>76</v>
      </c>
      <c r="B1229" t="s">
        <v>366</v>
      </c>
      <c r="C1229" s="18">
        <v>2044</v>
      </c>
      <c r="D1229" t="s">
        <v>174</v>
      </c>
      <c r="E1229" s="9">
        <v>140560.57207438999</v>
      </c>
      <c r="F1229" s="9">
        <v>94270.546901583104</v>
      </c>
      <c r="G1229" s="9">
        <v>149696.21396730101</v>
      </c>
      <c r="H1229" s="9">
        <v>101112.290089553</v>
      </c>
      <c r="I1229" s="21">
        <f t="shared" si="38"/>
        <v>6841.7431879698997</v>
      </c>
      <c r="J1229" s="21">
        <f t="shared" si="39"/>
        <v>9135.6418929110223</v>
      </c>
    </row>
    <row r="1230" spans="1:10" hidden="1">
      <c r="A1230" t="s">
        <v>76</v>
      </c>
      <c r="B1230" t="s">
        <v>366</v>
      </c>
      <c r="C1230" s="18">
        <v>2044</v>
      </c>
      <c r="D1230" t="s">
        <v>178</v>
      </c>
      <c r="E1230" s="9">
        <v>426617.429659908</v>
      </c>
      <c r="F1230" s="9">
        <v>397928.98015834799</v>
      </c>
      <c r="G1230" s="9">
        <v>477581.31483664498</v>
      </c>
      <c r="H1230" s="9">
        <v>443800.63719739497</v>
      </c>
      <c r="I1230" s="21">
        <f t="shared" si="38"/>
        <v>45871.657039046986</v>
      </c>
      <c r="J1230" s="21">
        <f t="shared" si="39"/>
        <v>50963.885176736978</v>
      </c>
    </row>
    <row r="1231" spans="1:10" hidden="1">
      <c r="A1231" t="s">
        <v>76</v>
      </c>
      <c r="B1231" t="s">
        <v>366</v>
      </c>
      <c r="C1231" s="18">
        <v>2044</v>
      </c>
      <c r="D1231" t="s">
        <v>181</v>
      </c>
      <c r="E1231" s="9">
        <v>678849.72351576795</v>
      </c>
      <c r="F1231" s="9">
        <v>454308.03586391802</v>
      </c>
      <c r="G1231" s="9">
        <v>820742.37012193399</v>
      </c>
      <c r="H1231" s="9">
        <v>521420.17033099697</v>
      </c>
      <c r="I1231" s="21">
        <f t="shared" si="38"/>
        <v>67112.134467078955</v>
      </c>
      <c r="J1231" s="21">
        <f t="shared" si="39"/>
        <v>141892.64660616603</v>
      </c>
    </row>
    <row r="1232" spans="1:10" hidden="1">
      <c r="A1232" t="s">
        <v>76</v>
      </c>
      <c r="B1232" t="s">
        <v>366</v>
      </c>
      <c r="C1232" s="18">
        <v>2044</v>
      </c>
      <c r="D1232" t="s">
        <v>184</v>
      </c>
      <c r="E1232" s="9">
        <v>551203.51598406304</v>
      </c>
      <c r="F1232" s="9">
        <v>339283.10642450798</v>
      </c>
      <c r="G1232" s="9">
        <v>635024.54646764905</v>
      </c>
      <c r="H1232" s="9">
        <v>377918.58989895799</v>
      </c>
      <c r="I1232" s="21">
        <f t="shared" si="38"/>
        <v>38635.483474450011</v>
      </c>
      <c r="J1232" s="21">
        <f t="shared" si="39"/>
        <v>83821.030483586015</v>
      </c>
    </row>
    <row r="1233" spans="1:10" hidden="1">
      <c r="A1233" t="s">
        <v>76</v>
      </c>
      <c r="B1233" t="s">
        <v>366</v>
      </c>
      <c r="C1233" s="18">
        <v>2044</v>
      </c>
      <c r="D1233" t="s">
        <v>365</v>
      </c>
      <c r="E1233" s="9">
        <v>43259.5976574452</v>
      </c>
      <c r="F1233" s="9">
        <v>7655.30513578097</v>
      </c>
      <c r="G1233" s="9">
        <v>43202.630038859497</v>
      </c>
      <c r="H1233" s="9">
        <v>7652.7218257366803</v>
      </c>
      <c r="I1233" s="21">
        <f t="shared" si="38"/>
        <v>-2.5833100442896466</v>
      </c>
      <c r="J1233" s="21">
        <f t="shared" si="39"/>
        <v>-56.967618585702439</v>
      </c>
    </row>
    <row r="1234" spans="1:10" hidden="1">
      <c r="A1234" t="s">
        <v>76</v>
      </c>
      <c r="B1234" t="s">
        <v>366</v>
      </c>
      <c r="C1234" s="18">
        <v>2045</v>
      </c>
      <c r="D1234" t="s">
        <v>167</v>
      </c>
      <c r="E1234" s="9">
        <v>22309.646391407299</v>
      </c>
      <c r="F1234" s="9">
        <v>15398.8992247197</v>
      </c>
      <c r="G1234" s="9">
        <v>21717.616521529701</v>
      </c>
      <c r="H1234" s="9">
        <v>15148.297956242301</v>
      </c>
      <c r="I1234" s="21">
        <f t="shared" si="38"/>
        <v>-250.60126847739957</v>
      </c>
      <c r="J1234" s="21">
        <f t="shared" si="39"/>
        <v>-592.02986987759868</v>
      </c>
    </row>
    <row r="1235" spans="1:10" hidden="1">
      <c r="A1235" t="s">
        <v>76</v>
      </c>
      <c r="B1235" t="s">
        <v>366</v>
      </c>
      <c r="C1235" s="18">
        <v>2045</v>
      </c>
      <c r="D1235" t="s">
        <v>206</v>
      </c>
      <c r="E1235" s="9">
        <v>1137348.06420482</v>
      </c>
      <c r="F1235" s="9">
        <v>280820.77837370802</v>
      </c>
      <c r="G1235" s="9">
        <v>1224668.96644768</v>
      </c>
      <c r="H1235" s="9">
        <v>287925.04322278401</v>
      </c>
      <c r="I1235" s="21">
        <f t="shared" si="38"/>
        <v>7104.2648490759893</v>
      </c>
      <c r="J1235" s="21">
        <f t="shared" si="39"/>
        <v>87320.902242860058</v>
      </c>
    </row>
    <row r="1236" spans="1:10" hidden="1">
      <c r="A1236" t="s">
        <v>76</v>
      </c>
      <c r="B1236" t="s">
        <v>366</v>
      </c>
      <c r="C1236" s="18">
        <v>2045</v>
      </c>
      <c r="D1236" t="s">
        <v>174</v>
      </c>
      <c r="E1236" s="9">
        <v>143303.820753204</v>
      </c>
      <c r="F1236" s="9">
        <v>96057.972562574301</v>
      </c>
      <c r="G1236" s="9">
        <v>152338.05281588601</v>
      </c>
      <c r="H1236" s="9">
        <v>102935.314985138</v>
      </c>
      <c r="I1236" s="21">
        <f t="shared" si="38"/>
        <v>6877.3424225636991</v>
      </c>
      <c r="J1236" s="21">
        <f t="shared" si="39"/>
        <v>9034.2320626820147</v>
      </c>
    </row>
    <row r="1237" spans="1:10" hidden="1">
      <c r="A1237" t="s">
        <v>76</v>
      </c>
      <c r="B1237" t="s">
        <v>366</v>
      </c>
      <c r="C1237" s="18">
        <v>2045</v>
      </c>
      <c r="D1237" t="s">
        <v>178</v>
      </c>
      <c r="E1237" s="9">
        <v>432111.79032777</v>
      </c>
      <c r="F1237" s="9">
        <v>402987.920573877</v>
      </c>
      <c r="G1237" s="9">
        <v>483723.51612219802</v>
      </c>
      <c r="H1237" s="9">
        <v>449717.558047709</v>
      </c>
      <c r="I1237" s="21">
        <f t="shared" si="38"/>
        <v>46729.637473832001</v>
      </c>
      <c r="J1237" s="21">
        <f t="shared" si="39"/>
        <v>51611.725794428028</v>
      </c>
    </row>
    <row r="1238" spans="1:10" hidden="1">
      <c r="A1238" t="s">
        <v>76</v>
      </c>
      <c r="B1238" t="s">
        <v>366</v>
      </c>
      <c r="C1238" s="18">
        <v>2045</v>
      </c>
      <c r="D1238" t="s">
        <v>181</v>
      </c>
      <c r="E1238" s="9">
        <v>686307.17619823397</v>
      </c>
      <c r="F1238" s="9">
        <v>459194.239697918</v>
      </c>
      <c r="G1238" s="9">
        <v>831470.21009817696</v>
      </c>
      <c r="H1238" s="9">
        <v>529994.22695920803</v>
      </c>
      <c r="I1238" s="21">
        <f t="shared" si="38"/>
        <v>70799.987261290022</v>
      </c>
      <c r="J1238" s="21">
        <f t="shared" si="39"/>
        <v>145163.033899943</v>
      </c>
    </row>
    <row r="1239" spans="1:10" hidden="1">
      <c r="A1239" t="s">
        <v>76</v>
      </c>
      <c r="B1239" t="s">
        <v>366</v>
      </c>
      <c r="C1239" s="18">
        <v>2045</v>
      </c>
      <c r="D1239" t="s">
        <v>184</v>
      </c>
      <c r="E1239" s="9">
        <v>560265.16997243697</v>
      </c>
      <c r="F1239" s="9">
        <v>347119.26958848099</v>
      </c>
      <c r="G1239" s="9">
        <v>645730.44769895996</v>
      </c>
      <c r="H1239" s="9">
        <v>387750.67878189799</v>
      </c>
      <c r="I1239" s="21">
        <f t="shared" si="38"/>
        <v>40631.409193416999</v>
      </c>
      <c r="J1239" s="21">
        <f t="shared" si="39"/>
        <v>85465.277726522996</v>
      </c>
    </row>
    <row r="1240" spans="1:10" hidden="1">
      <c r="A1240" t="s">
        <v>76</v>
      </c>
      <c r="B1240" t="s">
        <v>366</v>
      </c>
      <c r="C1240" s="18">
        <v>2045</v>
      </c>
      <c r="D1240" t="s">
        <v>365</v>
      </c>
      <c r="E1240" s="9">
        <v>43253.570504464798</v>
      </c>
      <c r="F1240" s="9">
        <v>7675.0384741180696</v>
      </c>
      <c r="G1240" s="9">
        <v>43190.603751316099</v>
      </c>
      <c r="H1240" s="9">
        <v>7672.0682267846396</v>
      </c>
      <c r="I1240" s="21">
        <f t="shared" si="38"/>
        <v>-2.9702473334300521</v>
      </c>
      <c r="J1240" s="21">
        <f t="shared" si="39"/>
        <v>-62.966753148699354</v>
      </c>
    </row>
    <row r="1241" spans="1:10" hidden="1">
      <c r="A1241" t="s">
        <v>76</v>
      </c>
      <c r="B1241" t="s">
        <v>366</v>
      </c>
      <c r="C1241" s="18">
        <v>2046</v>
      </c>
      <c r="D1241" t="s">
        <v>167</v>
      </c>
      <c r="E1241" s="9">
        <v>22871.593070551698</v>
      </c>
      <c r="F1241" s="9">
        <v>15721.5212779379</v>
      </c>
      <c r="G1241" s="9">
        <v>22210.974521910699</v>
      </c>
      <c r="H1241" s="9">
        <v>15436.8918612077</v>
      </c>
      <c r="I1241" s="21">
        <f t="shared" si="38"/>
        <v>-284.62941673020032</v>
      </c>
      <c r="J1241" s="21">
        <f t="shared" si="39"/>
        <v>-660.61854864099951</v>
      </c>
    </row>
    <row r="1242" spans="1:10" hidden="1">
      <c r="A1242" t="s">
        <v>76</v>
      </c>
      <c r="B1242" t="s">
        <v>366</v>
      </c>
      <c r="C1242" s="18">
        <v>2046</v>
      </c>
      <c r="D1242" t="s">
        <v>206</v>
      </c>
      <c r="E1242" s="9">
        <v>1141096.58211117</v>
      </c>
      <c r="F1242" s="9">
        <v>287430.93831644801</v>
      </c>
      <c r="G1242" s="9">
        <v>1230125.0687766999</v>
      </c>
      <c r="H1242" s="9">
        <v>295165.87720880198</v>
      </c>
      <c r="I1242" s="21">
        <f t="shared" si="38"/>
        <v>7734.9388923539664</v>
      </c>
      <c r="J1242" s="21">
        <f t="shared" si="39"/>
        <v>89028.486665529897</v>
      </c>
    </row>
    <row r="1243" spans="1:10" hidden="1">
      <c r="A1243" t="s">
        <v>76</v>
      </c>
      <c r="B1243" t="s">
        <v>366</v>
      </c>
      <c r="C1243" s="18">
        <v>2046</v>
      </c>
      <c r="D1243" t="s">
        <v>174</v>
      </c>
      <c r="E1243" s="9">
        <v>146006.40172963301</v>
      </c>
      <c r="F1243" s="9">
        <v>97835.677902609095</v>
      </c>
      <c r="G1243" s="9">
        <v>154919.18519988199</v>
      </c>
      <c r="H1243" s="9">
        <v>104731.13398431199</v>
      </c>
      <c r="I1243" s="21">
        <f t="shared" si="38"/>
        <v>6895.4560817028978</v>
      </c>
      <c r="J1243" s="21">
        <f t="shared" si="39"/>
        <v>8912.7834702489781</v>
      </c>
    </row>
    <row r="1244" spans="1:10" hidden="1">
      <c r="A1244" t="s">
        <v>76</v>
      </c>
      <c r="B1244" t="s">
        <v>366</v>
      </c>
      <c r="C1244" s="18">
        <v>2046</v>
      </c>
      <c r="D1244" t="s">
        <v>178</v>
      </c>
      <c r="E1244" s="9">
        <v>437380.52859526803</v>
      </c>
      <c r="F1244" s="9">
        <v>407813.47664878803</v>
      </c>
      <c r="G1244" s="9">
        <v>489559.56948849699</v>
      </c>
      <c r="H1244" s="9">
        <v>455310.080020589</v>
      </c>
      <c r="I1244" s="21">
        <f t="shared" si="38"/>
        <v>47496.603371800971</v>
      </c>
      <c r="J1244" s="21">
        <f t="shared" si="39"/>
        <v>52179.040893228957</v>
      </c>
    </row>
    <row r="1245" spans="1:10" hidden="1">
      <c r="A1245" t="s">
        <v>76</v>
      </c>
      <c r="B1245" t="s">
        <v>366</v>
      </c>
      <c r="C1245" s="18">
        <v>2046</v>
      </c>
      <c r="D1245" t="s">
        <v>181</v>
      </c>
      <c r="E1245" s="9">
        <v>693769.28714258899</v>
      </c>
      <c r="F1245" s="9">
        <v>464058.33699907601</v>
      </c>
      <c r="G1245" s="9">
        <v>842022.211146035</v>
      </c>
      <c r="H1245" s="9">
        <v>538440.16822828504</v>
      </c>
      <c r="I1245" s="21">
        <f t="shared" si="38"/>
        <v>74381.831229209027</v>
      </c>
      <c r="J1245" s="21">
        <f t="shared" si="39"/>
        <v>148252.92400344601</v>
      </c>
    </row>
    <row r="1246" spans="1:10" hidden="1">
      <c r="A1246" t="s">
        <v>76</v>
      </c>
      <c r="B1246" t="s">
        <v>366</v>
      </c>
      <c r="C1246" s="18">
        <v>2046</v>
      </c>
      <c r="D1246" t="s">
        <v>184</v>
      </c>
      <c r="E1246" s="9">
        <v>569063.65289616899</v>
      </c>
      <c r="F1246" s="9">
        <v>354873.50093857897</v>
      </c>
      <c r="G1246" s="9">
        <v>656023.20384824695</v>
      </c>
      <c r="H1246" s="9">
        <v>397431.95060261199</v>
      </c>
      <c r="I1246" s="21">
        <f t="shared" si="38"/>
        <v>42558.449664033018</v>
      </c>
      <c r="J1246" s="21">
        <f t="shared" si="39"/>
        <v>86959.55095207796</v>
      </c>
    </row>
    <row r="1247" spans="1:10" hidden="1">
      <c r="A1247" t="s">
        <v>76</v>
      </c>
      <c r="B1247" t="s">
        <v>366</v>
      </c>
      <c r="C1247" s="18">
        <v>2046</v>
      </c>
      <c r="D1247" t="s">
        <v>365</v>
      </c>
      <c r="E1247" s="9">
        <v>43265.506150287503</v>
      </c>
      <c r="F1247" s="9">
        <v>7696.9433378244903</v>
      </c>
      <c r="G1247" s="9">
        <v>43196.310323112302</v>
      </c>
      <c r="H1247" s="9">
        <v>7693.5570486562501</v>
      </c>
      <c r="I1247" s="21">
        <f t="shared" si="38"/>
        <v>-3.3862891682401823</v>
      </c>
      <c r="J1247" s="21">
        <f t="shared" si="39"/>
        <v>-69.195827175200975</v>
      </c>
    </row>
    <row r="1248" spans="1:10" hidden="1">
      <c r="A1248" t="s">
        <v>76</v>
      </c>
      <c r="B1248" t="s">
        <v>366</v>
      </c>
      <c r="C1248" s="18">
        <v>2047</v>
      </c>
      <c r="D1248" t="s">
        <v>167</v>
      </c>
      <c r="E1248" s="9">
        <v>23432.864823643999</v>
      </c>
      <c r="F1248" s="9">
        <v>16049.7248336267</v>
      </c>
      <c r="G1248" s="9">
        <v>22699.6629629007</v>
      </c>
      <c r="H1248" s="9">
        <v>15728.485494730299</v>
      </c>
      <c r="I1248" s="21">
        <f t="shared" si="38"/>
        <v>-321.23933889640102</v>
      </c>
      <c r="J1248" s="21">
        <f t="shared" si="39"/>
        <v>-733.20186074329831</v>
      </c>
    </row>
    <row r="1249" spans="1:10" hidden="1">
      <c r="A1249" t="s">
        <v>76</v>
      </c>
      <c r="B1249" t="s">
        <v>366</v>
      </c>
      <c r="C1249" s="18">
        <v>2047</v>
      </c>
      <c r="D1249" t="s">
        <v>206</v>
      </c>
      <c r="E1249" s="9">
        <v>1144717.31353023</v>
      </c>
      <c r="F1249" s="9">
        <v>293806.29668103001</v>
      </c>
      <c r="G1249" s="9">
        <v>1235274.66521773</v>
      </c>
      <c r="H1249" s="9">
        <v>302180.55031250097</v>
      </c>
      <c r="I1249" s="21">
        <f t="shared" si="38"/>
        <v>8374.2536314709578</v>
      </c>
      <c r="J1249" s="21">
        <f t="shared" si="39"/>
        <v>90557.35168750002</v>
      </c>
    </row>
    <row r="1250" spans="1:10" hidden="1">
      <c r="A1250" t="s">
        <v>76</v>
      </c>
      <c r="B1250" t="s">
        <v>366</v>
      </c>
      <c r="C1250" s="18">
        <v>2047</v>
      </c>
      <c r="D1250" t="s">
        <v>174</v>
      </c>
      <c r="E1250" s="9">
        <v>148665.00979365001</v>
      </c>
      <c r="F1250" s="9">
        <v>99591.265051128896</v>
      </c>
      <c r="G1250" s="9">
        <v>157435.937342911</v>
      </c>
      <c r="H1250" s="9">
        <v>106487.67776034201</v>
      </c>
      <c r="I1250" s="21">
        <f t="shared" si="38"/>
        <v>6896.4127092131093</v>
      </c>
      <c r="J1250" s="21">
        <f t="shared" si="39"/>
        <v>8770.9275492609886</v>
      </c>
    </row>
    <row r="1251" spans="1:10" hidden="1">
      <c r="A1251" t="s">
        <v>76</v>
      </c>
      <c r="B1251" t="s">
        <v>366</v>
      </c>
      <c r="C1251" s="18">
        <v>2047</v>
      </c>
      <c r="D1251" t="s">
        <v>178</v>
      </c>
      <c r="E1251" s="9">
        <v>442385.67155900301</v>
      </c>
      <c r="F1251" s="9">
        <v>412368.64498431899</v>
      </c>
      <c r="G1251" s="9">
        <v>495047.33168069902</v>
      </c>
      <c r="H1251" s="9">
        <v>460539.427749469</v>
      </c>
      <c r="I1251" s="21">
        <f t="shared" si="38"/>
        <v>48170.782765150012</v>
      </c>
      <c r="J1251" s="21">
        <f t="shared" si="39"/>
        <v>52661.660121696012</v>
      </c>
    </row>
    <row r="1252" spans="1:10" hidden="1">
      <c r="A1252" t="s">
        <v>76</v>
      </c>
      <c r="B1252" t="s">
        <v>366</v>
      </c>
      <c r="C1252" s="18">
        <v>2047</v>
      </c>
      <c r="D1252" t="s">
        <v>181</v>
      </c>
      <c r="E1252" s="9">
        <v>701192.24908830097</v>
      </c>
      <c r="F1252" s="9">
        <v>469023.95459159103</v>
      </c>
      <c r="G1252" s="9">
        <v>852357.03689663101</v>
      </c>
      <c r="H1252" s="9">
        <v>546892.884748123</v>
      </c>
      <c r="I1252" s="21">
        <f t="shared" si="38"/>
        <v>77868.930156531977</v>
      </c>
      <c r="J1252" s="21">
        <f t="shared" si="39"/>
        <v>151164.78780833003</v>
      </c>
    </row>
    <row r="1253" spans="1:10" hidden="1">
      <c r="A1253" t="s">
        <v>76</v>
      </c>
      <c r="B1253" t="s">
        <v>366</v>
      </c>
      <c r="C1253" s="18">
        <v>2047</v>
      </c>
      <c r="D1253" t="s">
        <v>184</v>
      </c>
      <c r="E1253" s="9">
        <v>577650.13968324102</v>
      </c>
      <c r="F1253" s="9">
        <v>362531.28932470799</v>
      </c>
      <c r="G1253" s="9">
        <v>665960.53053760703</v>
      </c>
      <c r="H1253" s="9">
        <v>406938.30985862098</v>
      </c>
      <c r="I1253" s="21">
        <f t="shared" si="38"/>
        <v>44407.02053391299</v>
      </c>
      <c r="J1253" s="21">
        <f t="shared" si="39"/>
        <v>88310.390854366007</v>
      </c>
    </row>
    <row r="1254" spans="1:10" hidden="1">
      <c r="A1254" t="s">
        <v>76</v>
      </c>
      <c r="B1254" t="s">
        <v>366</v>
      </c>
      <c r="C1254" s="18">
        <v>2047</v>
      </c>
      <c r="D1254" t="s">
        <v>365</v>
      </c>
      <c r="E1254" s="9">
        <v>43293.297791082798</v>
      </c>
      <c r="F1254" s="9">
        <v>7720.0959046213302</v>
      </c>
      <c r="G1254" s="9">
        <v>43217.634192350401</v>
      </c>
      <c r="H1254" s="9">
        <v>7716.2645250788601</v>
      </c>
      <c r="I1254" s="21">
        <f t="shared" si="38"/>
        <v>-3.8313795424701311</v>
      </c>
      <c r="J1254" s="21">
        <f t="shared" si="39"/>
        <v>-75.663598732397077</v>
      </c>
    </row>
    <row r="1255" spans="1:10" hidden="1">
      <c r="A1255" t="s">
        <v>76</v>
      </c>
      <c r="B1255" t="s">
        <v>366</v>
      </c>
      <c r="C1255" s="18">
        <v>2048</v>
      </c>
      <c r="D1255" t="s">
        <v>167</v>
      </c>
      <c r="E1255" s="9">
        <v>23989.432433169499</v>
      </c>
      <c r="F1255" s="9">
        <v>16385.502186195201</v>
      </c>
      <c r="G1255" s="9">
        <v>23179.777529823201</v>
      </c>
      <c r="H1255" s="9">
        <v>16025.2187605858</v>
      </c>
      <c r="I1255" s="21">
        <f t="shared" si="38"/>
        <v>-360.28342560940109</v>
      </c>
      <c r="J1255" s="21">
        <f t="shared" si="39"/>
        <v>-809.65490334629794</v>
      </c>
    </row>
    <row r="1256" spans="1:10" hidden="1">
      <c r="A1256" t="s">
        <v>76</v>
      </c>
      <c r="B1256" t="s">
        <v>366</v>
      </c>
      <c r="C1256" s="18">
        <v>2048</v>
      </c>
      <c r="D1256" t="s">
        <v>206</v>
      </c>
      <c r="E1256" s="9">
        <v>1148283.49356805</v>
      </c>
      <c r="F1256" s="9">
        <v>299943.80502454902</v>
      </c>
      <c r="G1256" s="9">
        <v>1240209.10376068</v>
      </c>
      <c r="H1256" s="9">
        <v>308964.31037728197</v>
      </c>
      <c r="I1256" s="21">
        <f t="shared" si="38"/>
        <v>9020.5053527329583</v>
      </c>
      <c r="J1256" s="21">
        <f t="shared" si="39"/>
        <v>91925.610192629974</v>
      </c>
    </row>
    <row r="1257" spans="1:10" hidden="1">
      <c r="A1257" t="s">
        <v>76</v>
      </c>
      <c r="B1257" t="s">
        <v>366</v>
      </c>
      <c r="C1257" s="18">
        <v>2048</v>
      </c>
      <c r="D1257" t="s">
        <v>174</v>
      </c>
      <c r="E1257" s="9">
        <v>151268.52844839901</v>
      </c>
      <c r="F1257" s="9">
        <v>101323.77639280799</v>
      </c>
      <c r="G1257" s="9">
        <v>159877.06955740901</v>
      </c>
      <c r="H1257" s="9">
        <v>108205.309376064</v>
      </c>
      <c r="I1257" s="21">
        <f t="shared" si="38"/>
        <v>6881.5329832560092</v>
      </c>
      <c r="J1257" s="21">
        <f t="shared" si="39"/>
        <v>8608.5411090099951</v>
      </c>
    </row>
    <row r="1258" spans="1:10" hidden="1">
      <c r="A1258" t="s">
        <v>76</v>
      </c>
      <c r="B1258" t="s">
        <v>366</v>
      </c>
      <c r="C1258" s="18">
        <v>2048</v>
      </c>
      <c r="D1258" t="s">
        <v>178</v>
      </c>
      <c r="E1258" s="9">
        <v>447182.660974383</v>
      </c>
      <c r="F1258" s="9">
        <v>416787.29326206201</v>
      </c>
      <c r="G1258" s="9">
        <v>500251.96367663803</v>
      </c>
      <c r="H1258" s="9">
        <v>465558.478994868</v>
      </c>
      <c r="I1258" s="21">
        <f t="shared" si="38"/>
        <v>48771.185732805985</v>
      </c>
      <c r="J1258" s="21">
        <f t="shared" si="39"/>
        <v>53069.302702255023</v>
      </c>
    </row>
    <row r="1259" spans="1:10" hidden="1">
      <c r="A1259" t="s">
        <v>76</v>
      </c>
      <c r="B1259" t="s">
        <v>366</v>
      </c>
      <c r="C1259" s="18">
        <v>2048</v>
      </c>
      <c r="D1259" t="s">
        <v>181</v>
      </c>
      <c r="E1259" s="9">
        <v>708528.06976704102</v>
      </c>
      <c r="F1259" s="9">
        <v>473979.48290388897</v>
      </c>
      <c r="G1259" s="9">
        <v>862421.19766606798</v>
      </c>
      <c r="H1259" s="9">
        <v>555219.25427407597</v>
      </c>
      <c r="I1259" s="21">
        <f t="shared" si="38"/>
        <v>81239.771370186994</v>
      </c>
      <c r="J1259" s="21">
        <f t="shared" si="39"/>
        <v>153893.12789902696</v>
      </c>
    </row>
    <row r="1260" spans="1:10" hidden="1">
      <c r="A1260" t="s">
        <v>76</v>
      </c>
      <c r="B1260" t="s">
        <v>366</v>
      </c>
      <c r="C1260" s="18">
        <v>2048</v>
      </c>
      <c r="D1260" t="s">
        <v>184</v>
      </c>
      <c r="E1260" s="9">
        <v>586017.14944455097</v>
      </c>
      <c r="F1260" s="9">
        <v>370055.27554083703</v>
      </c>
      <c r="G1260" s="9">
        <v>675538.06713143899</v>
      </c>
      <c r="H1260" s="9">
        <v>416221.14564351598</v>
      </c>
      <c r="I1260" s="21">
        <f t="shared" si="38"/>
        <v>46165.870102678949</v>
      </c>
      <c r="J1260" s="21">
        <f t="shared" si="39"/>
        <v>89520.917686888017</v>
      </c>
    </row>
    <row r="1261" spans="1:10" hidden="1">
      <c r="A1261" t="s">
        <v>76</v>
      </c>
      <c r="B1261" t="s">
        <v>366</v>
      </c>
      <c r="C1261" s="18">
        <v>2048</v>
      </c>
      <c r="D1261" t="s">
        <v>365</v>
      </c>
      <c r="E1261" s="9">
        <v>43329.469944653501</v>
      </c>
      <c r="F1261" s="9">
        <v>7745.2747755254704</v>
      </c>
      <c r="G1261" s="9">
        <v>43247.116568268502</v>
      </c>
      <c r="H1261" s="9">
        <v>7740.9682323091401</v>
      </c>
      <c r="I1261" s="21">
        <f t="shared" si="38"/>
        <v>-4.306543216330283</v>
      </c>
      <c r="J1261" s="21">
        <f t="shared" si="39"/>
        <v>-82.353376384999137</v>
      </c>
    </row>
    <row r="1262" spans="1:10" hidden="1">
      <c r="A1262" t="s">
        <v>76</v>
      </c>
      <c r="B1262" t="s">
        <v>366</v>
      </c>
      <c r="C1262" s="18">
        <v>2049</v>
      </c>
      <c r="D1262" t="s">
        <v>167</v>
      </c>
      <c r="E1262" s="9">
        <v>24540.097594270799</v>
      </c>
      <c r="F1262" s="9">
        <v>16724.337628401299</v>
      </c>
      <c r="G1262" s="9">
        <v>23650.361484044901</v>
      </c>
      <c r="H1262" s="9">
        <v>16322.61151708</v>
      </c>
      <c r="I1262" s="21">
        <f t="shared" si="38"/>
        <v>-401.72611132129896</v>
      </c>
      <c r="J1262" s="21">
        <f t="shared" si="39"/>
        <v>-889.7361102258983</v>
      </c>
    </row>
    <row r="1263" spans="1:10" hidden="1">
      <c r="A1263" t="s">
        <v>76</v>
      </c>
      <c r="B1263" t="s">
        <v>366</v>
      </c>
      <c r="C1263" s="18">
        <v>2049</v>
      </c>
      <c r="D1263" t="s">
        <v>206</v>
      </c>
      <c r="E1263" s="9">
        <v>1151813.8385615801</v>
      </c>
      <c r="F1263" s="9">
        <v>305856.95586729399</v>
      </c>
      <c r="G1263" s="9">
        <v>1244958.37630862</v>
      </c>
      <c r="H1263" s="9">
        <v>315528.65457465599</v>
      </c>
      <c r="I1263" s="21">
        <f t="shared" si="38"/>
        <v>9671.6987073619966</v>
      </c>
      <c r="J1263" s="21">
        <f t="shared" si="39"/>
        <v>93144.537747039925</v>
      </c>
    </row>
    <row r="1264" spans="1:10" hidden="1">
      <c r="A1264" t="s">
        <v>76</v>
      </c>
      <c r="B1264" t="s">
        <v>366</v>
      </c>
      <c r="C1264" s="18">
        <v>2049</v>
      </c>
      <c r="D1264" t="s">
        <v>174</v>
      </c>
      <c r="E1264" s="9">
        <v>153811.90248933501</v>
      </c>
      <c r="F1264" s="9">
        <v>103030.445046268</v>
      </c>
      <c r="G1264" s="9">
        <v>162238.134685625</v>
      </c>
      <c r="H1264" s="9">
        <v>109882.371148655</v>
      </c>
      <c r="I1264" s="21">
        <f t="shared" si="38"/>
        <v>6851.9261023870058</v>
      </c>
      <c r="J1264" s="21">
        <f t="shared" si="39"/>
        <v>8426.2321962899878</v>
      </c>
    </row>
    <row r="1265" spans="1:10" hidden="1">
      <c r="A1265" t="s">
        <v>76</v>
      </c>
      <c r="B1265" t="s">
        <v>366</v>
      </c>
      <c r="C1265" s="18">
        <v>2049</v>
      </c>
      <c r="D1265" t="s">
        <v>178</v>
      </c>
      <c r="E1265" s="9">
        <v>451806.64342383499</v>
      </c>
      <c r="F1265" s="9">
        <v>421080.39500769897</v>
      </c>
      <c r="G1265" s="9">
        <v>505215.90050813899</v>
      </c>
      <c r="H1265" s="9">
        <v>470383.880162835</v>
      </c>
      <c r="I1265" s="21">
        <f t="shared" si="38"/>
        <v>49303.485155136033</v>
      </c>
      <c r="J1265" s="21">
        <f t="shared" si="39"/>
        <v>53409.257084304001</v>
      </c>
    </row>
    <row r="1266" spans="1:10" hidden="1">
      <c r="A1266" t="s">
        <v>76</v>
      </c>
      <c r="B1266" t="s">
        <v>366</v>
      </c>
      <c r="C1266" s="18">
        <v>2049</v>
      </c>
      <c r="D1266" t="s">
        <v>181</v>
      </c>
      <c r="E1266" s="9">
        <v>715630.44346654403</v>
      </c>
      <c r="F1266" s="9">
        <v>478861.780540812</v>
      </c>
      <c r="G1266" s="9">
        <v>872039.41256190802</v>
      </c>
      <c r="H1266" s="9">
        <v>563337.76559367101</v>
      </c>
      <c r="I1266" s="21">
        <f t="shared" si="38"/>
        <v>84475.985052859003</v>
      </c>
      <c r="J1266" s="21">
        <f t="shared" si="39"/>
        <v>156408.96909536398</v>
      </c>
    </row>
    <row r="1267" spans="1:10" hidden="1">
      <c r="A1267" t="s">
        <v>76</v>
      </c>
      <c r="B1267" t="s">
        <v>366</v>
      </c>
      <c r="C1267" s="18">
        <v>2049</v>
      </c>
      <c r="D1267" t="s">
        <v>184</v>
      </c>
      <c r="E1267" s="9">
        <v>594197.67042065202</v>
      </c>
      <c r="F1267" s="9">
        <v>377388.17081491399</v>
      </c>
      <c r="G1267" s="9">
        <v>684799.51924341801</v>
      </c>
      <c r="H1267" s="9">
        <v>425211.29480666103</v>
      </c>
      <c r="I1267" s="21">
        <f t="shared" si="38"/>
        <v>47823.123991747038</v>
      </c>
      <c r="J1267" s="21">
        <f t="shared" si="39"/>
        <v>90601.848822765984</v>
      </c>
    </row>
    <row r="1268" spans="1:10" hidden="1">
      <c r="A1268" t="s">
        <v>76</v>
      </c>
      <c r="B1268" t="s">
        <v>366</v>
      </c>
      <c r="C1268" s="18">
        <v>2049</v>
      </c>
      <c r="D1268" t="s">
        <v>365</v>
      </c>
      <c r="E1268" s="9">
        <v>43376.933317336603</v>
      </c>
      <c r="F1268" s="9">
        <v>7769.2374464231898</v>
      </c>
      <c r="G1268" s="9">
        <v>43287.694118175197</v>
      </c>
      <c r="H1268" s="9">
        <v>7764.4250577338198</v>
      </c>
      <c r="I1268" s="21">
        <f t="shared" si="38"/>
        <v>-4.8123886893699819</v>
      </c>
      <c r="J1268" s="21">
        <f t="shared" si="39"/>
        <v>-89.23919916140585</v>
      </c>
    </row>
    <row r="1269" spans="1:10" hidden="1">
      <c r="A1269" t="s">
        <v>76</v>
      </c>
      <c r="B1269" t="s">
        <v>366</v>
      </c>
      <c r="C1269" s="18">
        <v>2050</v>
      </c>
      <c r="D1269" t="s">
        <v>167</v>
      </c>
      <c r="E1269" s="9">
        <v>25083.652564845601</v>
      </c>
      <c r="F1269" s="9">
        <v>17064.401600490299</v>
      </c>
      <c r="G1269" s="9">
        <v>24110.4306261692</v>
      </c>
      <c r="H1269" s="9">
        <v>16618.923709126098</v>
      </c>
      <c r="I1269" s="21">
        <f t="shared" si="38"/>
        <v>-445.47789136420033</v>
      </c>
      <c r="J1269" s="21">
        <f t="shared" si="39"/>
        <v>-973.2219386764009</v>
      </c>
    </row>
    <row r="1270" spans="1:10" hidden="1">
      <c r="A1270" t="s">
        <v>76</v>
      </c>
      <c r="B1270" t="s">
        <v>366</v>
      </c>
      <c r="C1270" s="18">
        <v>2050</v>
      </c>
      <c r="D1270" t="s">
        <v>206</v>
      </c>
      <c r="E1270" s="9">
        <v>1155347.4120755701</v>
      </c>
      <c r="F1270" s="9">
        <v>311540.22263101599</v>
      </c>
      <c r="G1270" s="9">
        <v>1249574.9812984299</v>
      </c>
      <c r="H1270" s="9">
        <v>321866.14542390499</v>
      </c>
      <c r="I1270" s="21">
        <f t="shared" si="38"/>
        <v>10325.922792889003</v>
      </c>
      <c r="J1270" s="21">
        <f t="shared" si="39"/>
        <v>94227.569222859805</v>
      </c>
    </row>
    <row r="1271" spans="1:10" hidden="1">
      <c r="A1271" t="s">
        <v>76</v>
      </c>
      <c r="B1271" t="s">
        <v>366</v>
      </c>
      <c r="C1271" s="18">
        <v>2050</v>
      </c>
      <c r="D1271" t="s">
        <v>174</v>
      </c>
      <c r="E1271" s="9">
        <v>156301.59906638801</v>
      </c>
      <c r="F1271" s="9">
        <v>104689.09433264</v>
      </c>
      <c r="G1271" s="9">
        <v>164526.94959842</v>
      </c>
      <c r="H1271" s="9">
        <v>111496.260054028</v>
      </c>
      <c r="I1271" s="21">
        <f t="shared" si="38"/>
        <v>6807.1657213879953</v>
      </c>
      <c r="J1271" s="21">
        <f t="shared" si="39"/>
        <v>8225.3505320319964</v>
      </c>
    </row>
    <row r="1272" spans="1:10" hidden="1">
      <c r="A1272" t="s">
        <v>76</v>
      </c>
      <c r="B1272" t="s">
        <v>366</v>
      </c>
      <c r="C1272" s="18">
        <v>2050</v>
      </c>
      <c r="D1272" t="s">
        <v>178</v>
      </c>
      <c r="E1272" s="9">
        <v>456241.94294544403</v>
      </c>
      <c r="F1272" s="9">
        <v>425135.94510693499</v>
      </c>
      <c r="G1272" s="9">
        <v>509923.79465326603</v>
      </c>
      <c r="H1272" s="9">
        <v>474893.25455494301</v>
      </c>
      <c r="I1272" s="21">
        <f t="shared" si="38"/>
        <v>49757.309448008018</v>
      </c>
      <c r="J1272" s="21">
        <f t="shared" si="39"/>
        <v>53681.851707822003</v>
      </c>
    </row>
    <row r="1273" spans="1:10" hidden="1">
      <c r="A1273" t="s">
        <v>76</v>
      </c>
      <c r="B1273" t="s">
        <v>366</v>
      </c>
      <c r="C1273" s="18">
        <v>2050</v>
      </c>
      <c r="D1273" t="s">
        <v>181</v>
      </c>
      <c r="E1273" s="9">
        <v>722499.38386586495</v>
      </c>
      <c r="F1273" s="9">
        <v>483719.94505469198</v>
      </c>
      <c r="G1273" s="9">
        <v>881220.21017861494</v>
      </c>
      <c r="H1273" s="9">
        <v>571305.13066545594</v>
      </c>
      <c r="I1273" s="21">
        <f t="shared" si="38"/>
        <v>87585.185610763961</v>
      </c>
      <c r="J1273" s="21">
        <f t="shared" si="39"/>
        <v>158720.82631275</v>
      </c>
    </row>
    <row r="1274" spans="1:10" hidden="1">
      <c r="A1274" t="s">
        <v>76</v>
      </c>
      <c r="B1274" t="s">
        <v>366</v>
      </c>
      <c r="C1274" s="18">
        <v>2050</v>
      </c>
      <c r="D1274" t="s">
        <v>184</v>
      </c>
      <c r="E1274" s="9">
        <v>602262.60000301502</v>
      </c>
      <c r="F1274" s="9">
        <v>384550.19895979803</v>
      </c>
      <c r="G1274" s="9">
        <v>693833.37581002596</v>
      </c>
      <c r="H1274" s="9">
        <v>433928.11684243701</v>
      </c>
      <c r="I1274" s="21">
        <f t="shared" si="38"/>
        <v>49377.917882638983</v>
      </c>
      <c r="J1274" s="21">
        <f t="shared" si="39"/>
        <v>91570.775807010941</v>
      </c>
    </row>
    <row r="1275" spans="1:10" hidden="1">
      <c r="A1275" t="s">
        <v>76</v>
      </c>
      <c r="B1275" t="s">
        <v>366</v>
      </c>
      <c r="C1275" s="18">
        <v>2050</v>
      </c>
      <c r="D1275" t="s">
        <v>365</v>
      </c>
      <c r="E1275" s="9">
        <v>43433.633210520798</v>
      </c>
      <c r="F1275" s="9">
        <v>7790.94124807154</v>
      </c>
      <c r="G1275" s="9">
        <v>43337.334071848098</v>
      </c>
      <c r="H1275" s="9">
        <v>7785.5925162465101</v>
      </c>
      <c r="I1275" s="21">
        <f t="shared" si="38"/>
        <v>-5.3487318250299722</v>
      </c>
      <c r="J1275" s="21">
        <f t="shared" si="39"/>
        <v>-96.299138672700792</v>
      </c>
    </row>
  </sheetData>
  <autoFilter ref="A1:J1275" xr:uid="{00000000-0009-0000-0000-000008000000}">
    <filterColumn colId="1">
      <filters>
        <filter val="Salt policy"/>
      </filters>
    </filterColumn>
  </autoFilter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1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3" width="17.69921875" customWidth="1"/>
    <col min="4" max="4" width="16.69921875" customWidth="1"/>
    <col min="5" max="5" width="20.69921875" customWidth="1"/>
    <col min="6" max="6" width="15.69921875" customWidth="1"/>
    <col min="7" max="7" width="12.69921875" customWidth="1"/>
    <col min="8" max="8" width="28.69921875" customWidth="1"/>
    <col min="9" max="9" width="29.69921875" customWidth="1"/>
    <col min="10" max="10" width="20.69921875" customWidth="1"/>
    <col min="11" max="11" width="15.69921875" customWidth="1"/>
    <col min="12" max="13" width="14.69921875" customWidth="1"/>
    <col min="14" max="14" width="16.69921875" customWidth="1"/>
    <col min="15" max="16" width="14.69921875" customWidth="1"/>
    <col min="17" max="18" width="22.69921875" customWidth="1"/>
    <col min="19" max="19" width="25.69921875" customWidth="1"/>
    <col min="20" max="20" width="17.69921875" customWidth="1"/>
    <col min="21" max="22" width="20.69921875" customWidth="1"/>
    <col min="23" max="23" width="23.69921875" customWidth="1"/>
    <col min="24" max="24" width="25.69921875" customWidth="1"/>
    <col min="25" max="25" width="12.69921875" customWidth="1"/>
    <col min="26" max="26" width="15.69921875" customWidth="1"/>
    <col min="27" max="27" width="24.69921875" customWidth="1"/>
  </cols>
  <sheetData>
    <row r="1" spans="1:27" ht="28.05" customHeight="1">
      <c r="A1" s="1" t="s">
        <v>356</v>
      </c>
      <c r="B1" s="1" t="s">
        <v>28</v>
      </c>
      <c r="C1" s="1" t="s">
        <v>141</v>
      </c>
      <c r="D1" s="1" t="s">
        <v>321</v>
      </c>
      <c r="E1" s="1" t="s">
        <v>322</v>
      </c>
      <c r="F1" s="1" t="s">
        <v>158</v>
      </c>
      <c r="G1" s="1" t="s">
        <v>323</v>
      </c>
      <c r="H1" s="1" t="s">
        <v>325</v>
      </c>
      <c r="I1" s="1" t="s">
        <v>326</v>
      </c>
      <c r="J1" s="1" t="s">
        <v>327</v>
      </c>
      <c r="K1" s="1" t="s">
        <v>328</v>
      </c>
      <c r="L1" s="1" t="s">
        <v>367</v>
      </c>
      <c r="M1" s="1" t="s">
        <v>368</v>
      </c>
      <c r="N1" s="1" t="s">
        <v>369</v>
      </c>
      <c r="O1" s="1" t="s">
        <v>370</v>
      </c>
      <c r="P1" s="1" t="s">
        <v>371</v>
      </c>
      <c r="Q1" s="1" t="s">
        <v>372</v>
      </c>
      <c r="R1" s="1" t="s">
        <v>373</v>
      </c>
      <c r="S1" s="1" t="s">
        <v>374</v>
      </c>
      <c r="T1" s="1" t="s">
        <v>375</v>
      </c>
      <c r="U1" s="1" t="s">
        <v>376</v>
      </c>
      <c r="V1" s="1" t="s">
        <v>377</v>
      </c>
      <c r="W1" s="1" t="s">
        <v>378</v>
      </c>
      <c r="X1" s="1" t="s">
        <v>330</v>
      </c>
      <c r="Y1" s="1" t="s">
        <v>329</v>
      </c>
      <c r="Z1" s="1" t="s">
        <v>159</v>
      </c>
      <c r="AA1" s="1" t="s">
        <v>379</v>
      </c>
    </row>
    <row r="2" spans="1:27">
      <c r="A2" t="s">
        <v>162</v>
      </c>
      <c r="B2" s="18">
        <v>2025</v>
      </c>
      <c r="C2" t="s">
        <v>162</v>
      </c>
      <c r="D2" s="20" t="s">
        <v>334</v>
      </c>
      <c r="E2" s="20" t="s">
        <v>335</v>
      </c>
      <c r="F2" s="20" t="s">
        <v>170</v>
      </c>
      <c r="G2" s="20" t="s">
        <v>336</v>
      </c>
      <c r="H2" s="20" t="s">
        <v>338</v>
      </c>
      <c r="I2" s="29">
        <v>1</v>
      </c>
      <c r="J2" s="30">
        <v>1</v>
      </c>
      <c r="K2" s="31">
        <v>5.5999999999999999E-3</v>
      </c>
      <c r="L2" s="9">
        <v>288000821.106462</v>
      </c>
      <c r="M2" s="9">
        <v>288000821.106462</v>
      </c>
      <c r="N2" s="32">
        <f>MIN(MAX((B2-Calculation_Assumptions!$B$5+1)/Calculation_Assumptions!$B$7,0),1)</f>
        <v>0</v>
      </c>
      <c r="O2" s="21">
        <f t="shared" ref="O2:O65" si="0">L2*I2</f>
        <v>288000821.106462</v>
      </c>
      <c r="P2" s="21">
        <f t="shared" ref="P2:P65" si="1">M2*I2</f>
        <v>288000821.106462</v>
      </c>
      <c r="Q2" s="21">
        <f>P2*Calculation_Assumptions!$B$14*J2*K2</f>
        <v>0</v>
      </c>
      <c r="R2" s="21">
        <f t="shared" ref="R2:R65" si="2">O2*N2*J2*K2</f>
        <v>0</v>
      </c>
      <c r="S2" s="21">
        <f t="shared" ref="S2:S65" si="3">R2-Q2</f>
        <v>0</v>
      </c>
      <c r="T2" s="32">
        <f>1/(1+Calculation_Assumptions!$B$8)^(B2-Calculation_Assumptions!$B$2)</f>
        <v>1</v>
      </c>
      <c r="U2" s="21">
        <f t="shared" ref="U2:U65" si="4">Q2*T2</f>
        <v>0</v>
      </c>
      <c r="V2" s="21">
        <f t="shared" ref="V2:V65" si="5">R2*T2</f>
        <v>0</v>
      </c>
      <c r="W2" s="21">
        <f t="shared" ref="W2:W65" si="6">S2*T2</f>
        <v>0</v>
      </c>
      <c r="X2">
        <v>0</v>
      </c>
      <c r="Y2" s="18">
        <v>2017</v>
      </c>
      <c r="Z2" t="s">
        <v>264</v>
      </c>
      <c r="AA2" s="21">
        <f t="shared" ref="AA2:AA65" si="7">IF(G2="shared-count-once",COUNTIFS($A$2:$A$313,A2,$B$2:$B$313,B2,$D$2:$D$313,D2),1)</f>
        <v>1</v>
      </c>
    </row>
    <row r="3" spans="1:27">
      <c r="A3" t="s">
        <v>162</v>
      </c>
      <c r="B3" s="18">
        <v>2026</v>
      </c>
      <c r="C3" t="s">
        <v>162</v>
      </c>
      <c r="D3" s="20" t="s">
        <v>334</v>
      </c>
      <c r="E3" s="20" t="s">
        <v>335</v>
      </c>
      <c r="F3" s="20" t="s">
        <v>170</v>
      </c>
      <c r="G3" s="20" t="s">
        <v>336</v>
      </c>
      <c r="H3" s="20" t="s">
        <v>338</v>
      </c>
      <c r="I3" s="29">
        <v>1</v>
      </c>
      <c r="J3" s="30">
        <v>1</v>
      </c>
      <c r="K3" s="31">
        <v>5.5999999999999999E-3</v>
      </c>
      <c r="L3" s="9">
        <v>290123496.10321897</v>
      </c>
      <c r="M3" s="9">
        <v>290123496.10321897</v>
      </c>
      <c r="N3" s="32">
        <f>MIN(MAX((B3-Calculation_Assumptions!$B$5+1)/Calculation_Assumptions!$B$7,0),1)</f>
        <v>0.33333333333333331</v>
      </c>
      <c r="O3" s="21">
        <f t="shared" si="0"/>
        <v>290123496.10321897</v>
      </c>
      <c r="P3" s="21">
        <f t="shared" si="1"/>
        <v>290123496.10321897</v>
      </c>
      <c r="Q3" s="21">
        <f>P3*Calculation_Assumptions!$B$14*J3*K3</f>
        <v>0</v>
      </c>
      <c r="R3" s="21">
        <f t="shared" si="2"/>
        <v>541563.85939267534</v>
      </c>
      <c r="S3" s="21">
        <f t="shared" si="3"/>
        <v>541563.85939267534</v>
      </c>
      <c r="T3" s="32">
        <f>1/(1+Calculation_Assumptions!$B$8)^(B3-Calculation_Assumptions!$B$2)</f>
        <v>0.970873786407767</v>
      </c>
      <c r="U3" s="21">
        <f t="shared" si="4"/>
        <v>0</v>
      </c>
      <c r="V3" s="21">
        <f t="shared" si="5"/>
        <v>525790.15475017019</v>
      </c>
      <c r="W3" s="21">
        <f t="shared" si="6"/>
        <v>525790.15475017019</v>
      </c>
      <c r="X3">
        <v>0</v>
      </c>
      <c r="Y3" s="18">
        <v>2017</v>
      </c>
      <c r="Z3" t="s">
        <v>264</v>
      </c>
      <c r="AA3" s="21">
        <f t="shared" si="7"/>
        <v>1</v>
      </c>
    </row>
    <row r="4" spans="1:27">
      <c r="A4" t="s">
        <v>162</v>
      </c>
      <c r="B4" s="18">
        <v>2027</v>
      </c>
      <c r="C4" t="s">
        <v>162</v>
      </c>
      <c r="D4" s="20" t="s">
        <v>334</v>
      </c>
      <c r="E4" s="20" t="s">
        <v>335</v>
      </c>
      <c r="F4" s="20" t="s">
        <v>170</v>
      </c>
      <c r="G4" s="20" t="s">
        <v>336</v>
      </c>
      <c r="H4" s="20" t="s">
        <v>338</v>
      </c>
      <c r="I4" s="29">
        <v>1</v>
      </c>
      <c r="J4" s="30">
        <v>1</v>
      </c>
      <c r="K4" s="31">
        <v>5.5999999999999999E-3</v>
      </c>
      <c r="L4" s="9">
        <v>292252895.09695601</v>
      </c>
      <c r="M4" s="9">
        <v>292252895.09695601</v>
      </c>
      <c r="N4" s="32">
        <f>MIN(MAX((B4-Calculation_Assumptions!$B$5+1)/Calculation_Assumptions!$B$7,0),1)</f>
        <v>0.66666666666666663</v>
      </c>
      <c r="O4" s="21">
        <f t="shared" si="0"/>
        <v>292252895.09695601</v>
      </c>
      <c r="P4" s="21">
        <f t="shared" si="1"/>
        <v>292252895.09695601</v>
      </c>
      <c r="Q4" s="21">
        <f>P4*Calculation_Assumptions!$B$14*J4*K4</f>
        <v>0</v>
      </c>
      <c r="R4" s="21">
        <f t="shared" si="2"/>
        <v>1091077.4750286357</v>
      </c>
      <c r="S4" s="21">
        <f t="shared" si="3"/>
        <v>1091077.4750286357</v>
      </c>
      <c r="T4" s="32">
        <f>1/(1+Calculation_Assumptions!$B$8)^(B4-Calculation_Assumptions!$B$2)</f>
        <v>0.94259590913375435</v>
      </c>
      <c r="U4" s="21">
        <f t="shared" si="4"/>
        <v>0</v>
      </c>
      <c r="V4" s="21">
        <f t="shared" si="5"/>
        <v>1028445.164509978</v>
      </c>
      <c r="W4" s="21">
        <f t="shared" si="6"/>
        <v>1028445.164509978</v>
      </c>
      <c r="X4">
        <v>0</v>
      </c>
      <c r="Y4" s="18">
        <v>2017</v>
      </c>
      <c r="Z4" t="s">
        <v>264</v>
      </c>
      <c r="AA4" s="21">
        <f t="shared" si="7"/>
        <v>1</v>
      </c>
    </row>
    <row r="5" spans="1:27">
      <c r="A5" t="s">
        <v>162</v>
      </c>
      <c r="B5" s="18">
        <v>2028</v>
      </c>
      <c r="C5" t="s">
        <v>162</v>
      </c>
      <c r="D5" s="20" t="s">
        <v>334</v>
      </c>
      <c r="E5" s="20" t="s">
        <v>335</v>
      </c>
      <c r="F5" s="20" t="s">
        <v>170</v>
      </c>
      <c r="G5" s="20" t="s">
        <v>336</v>
      </c>
      <c r="H5" s="20" t="s">
        <v>338</v>
      </c>
      <c r="I5" s="29">
        <v>1</v>
      </c>
      <c r="J5" s="30">
        <v>1</v>
      </c>
      <c r="K5" s="31">
        <v>5.5999999999999999E-3</v>
      </c>
      <c r="L5" s="9">
        <v>294314895.329368</v>
      </c>
      <c r="M5" s="9">
        <v>294314895.30546498</v>
      </c>
      <c r="N5" s="32">
        <f>MIN(MAX((B5-Calculation_Assumptions!$B$5+1)/Calculation_Assumptions!$B$7,0),1)</f>
        <v>1</v>
      </c>
      <c r="O5" s="21">
        <f t="shared" si="0"/>
        <v>294314895.329368</v>
      </c>
      <c r="P5" s="21">
        <f t="shared" si="1"/>
        <v>294314895.30546498</v>
      </c>
      <c r="Q5" s="21">
        <f>P5*Calculation_Assumptions!$B$14*J5*K5</f>
        <v>0</v>
      </c>
      <c r="R5" s="21">
        <f t="shared" si="2"/>
        <v>1648163.4138444609</v>
      </c>
      <c r="S5" s="21">
        <f t="shared" si="3"/>
        <v>1648163.4138444609</v>
      </c>
      <c r="T5" s="32">
        <f>1/(1+Calculation_Assumptions!$B$8)^(B5-Calculation_Assumptions!$B$2)</f>
        <v>0.91514165935315961</v>
      </c>
      <c r="U5" s="21">
        <f t="shared" si="4"/>
        <v>0</v>
      </c>
      <c r="V5" s="21">
        <f t="shared" si="5"/>
        <v>1508303.0014307883</v>
      </c>
      <c r="W5" s="21">
        <f t="shared" si="6"/>
        <v>1508303.0014307883</v>
      </c>
      <c r="X5">
        <v>0</v>
      </c>
      <c r="Y5" s="18">
        <v>2017</v>
      </c>
      <c r="Z5" t="s">
        <v>264</v>
      </c>
      <c r="AA5" s="21">
        <f t="shared" si="7"/>
        <v>1</v>
      </c>
    </row>
    <row r="6" spans="1:27">
      <c r="A6" t="s">
        <v>162</v>
      </c>
      <c r="B6" s="18">
        <v>2029</v>
      </c>
      <c r="C6" t="s">
        <v>162</v>
      </c>
      <c r="D6" s="20" t="s">
        <v>334</v>
      </c>
      <c r="E6" s="20" t="s">
        <v>335</v>
      </c>
      <c r="F6" s="20" t="s">
        <v>170</v>
      </c>
      <c r="G6" s="20" t="s">
        <v>336</v>
      </c>
      <c r="H6" s="20" t="s">
        <v>338</v>
      </c>
      <c r="I6" s="29">
        <v>1</v>
      </c>
      <c r="J6" s="30">
        <v>1</v>
      </c>
      <c r="K6" s="31">
        <v>5.5999999999999999E-3</v>
      </c>
      <c r="L6" s="9">
        <v>296341062.628977</v>
      </c>
      <c r="M6" s="9">
        <v>296341062.542853</v>
      </c>
      <c r="N6" s="32">
        <f>MIN(MAX((B6-Calculation_Assumptions!$B$5+1)/Calculation_Assumptions!$B$7,0),1)</f>
        <v>1</v>
      </c>
      <c r="O6" s="21">
        <f t="shared" si="0"/>
        <v>296341062.628977</v>
      </c>
      <c r="P6" s="21">
        <f t="shared" si="1"/>
        <v>296341062.542853</v>
      </c>
      <c r="Q6" s="21">
        <f>P6*Calculation_Assumptions!$B$14*J6*K6</f>
        <v>0</v>
      </c>
      <c r="R6" s="21">
        <f t="shared" si="2"/>
        <v>1659509.9507222711</v>
      </c>
      <c r="S6" s="21">
        <f t="shared" si="3"/>
        <v>1659509.9507222711</v>
      </c>
      <c r="T6" s="32">
        <f>1/(1+Calculation_Assumptions!$B$8)^(B6-Calculation_Assumptions!$B$2)</f>
        <v>0.888487047915689</v>
      </c>
      <c r="U6" s="21">
        <f t="shared" si="4"/>
        <v>0</v>
      </c>
      <c r="V6" s="21">
        <f t="shared" si="5"/>
        <v>1474453.0971039413</v>
      </c>
      <c r="W6" s="21">
        <f t="shared" si="6"/>
        <v>1474453.0971039413</v>
      </c>
      <c r="X6">
        <v>0</v>
      </c>
      <c r="Y6" s="18">
        <v>2017</v>
      </c>
      <c r="Z6" t="s">
        <v>264</v>
      </c>
      <c r="AA6" s="21">
        <f t="shared" si="7"/>
        <v>1</v>
      </c>
    </row>
    <row r="7" spans="1:27">
      <c r="A7" t="s">
        <v>162</v>
      </c>
      <c r="B7" s="18">
        <v>2030</v>
      </c>
      <c r="C7" t="s">
        <v>162</v>
      </c>
      <c r="D7" s="20" t="s">
        <v>334</v>
      </c>
      <c r="E7" s="20" t="s">
        <v>335</v>
      </c>
      <c r="F7" s="20" t="s">
        <v>170</v>
      </c>
      <c r="G7" s="20" t="s">
        <v>336</v>
      </c>
      <c r="H7" s="20" t="s">
        <v>338</v>
      </c>
      <c r="I7" s="29">
        <v>1</v>
      </c>
      <c r="J7" s="30">
        <v>1</v>
      </c>
      <c r="K7" s="31">
        <v>5.5999999999999999E-3</v>
      </c>
      <c r="L7" s="9">
        <v>298280286.2543</v>
      </c>
      <c r="M7" s="9">
        <v>298280286.05726302</v>
      </c>
      <c r="N7" s="32">
        <f>MIN(MAX((B7-Calculation_Assumptions!$B$5+1)/Calculation_Assumptions!$B$7,0),1)</f>
        <v>1</v>
      </c>
      <c r="O7" s="21">
        <f t="shared" si="0"/>
        <v>298280286.2543</v>
      </c>
      <c r="P7" s="21">
        <f t="shared" si="1"/>
        <v>298280286.05726302</v>
      </c>
      <c r="Q7" s="21">
        <f>P7*Calculation_Assumptions!$B$14*J7*K7</f>
        <v>0</v>
      </c>
      <c r="R7" s="21">
        <f t="shared" si="2"/>
        <v>1670369.6030240799</v>
      </c>
      <c r="S7" s="21">
        <f t="shared" si="3"/>
        <v>1670369.6030240799</v>
      </c>
      <c r="T7" s="32">
        <f>1/(1+Calculation_Assumptions!$B$8)^(B7-Calculation_Assumptions!$B$2)</f>
        <v>0.86260878438416411</v>
      </c>
      <c r="U7" s="21">
        <f t="shared" si="4"/>
        <v>0</v>
      </c>
      <c r="V7" s="21">
        <f t="shared" si="5"/>
        <v>1440875.4927368604</v>
      </c>
      <c r="W7" s="21">
        <f t="shared" si="6"/>
        <v>1440875.4927368604</v>
      </c>
      <c r="X7">
        <v>0</v>
      </c>
      <c r="Y7" s="18">
        <v>2017</v>
      </c>
      <c r="Z7" t="s">
        <v>264</v>
      </c>
      <c r="AA7" s="21">
        <f t="shared" si="7"/>
        <v>1</v>
      </c>
    </row>
    <row r="8" spans="1:27">
      <c r="A8" t="s">
        <v>162</v>
      </c>
      <c r="B8" s="18">
        <v>2031</v>
      </c>
      <c r="C8" t="s">
        <v>162</v>
      </c>
      <c r="D8" s="20" t="s">
        <v>334</v>
      </c>
      <c r="E8" s="20" t="s">
        <v>335</v>
      </c>
      <c r="F8" s="20" t="s">
        <v>170</v>
      </c>
      <c r="G8" s="20" t="s">
        <v>336</v>
      </c>
      <c r="H8" s="20" t="s">
        <v>338</v>
      </c>
      <c r="I8" s="29">
        <v>1</v>
      </c>
      <c r="J8" s="30">
        <v>1</v>
      </c>
      <c r="K8" s="31">
        <v>5.5999999999999999E-3</v>
      </c>
      <c r="L8" s="9">
        <v>300152603.62028199</v>
      </c>
      <c r="M8" s="9">
        <v>300152603.25478202</v>
      </c>
      <c r="N8" s="32">
        <f>MIN(MAX((B8-Calculation_Assumptions!$B$5+1)/Calculation_Assumptions!$B$7,0),1)</f>
        <v>1</v>
      </c>
      <c r="O8" s="21">
        <f t="shared" si="0"/>
        <v>300152603.62028199</v>
      </c>
      <c r="P8" s="21">
        <f t="shared" si="1"/>
        <v>300152603.25478202</v>
      </c>
      <c r="Q8" s="21">
        <f>P8*Calculation_Assumptions!$B$14*J8*K8</f>
        <v>0</v>
      </c>
      <c r="R8" s="21">
        <f t="shared" si="2"/>
        <v>1680854.5802735791</v>
      </c>
      <c r="S8" s="21">
        <f t="shared" si="3"/>
        <v>1680854.5802735791</v>
      </c>
      <c r="T8" s="32">
        <f>1/(1+Calculation_Assumptions!$B$8)^(B8-Calculation_Assumptions!$B$2)</f>
        <v>0.83748425668365445</v>
      </c>
      <c r="U8" s="21">
        <f t="shared" si="4"/>
        <v>0</v>
      </c>
      <c r="V8" s="21">
        <f t="shared" si="5"/>
        <v>1407689.2487537344</v>
      </c>
      <c r="W8" s="21">
        <f t="shared" si="6"/>
        <v>1407689.2487537344</v>
      </c>
      <c r="X8">
        <v>0</v>
      </c>
      <c r="Y8" s="18">
        <v>2017</v>
      </c>
      <c r="Z8" t="s">
        <v>264</v>
      </c>
      <c r="AA8" s="21">
        <f t="shared" si="7"/>
        <v>1</v>
      </c>
    </row>
    <row r="9" spans="1:27">
      <c r="A9" t="s">
        <v>162</v>
      </c>
      <c r="B9" s="18">
        <v>2032</v>
      </c>
      <c r="C9" t="s">
        <v>162</v>
      </c>
      <c r="D9" s="20" t="s">
        <v>334</v>
      </c>
      <c r="E9" s="20" t="s">
        <v>335</v>
      </c>
      <c r="F9" s="20" t="s">
        <v>170</v>
      </c>
      <c r="G9" s="20" t="s">
        <v>336</v>
      </c>
      <c r="H9" s="20" t="s">
        <v>338</v>
      </c>
      <c r="I9" s="29">
        <v>1</v>
      </c>
      <c r="J9" s="30">
        <v>1</v>
      </c>
      <c r="K9" s="31">
        <v>5.5999999999999999E-3</v>
      </c>
      <c r="L9" s="9">
        <v>301886267.79335499</v>
      </c>
      <c r="M9" s="9">
        <v>301959399.63388801</v>
      </c>
      <c r="N9" s="32">
        <f>MIN(MAX((B9-Calculation_Assumptions!$B$5+1)/Calculation_Assumptions!$B$7,0),1)</f>
        <v>1</v>
      </c>
      <c r="O9" s="21">
        <f t="shared" si="0"/>
        <v>301886267.79335499</v>
      </c>
      <c r="P9" s="21">
        <f t="shared" si="1"/>
        <v>301959399.63388801</v>
      </c>
      <c r="Q9" s="21">
        <f>P9*Calculation_Assumptions!$B$14*J9*K9</f>
        <v>0</v>
      </c>
      <c r="R9" s="21">
        <f t="shared" si="2"/>
        <v>1690563.0996427878</v>
      </c>
      <c r="S9" s="21">
        <f t="shared" si="3"/>
        <v>1690563.0996427878</v>
      </c>
      <c r="T9" s="32">
        <f>1/(1+Calculation_Assumptions!$B$8)^(B9-Calculation_Assumptions!$B$2)</f>
        <v>0.81309151134335378</v>
      </c>
      <c r="U9" s="21">
        <f t="shared" si="4"/>
        <v>0</v>
      </c>
      <c r="V9" s="21">
        <f t="shared" si="5"/>
        <v>1374582.5057098591</v>
      </c>
      <c r="W9" s="21">
        <f t="shared" si="6"/>
        <v>1374582.5057098591</v>
      </c>
      <c r="X9">
        <v>0</v>
      </c>
      <c r="Y9" s="18">
        <v>2017</v>
      </c>
      <c r="Z9" t="s">
        <v>264</v>
      </c>
      <c r="AA9" s="21">
        <f t="shared" si="7"/>
        <v>1</v>
      </c>
    </row>
    <row r="10" spans="1:27">
      <c r="A10" t="s">
        <v>162</v>
      </c>
      <c r="B10" s="18">
        <v>2033</v>
      </c>
      <c r="C10" t="s">
        <v>162</v>
      </c>
      <c r="D10" s="20" t="s">
        <v>334</v>
      </c>
      <c r="E10" s="20" t="s">
        <v>335</v>
      </c>
      <c r="F10" s="20" t="s">
        <v>170</v>
      </c>
      <c r="G10" s="20" t="s">
        <v>336</v>
      </c>
      <c r="H10" s="20" t="s">
        <v>338</v>
      </c>
      <c r="I10" s="29">
        <v>1</v>
      </c>
      <c r="J10" s="30">
        <v>1</v>
      </c>
      <c r="K10" s="31">
        <v>5.5999999999999999E-3</v>
      </c>
      <c r="L10" s="9">
        <v>303701036.075225</v>
      </c>
      <c r="M10" s="9">
        <v>303701035.20205098</v>
      </c>
      <c r="N10" s="32">
        <f>MIN(MAX((B10-Calculation_Assumptions!$B$5+1)/Calculation_Assumptions!$B$7,0),1)</f>
        <v>1</v>
      </c>
      <c r="O10" s="21">
        <f t="shared" si="0"/>
        <v>303701036.075225</v>
      </c>
      <c r="P10" s="21">
        <f t="shared" si="1"/>
        <v>303701035.20205098</v>
      </c>
      <c r="Q10" s="21">
        <f>P10*Calculation_Assumptions!$B$14*J10*K10</f>
        <v>0</v>
      </c>
      <c r="R10" s="21">
        <f t="shared" si="2"/>
        <v>1700725.8020212599</v>
      </c>
      <c r="S10" s="21">
        <f t="shared" si="3"/>
        <v>1700725.8020212599</v>
      </c>
      <c r="T10" s="32">
        <f>1/(1+Calculation_Assumptions!$B$8)^(B10-Calculation_Assumptions!$B$2)</f>
        <v>0.78940923431393573</v>
      </c>
      <c r="U10" s="21">
        <f t="shared" si="4"/>
        <v>0</v>
      </c>
      <c r="V10" s="21">
        <f t="shared" si="5"/>
        <v>1342568.6531515571</v>
      </c>
      <c r="W10" s="21">
        <f t="shared" si="6"/>
        <v>1342568.6531515571</v>
      </c>
      <c r="X10">
        <v>0</v>
      </c>
      <c r="Y10" s="18">
        <v>2017</v>
      </c>
      <c r="Z10" t="s">
        <v>264</v>
      </c>
      <c r="AA10" s="21">
        <f t="shared" si="7"/>
        <v>1</v>
      </c>
    </row>
    <row r="11" spans="1:27">
      <c r="A11" t="s">
        <v>162</v>
      </c>
      <c r="B11" s="18">
        <v>2034</v>
      </c>
      <c r="C11" t="s">
        <v>162</v>
      </c>
      <c r="D11" s="20" t="s">
        <v>334</v>
      </c>
      <c r="E11" s="20" t="s">
        <v>335</v>
      </c>
      <c r="F11" s="20" t="s">
        <v>170</v>
      </c>
      <c r="G11" s="20" t="s">
        <v>336</v>
      </c>
      <c r="H11" s="20" t="s">
        <v>338</v>
      </c>
      <c r="I11" s="29">
        <v>1</v>
      </c>
      <c r="J11" s="30">
        <v>1</v>
      </c>
      <c r="K11" s="31">
        <v>5.5999999999999999E-3</v>
      </c>
      <c r="L11" s="9">
        <v>305377999.27207702</v>
      </c>
      <c r="M11" s="9">
        <v>305377998.093319</v>
      </c>
      <c r="N11" s="32">
        <f>MIN(MAX((B11-Calculation_Assumptions!$B$5+1)/Calculation_Assumptions!$B$7,0),1)</f>
        <v>1</v>
      </c>
      <c r="O11" s="21">
        <f t="shared" si="0"/>
        <v>305377999.27207702</v>
      </c>
      <c r="P11" s="21">
        <f t="shared" si="1"/>
        <v>305377998.093319</v>
      </c>
      <c r="Q11" s="21">
        <f>P11*Calculation_Assumptions!$B$14*J11*K11</f>
        <v>0</v>
      </c>
      <c r="R11" s="21">
        <f t="shared" si="2"/>
        <v>1710116.7959236314</v>
      </c>
      <c r="S11" s="21">
        <f t="shared" si="3"/>
        <v>1710116.7959236314</v>
      </c>
      <c r="T11" s="32">
        <f>1/(1+Calculation_Assumptions!$B$8)^(B11-Calculation_Assumptions!$B$2)</f>
        <v>0.76641673234362695</v>
      </c>
      <c r="U11" s="21">
        <f t="shared" si="4"/>
        <v>0</v>
      </c>
      <c r="V11" s="21">
        <f t="shared" si="5"/>
        <v>1310662.1266577428</v>
      </c>
      <c r="W11" s="21">
        <f t="shared" si="6"/>
        <v>1310662.1266577428</v>
      </c>
      <c r="X11">
        <v>0</v>
      </c>
      <c r="Y11" s="18">
        <v>2017</v>
      </c>
      <c r="Z11" t="s">
        <v>264</v>
      </c>
      <c r="AA11" s="21">
        <f t="shared" si="7"/>
        <v>1</v>
      </c>
    </row>
    <row r="12" spans="1:27">
      <c r="A12" t="s">
        <v>162</v>
      </c>
      <c r="B12" s="18">
        <v>2035</v>
      </c>
      <c r="C12" t="s">
        <v>162</v>
      </c>
      <c r="D12" s="20" t="s">
        <v>334</v>
      </c>
      <c r="E12" s="20" t="s">
        <v>335</v>
      </c>
      <c r="F12" s="20" t="s">
        <v>170</v>
      </c>
      <c r="G12" s="20" t="s">
        <v>336</v>
      </c>
      <c r="H12" s="20" t="s">
        <v>338</v>
      </c>
      <c r="I12" s="29">
        <v>1</v>
      </c>
      <c r="J12" s="30">
        <v>1</v>
      </c>
      <c r="K12" s="31">
        <v>5.5999999999999999E-3</v>
      </c>
      <c r="L12" s="9">
        <v>306989259.802145</v>
      </c>
      <c r="M12" s="9">
        <v>306989258.29407001</v>
      </c>
      <c r="N12" s="32">
        <f>MIN(MAX((B12-Calculation_Assumptions!$B$5+1)/Calculation_Assumptions!$B$7,0),1)</f>
        <v>1</v>
      </c>
      <c r="O12" s="21">
        <f t="shared" si="0"/>
        <v>306989259.802145</v>
      </c>
      <c r="P12" s="21">
        <f t="shared" si="1"/>
        <v>306989258.29407001</v>
      </c>
      <c r="Q12" s="21">
        <f>P12*Calculation_Assumptions!$B$14*J12*K12</f>
        <v>0</v>
      </c>
      <c r="R12" s="21">
        <f t="shared" si="2"/>
        <v>1719139.854892012</v>
      </c>
      <c r="S12" s="21">
        <f t="shared" si="3"/>
        <v>1719139.854892012</v>
      </c>
      <c r="T12" s="32">
        <f>1/(1+Calculation_Assumptions!$B$8)^(B12-Calculation_Assumptions!$B$2)</f>
        <v>0.74409391489672516</v>
      </c>
      <c r="U12" s="21">
        <f t="shared" si="4"/>
        <v>0</v>
      </c>
      <c r="V12" s="21">
        <f t="shared" si="5"/>
        <v>1279201.5048815852</v>
      </c>
      <c r="W12" s="21">
        <f t="shared" si="6"/>
        <v>1279201.5048815852</v>
      </c>
      <c r="X12">
        <v>0</v>
      </c>
      <c r="Y12" s="18">
        <v>2017</v>
      </c>
      <c r="Z12" t="s">
        <v>264</v>
      </c>
      <c r="AA12" s="21">
        <f t="shared" si="7"/>
        <v>1</v>
      </c>
    </row>
    <row r="13" spans="1:27">
      <c r="A13" t="s">
        <v>162</v>
      </c>
      <c r="B13" s="18">
        <v>2036</v>
      </c>
      <c r="C13" t="s">
        <v>162</v>
      </c>
      <c r="D13" s="20" t="s">
        <v>334</v>
      </c>
      <c r="E13" s="20" t="s">
        <v>335</v>
      </c>
      <c r="F13" s="20" t="s">
        <v>170</v>
      </c>
      <c r="G13" s="20" t="s">
        <v>336</v>
      </c>
      <c r="H13" s="20" t="s">
        <v>338</v>
      </c>
      <c r="I13" s="29">
        <v>1</v>
      </c>
      <c r="J13" s="30">
        <v>1</v>
      </c>
      <c r="K13" s="31">
        <v>5.5999999999999999E-3</v>
      </c>
      <c r="L13" s="9">
        <v>308537401.52784503</v>
      </c>
      <c r="M13" s="9">
        <v>308537399.67209399</v>
      </c>
      <c r="N13" s="32">
        <f>MIN(MAX((B13-Calculation_Assumptions!$B$5+1)/Calculation_Assumptions!$B$7,0),1)</f>
        <v>1</v>
      </c>
      <c r="O13" s="21">
        <f t="shared" si="0"/>
        <v>308537401.52784503</v>
      </c>
      <c r="P13" s="21">
        <f t="shared" si="1"/>
        <v>308537399.67209399</v>
      </c>
      <c r="Q13" s="21">
        <f>P13*Calculation_Assumptions!$B$14*J13*K13</f>
        <v>0</v>
      </c>
      <c r="R13" s="21">
        <f t="shared" si="2"/>
        <v>1727809.4485559321</v>
      </c>
      <c r="S13" s="21">
        <f t="shared" si="3"/>
        <v>1727809.4485559321</v>
      </c>
      <c r="T13" s="32">
        <f>1/(1+Calculation_Assumptions!$B$8)^(B13-Calculation_Assumptions!$B$2)</f>
        <v>0.72242127659876232</v>
      </c>
      <c r="U13" s="21">
        <f t="shared" si="4"/>
        <v>0</v>
      </c>
      <c r="V13" s="21">
        <f t="shared" si="5"/>
        <v>1248206.30754518</v>
      </c>
      <c r="W13" s="21">
        <f t="shared" si="6"/>
        <v>1248206.30754518</v>
      </c>
      <c r="X13">
        <v>0</v>
      </c>
      <c r="Y13" s="18">
        <v>2017</v>
      </c>
      <c r="Z13" t="s">
        <v>264</v>
      </c>
      <c r="AA13" s="21">
        <f t="shared" si="7"/>
        <v>1</v>
      </c>
    </row>
    <row r="14" spans="1:27">
      <c r="A14" t="s">
        <v>162</v>
      </c>
      <c r="B14" s="18">
        <v>2037</v>
      </c>
      <c r="C14" t="s">
        <v>162</v>
      </c>
      <c r="D14" s="20" t="s">
        <v>334</v>
      </c>
      <c r="E14" s="20" t="s">
        <v>335</v>
      </c>
      <c r="F14" s="20" t="s">
        <v>170</v>
      </c>
      <c r="G14" s="20" t="s">
        <v>336</v>
      </c>
      <c r="H14" s="20" t="s">
        <v>338</v>
      </c>
      <c r="I14" s="29">
        <v>1</v>
      </c>
      <c r="J14" s="30">
        <v>1</v>
      </c>
      <c r="K14" s="31">
        <v>5.5999999999999999E-3</v>
      </c>
      <c r="L14" s="9">
        <v>309909028.56913</v>
      </c>
      <c r="M14" s="9">
        <v>310023120.39347202</v>
      </c>
      <c r="N14" s="32">
        <f>MIN(MAX((B14-Calculation_Assumptions!$B$5+1)/Calculation_Assumptions!$B$7,0),1)</f>
        <v>1</v>
      </c>
      <c r="O14" s="21">
        <f t="shared" si="0"/>
        <v>309909028.56913</v>
      </c>
      <c r="P14" s="21">
        <f t="shared" si="1"/>
        <v>310023120.39347202</v>
      </c>
      <c r="Q14" s="21">
        <f>P14*Calculation_Assumptions!$B$14*J14*K14</f>
        <v>0</v>
      </c>
      <c r="R14" s="21">
        <f t="shared" si="2"/>
        <v>1735490.559987128</v>
      </c>
      <c r="S14" s="21">
        <f t="shared" si="3"/>
        <v>1735490.559987128</v>
      </c>
      <c r="T14" s="32">
        <f>1/(1+Calculation_Assumptions!$B$8)^(B14-Calculation_Assumptions!$B$2)</f>
        <v>0.70137988019297326</v>
      </c>
      <c r="U14" s="21">
        <f t="shared" si="4"/>
        <v>0</v>
      </c>
      <c r="V14" s="21">
        <f t="shared" si="5"/>
        <v>1217238.1610398078</v>
      </c>
      <c r="W14" s="21">
        <f t="shared" si="6"/>
        <v>1217238.1610398078</v>
      </c>
      <c r="X14">
        <v>0</v>
      </c>
      <c r="Y14" s="18">
        <v>2017</v>
      </c>
      <c r="Z14" t="s">
        <v>264</v>
      </c>
      <c r="AA14" s="21">
        <f t="shared" si="7"/>
        <v>1</v>
      </c>
    </row>
    <row r="15" spans="1:27">
      <c r="A15" t="s">
        <v>162</v>
      </c>
      <c r="B15" s="18">
        <v>2038</v>
      </c>
      <c r="C15" t="s">
        <v>162</v>
      </c>
      <c r="D15" s="20" t="s">
        <v>334</v>
      </c>
      <c r="E15" s="20" t="s">
        <v>335</v>
      </c>
      <c r="F15" s="20" t="s">
        <v>170</v>
      </c>
      <c r="G15" s="20" t="s">
        <v>336</v>
      </c>
      <c r="H15" s="20" t="s">
        <v>338</v>
      </c>
      <c r="I15" s="29">
        <v>1</v>
      </c>
      <c r="J15" s="30">
        <v>1</v>
      </c>
      <c r="K15" s="31">
        <v>5.5999999999999999E-3</v>
      </c>
      <c r="L15" s="9">
        <v>311325162.02306998</v>
      </c>
      <c r="M15" s="9">
        <v>311445837.13462502</v>
      </c>
      <c r="N15" s="32">
        <f>MIN(MAX((B15-Calculation_Assumptions!$B$5+1)/Calculation_Assumptions!$B$7,0),1)</f>
        <v>1</v>
      </c>
      <c r="O15" s="21">
        <f t="shared" si="0"/>
        <v>311325162.02306998</v>
      </c>
      <c r="P15" s="21">
        <f t="shared" si="1"/>
        <v>311445837.13462502</v>
      </c>
      <c r="Q15" s="21">
        <f>P15*Calculation_Assumptions!$B$14*J15*K15</f>
        <v>0</v>
      </c>
      <c r="R15" s="21">
        <f t="shared" si="2"/>
        <v>1743420.9073291919</v>
      </c>
      <c r="S15" s="21">
        <f t="shared" si="3"/>
        <v>1743420.9073291919</v>
      </c>
      <c r="T15" s="32">
        <f>1/(1+Calculation_Assumptions!$B$8)^(B15-Calculation_Assumptions!$B$2)</f>
        <v>0.68095133999317792</v>
      </c>
      <c r="U15" s="21">
        <f t="shared" si="4"/>
        <v>0</v>
      </c>
      <c r="V15" s="21">
        <f t="shared" si="5"/>
        <v>1187184.8030179352</v>
      </c>
      <c r="W15" s="21">
        <f t="shared" si="6"/>
        <v>1187184.8030179352</v>
      </c>
      <c r="X15">
        <v>0</v>
      </c>
      <c r="Y15" s="18">
        <v>2017</v>
      </c>
      <c r="Z15" t="s">
        <v>264</v>
      </c>
      <c r="AA15" s="21">
        <f t="shared" si="7"/>
        <v>1</v>
      </c>
    </row>
    <row r="16" spans="1:27">
      <c r="A16" t="s">
        <v>162</v>
      </c>
      <c r="B16" s="18">
        <v>2039</v>
      </c>
      <c r="C16" t="s">
        <v>162</v>
      </c>
      <c r="D16" s="20" t="s">
        <v>334</v>
      </c>
      <c r="E16" s="20" t="s">
        <v>335</v>
      </c>
      <c r="F16" s="20" t="s">
        <v>170</v>
      </c>
      <c r="G16" s="20" t="s">
        <v>336</v>
      </c>
      <c r="H16" s="20" t="s">
        <v>338</v>
      </c>
      <c r="I16" s="29">
        <v>1</v>
      </c>
      <c r="J16" s="30">
        <v>1</v>
      </c>
      <c r="K16" s="31">
        <v>5.5999999999999999E-3</v>
      </c>
      <c r="L16" s="9">
        <v>312680640.15268201</v>
      </c>
      <c r="M16" s="9">
        <v>312806989.71568501</v>
      </c>
      <c r="N16" s="32">
        <f>MIN(MAX((B16-Calculation_Assumptions!$B$5+1)/Calculation_Assumptions!$B$7,0),1)</f>
        <v>1</v>
      </c>
      <c r="O16" s="21">
        <f t="shared" si="0"/>
        <v>312680640.15268201</v>
      </c>
      <c r="P16" s="21">
        <f t="shared" si="1"/>
        <v>312806989.71568501</v>
      </c>
      <c r="Q16" s="21">
        <f>P16*Calculation_Assumptions!$B$14*J16*K16</f>
        <v>0</v>
      </c>
      <c r="R16" s="21">
        <f t="shared" si="2"/>
        <v>1751011.5848550191</v>
      </c>
      <c r="S16" s="21">
        <f t="shared" si="3"/>
        <v>1751011.5848550191</v>
      </c>
      <c r="T16" s="32">
        <f>1/(1+Calculation_Assumptions!$B$8)^(B16-Calculation_Assumptions!$B$2)</f>
        <v>0.66111780581861923</v>
      </c>
      <c r="U16" s="21">
        <f t="shared" si="4"/>
        <v>0</v>
      </c>
      <c r="V16" s="21">
        <f t="shared" si="5"/>
        <v>1157624.9369423331</v>
      </c>
      <c r="W16" s="21">
        <f t="shared" si="6"/>
        <v>1157624.9369423331</v>
      </c>
      <c r="X16">
        <v>0</v>
      </c>
      <c r="Y16" s="18">
        <v>2017</v>
      </c>
      <c r="Z16" t="s">
        <v>264</v>
      </c>
      <c r="AA16" s="21">
        <f t="shared" si="7"/>
        <v>1</v>
      </c>
    </row>
    <row r="17" spans="1:27">
      <c r="A17" t="s">
        <v>162</v>
      </c>
      <c r="B17" s="18">
        <v>2040</v>
      </c>
      <c r="C17" t="s">
        <v>162</v>
      </c>
      <c r="D17" s="20" t="s">
        <v>334</v>
      </c>
      <c r="E17" s="20" t="s">
        <v>335</v>
      </c>
      <c r="F17" s="20" t="s">
        <v>170</v>
      </c>
      <c r="G17" s="20" t="s">
        <v>336</v>
      </c>
      <c r="H17" s="20" t="s">
        <v>338</v>
      </c>
      <c r="I17" s="29">
        <v>1</v>
      </c>
      <c r="J17" s="30">
        <v>1</v>
      </c>
      <c r="K17" s="31">
        <v>5.5999999999999999E-3</v>
      </c>
      <c r="L17" s="9">
        <v>313977865.76620901</v>
      </c>
      <c r="M17" s="9">
        <v>314109251.58264899</v>
      </c>
      <c r="N17" s="32">
        <f>MIN(MAX((B17-Calculation_Assumptions!$B$5+1)/Calculation_Assumptions!$B$7,0),1)</f>
        <v>1</v>
      </c>
      <c r="O17" s="21">
        <f t="shared" si="0"/>
        <v>313977865.76620901</v>
      </c>
      <c r="P17" s="21">
        <f t="shared" si="1"/>
        <v>314109251.58264899</v>
      </c>
      <c r="Q17" s="21">
        <f>P17*Calculation_Assumptions!$B$14*J17*K17</f>
        <v>0</v>
      </c>
      <c r="R17" s="21">
        <f t="shared" si="2"/>
        <v>1758276.0482907705</v>
      </c>
      <c r="S17" s="21">
        <f t="shared" si="3"/>
        <v>1758276.0482907705</v>
      </c>
      <c r="T17" s="32">
        <f>1/(1+Calculation_Assumptions!$B$8)^(B17-Calculation_Assumptions!$B$2)</f>
        <v>0.64186194739671765</v>
      </c>
      <c r="U17" s="21">
        <f t="shared" si="4"/>
        <v>0</v>
      </c>
      <c r="V17" s="21">
        <f t="shared" si="5"/>
        <v>1128570.488416919</v>
      </c>
      <c r="W17" s="21">
        <f t="shared" si="6"/>
        <v>1128570.488416919</v>
      </c>
      <c r="X17">
        <v>0</v>
      </c>
      <c r="Y17" s="18">
        <v>2017</v>
      </c>
      <c r="Z17" t="s">
        <v>264</v>
      </c>
      <c r="AA17" s="21">
        <f t="shared" si="7"/>
        <v>1</v>
      </c>
    </row>
    <row r="18" spans="1:27">
      <c r="A18" t="s">
        <v>162</v>
      </c>
      <c r="B18" s="18">
        <v>2041</v>
      </c>
      <c r="C18" t="s">
        <v>162</v>
      </c>
      <c r="D18" s="20" t="s">
        <v>334</v>
      </c>
      <c r="E18" s="20" t="s">
        <v>335</v>
      </c>
      <c r="F18" s="20" t="s">
        <v>170</v>
      </c>
      <c r="G18" s="20" t="s">
        <v>336</v>
      </c>
      <c r="H18" s="20" t="s">
        <v>338</v>
      </c>
      <c r="I18" s="29">
        <v>1</v>
      </c>
      <c r="J18" s="30">
        <v>1</v>
      </c>
      <c r="K18" s="31">
        <v>5.5999999999999999E-3</v>
      </c>
      <c r="L18" s="9">
        <v>315215801.78166097</v>
      </c>
      <c r="M18" s="9">
        <v>315352079.81242299</v>
      </c>
      <c r="N18" s="32">
        <f>MIN(MAX((B18-Calculation_Assumptions!$B$5+1)/Calculation_Assumptions!$B$7,0),1)</f>
        <v>1</v>
      </c>
      <c r="O18" s="21">
        <f t="shared" si="0"/>
        <v>315215801.78166097</v>
      </c>
      <c r="P18" s="21">
        <f t="shared" si="1"/>
        <v>315352079.81242299</v>
      </c>
      <c r="Q18" s="21">
        <f>P18*Calculation_Assumptions!$B$14*J18*K18</f>
        <v>0</v>
      </c>
      <c r="R18" s="21">
        <f t="shared" si="2"/>
        <v>1765208.4899773013</v>
      </c>
      <c r="S18" s="21">
        <f t="shared" si="3"/>
        <v>1765208.4899773013</v>
      </c>
      <c r="T18" s="32">
        <f>1/(1+Calculation_Assumptions!$B$8)^(B18-Calculation_Assumptions!$B$2)</f>
        <v>0.62316693922011435</v>
      </c>
      <c r="U18" s="21">
        <f t="shared" si="4"/>
        <v>0</v>
      </c>
      <c r="V18" s="21">
        <f t="shared" si="5"/>
        <v>1100019.5717845147</v>
      </c>
      <c r="W18" s="21">
        <f t="shared" si="6"/>
        <v>1100019.5717845147</v>
      </c>
      <c r="X18">
        <v>0</v>
      </c>
      <c r="Y18" s="18">
        <v>2017</v>
      </c>
      <c r="Z18" t="s">
        <v>264</v>
      </c>
      <c r="AA18" s="21">
        <f t="shared" si="7"/>
        <v>1</v>
      </c>
    </row>
    <row r="19" spans="1:27">
      <c r="A19" t="s">
        <v>162</v>
      </c>
      <c r="B19" s="18">
        <v>2042</v>
      </c>
      <c r="C19" t="s">
        <v>162</v>
      </c>
      <c r="D19" s="20" t="s">
        <v>334</v>
      </c>
      <c r="E19" s="20" t="s">
        <v>335</v>
      </c>
      <c r="F19" s="20" t="s">
        <v>170</v>
      </c>
      <c r="G19" s="20" t="s">
        <v>336</v>
      </c>
      <c r="H19" s="20" t="s">
        <v>338</v>
      </c>
      <c r="I19" s="29">
        <v>1</v>
      </c>
      <c r="J19" s="30">
        <v>1</v>
      </c>
      <c r="K19" s="31">
        <v>5.5999999999999999E-3</v>
      </c>
      <c r="L19" s="9">
        <v>316395290.38745803</v>
      </c>
      <c r="M19" s="9">
        <v>316395286.31201601</v>
      </c>
      <c r="N19" s="32">
        <f>MIN(MAX((B19-Calculation_Assumptions!$B$5+1)/Calculation_Assumptions!$B$7,0),1)</f>
        <v>1</v>
      </c>
      <c r="O19" s="21">
        <f t="shared" si="0"/>
        <v>316395290.38745803</v>
      </c>
      <c r="P19" s="21">
        <f t="shared" si="1"/>
        <v>316395286.31201601</v>
      </c>
      <c r="Q19" s="21">
        <f>P19*Calculation_Assumptions!$B$14*J19*K19</f>
        <v>0</v>
      </c>
      <c r="R19" s="21">
        <f t="shared" si="2"/>
        <v>1771813.6261697649</v>
      </c>
      <c r="S19" s="21">
        <f t="shared" si="3"/>
        <v>1771813.6261697649</v>
      </c>
      <c r="T19" s="32">
        <f>1/(1+Calculation_Assumptions!$B$8)^(B19-Calculation_Assumptions!$B$2)</f>
        <v>0.60501644584477121</v>
      </c>
      <c r="U19" s="21">
        <f t="shared" si="4"/>
        <v>0</v>
      </c>
      <c r="V19" s="21">
        <f t="shared" si="5"/>
        <v>1071976.3828045672</v>
      </c>
      <c r="W19" s="21">
        <f t="shared" si="6"/>
        <v>1071976.3828045672</v>
      </c>
      <c r="X19">
        <v>0</v>
      </c>
      <c r="Y19" s="18">
        <v>2017</v>
      </c>
      <c r="Z19" t="s">
        <v>264</v>
      </c>
      <c r="AA19" s="21">
        <f t="shared" si="7"/>
        <v>1</v>
      </c>
    </row>
    <row r="20" spans="1:27">
      <c r="A20" t="s">
        <v>162</v>
      </c>
      <c r="B20" s="18">
        <v>2043</v>
      </c>
      <c r="C20" t="s">
        <v>162</v>
      </c>
      <c r="D20" s="20" t="s">
        <v>334</v>
      </c>
      <c r="E20" s="20" t="s">
        <v>335</v>
      </c>
      <c r="F20" s="20" t="s">
        <v>170</v>
      </c>
      <c r="G20" s="20" t="s">
        <v>336</v>
      </c>
      <c r="H20" s="20" t="s">
        <v>338</v>
      </c>
      <c r="I20" s="29">
        <v>1</v>
      </c>
      <c r="J20" s="30">
        <v>1</v>
      </c>
      <c r="K20" s="31">
        <v>5.5999999999999999E-3</v>
      </c>
      <c r="L20" s="9">
        <v>317619740.19875997</v>
      </c>
      <c r="M20" s="9">
        <v>317619735.68828899</v>
      </c>
      <c r="N20" s="32">
        <f>MIN(MAX((B20-Calculation_Assumptions!$B$5+1)/Calculation_Assumptions!$B$7,0),1)</f>
        <v>1</v>
      </c>
      <c r="O20" s="21">
        <f t="shared" si="0"/>
        <v>317619740.19875997</v>
      </c>
      <c r="P20" s="21">
        <f t="shared" si="1"/>
        <v>317619735.68828899</v>
      </c>
      <c r="Q20" s="21">
        <f>P20*Calculation_Assumptions!$B$14*J20*K20</f>
        <v>0</v>
      </c>
      <c r="R20" s="21">
        <f t="shared" si="2"/>
        <v>1778670.5451130557</v>
      </c>
      <c r="S20" s="21">
        <f t="shared" si="3"/>
        <v>1778670.5451130557</v>
      </c>
      <c r="T20" s="32">
        <f>1/(1+Calculation_Assumptions!$B$8)^(B20-Calculation_Assumptions!$B$2)</f>
        <v>0.5873946076162827</v>
      </c>
      <c r="U20" s="21">
        <f t="shared" si="4"/>
        <v>0</v>
      </c>
      <c r="V20" s="21">
        <f t="shared" si="5"/>
        <v>1044781.486925323</v>
      </c>
      <c r="W20" s="21">
        <f t="shared" si="6"/>
        <v>1044781.486925323</v>
      </c>
      <c r="X20">
        <v>0</v>
      </c>
      <c r="Y20" s="18">
        <v>2017</v>
      </c>
      <c r="Z20" t="s">
        <v>264</v>
      </c>
      <c r="AA20" s="21">
        <f t="shared" si="7"/>
        <v>1</v>
      </c>
    </row>
    <row r="21" spans="1:27">
      <c r="A21" t="s">
        <v>162</v>
      </c>
      <c r="B21" s="18">
        <v>2044</v>
      </c>
      <c r="C21" t="s">
        <v>162</v>
      </c>
      <c r="D21" s="20" t="s">
        <v>334</v>
      </c>
      <c r="E21" s="20" t="s">
        <v>335</v>
      </c>
      <c r="F21" s="20" t="s">
        <v>170</v>
      </c>
      <c r="G21" s="20" t="s">
        <v>336</v>
      </c>
      <c r="H21" s="20" t="s">
        <v>338</v>
      </c>
      <c r="I21" s="29">
        <v>1</v>
      </c>
      <c r="J21" s="30">
        <v>1</v>
      </c>
      <c r="K21" s="31">
        <v>5.5999999999999999E-3</v>
      </c>
      <c r="L21" s="9">
        <v>318697140.76350802</v>
      </c>
      <c r="M21" s="9">
        <v>318697135.86365199</v>
      </c>
      <c r="N21" s="32">
        <f>MIN(MAX((B21-Calculation_Assumptions!$B$5+1)/Calculation_Assumptions!$B$7,0),1)</f>
        <v>1</v>
      </c>
      <c r="O21" s="21">
        <f t="shared" si="0"/>
        <v>318697140.76350802</v>
      </c>
      <c r="P21" s="21">
        <f t="shared" si="1"/>
        <v>318697135.86365199</v>
      </c>
      <c r="Q21" s="21">
        <f>P21*Calculation_Assumptions!$B$14*J21*K21</f>
        <v>0</v>
      </c>
      <c r="R21" s="21">
        <f t="shared" si="2"/>
        <v>1784703.9882756448</v>
      </c>
      <c r="S21" s="21">
        <f t="shared" si="3"/>
        <v>1784703.9882756448</v>
      </c>
      <c r="T21" s="32">
        <f>1/(1+Calculation_Assumptions!$B$8)^(B21-Calculation_Assumptions!$B$2)</f>
        <v>0.57028602681192497</v>
      </c>
      <c r="U21" s="21">
        <f t="shared" si="4"/>
        <v>0</v>
      </c>
      <c r="V21" s="21">
        <f t="shared" si="5"/>
        <v>1017791.7465091138</v>
      </c>
      <c r="W21" s="21">
        <f t="shared" si="6"/>
        <v>1017791.7465091138</v>
      </c>
      <c r="X21">
        <v>0</v>
      </c>
      <c r="Y21" s="18">
        <v>2017</v>
      </c>
      <c r="Z21" t="s">
        <v>264</v>
      </c>
      <c r="AA21" s="21">
        <f t="shared" si="7"/>
        <v>1</v>
      </c>
    </row>
    <row r="22" spans="1:27">
      <c r="A22" t="s">
        <v>162</v>
      </c>
      <c r="B22" s="18">
        <v>2045</v>
      </c>
      <c r="C22" t="s">
        <v>162</v>
      </c>
      <c r="D22" s="20" t="s">
        <v>334</v>
      </c>
      <c r="E22" s="20" t="s">
        <v>335</v>
      </c>
      <c r="F22" s="20" t="s">
        <v>170</v>
      </c>
      <c r="G22" s="20" t="s">
        <v>336</v>
      </c>
      <c r="H22" s="20" t="s">
        <v>338</v>
      </c>
      <c r="I22" s="29">
        <v>1</v>
      </c>
      <c r="J22" s="30">
        <v>1</v>
      </c>
      <c r="K22" s="31">
        <v>5.5999999999999999E-3</v>
      </c>
      <c r="L22" s="9">
        <v>319717846.138924</v>
      </c>
      <c r="M22" s="9">
        <v>319717840.85179001</v>
      </c>
      <c r="N22" s="32">
        <f>MIN(MAX((B22-Calculation_Assumptions!$B$5+1)/Calculation_Assumptions!$B$7,0),1)</f>
        <v>1</v>
      </c>
      <c r="O22" s="21">
        <f t="shared" si="0"/>
        <v>319717846.138924</v>
      </c>
      <c r="P22" s="21">
        <f t="shared" si="1"/>
        <v>319717840.85179001</v>
      </c>
      <c r="Q22" s="21">
        <f>P22*Calculation_Assumptions!$B$14*J22*K22</f>
        <v>0</v>
      </c>
      <c r="R22" s="21">
        <f t="shared" si="2"/>
        <v>1790419.9383779743</v>
      </c>
      <c r="S22" s="21">
        <f t="shared" si="3"/>
        <v>1790419.9383779743</v>
      </c>
      <c r="T22" s="32">
        <f>1/(1+Calculation_Assumptions!$B$8)^(B22-Calculation_Assumptions!$B$2)</f>
        <v>0.55367575418633497</v>
      </c>
      <c r="U22" s="21">
        <f t="shared" si="4"/>
        <v>0</v>
      </c>
      <c r="V22" s="21">
        <f t="shared" si="5"/>
        <v>991312.10969167633</v>
      </c>
      <c r="W22" s="21">
        <f t="shared" si="6"/>
        <v>991312.10969167633</v>
      </c>
      <c r="X22">
        <v>0</v>
      </c>
      <c r="Y22" s="18">
        <v>2017</v>
      </c>
      <c r="Z22" t="s">
        <v>264</v>
      </c>
      <c r="AA22" s="21">
        <f t="shared" si="7"/>
        <v>1</v>
      </c>
    </row>
    <row r="23" spans="1:27">
      <c r="A23" t="s">
        <v>162</v>
      </c>
      <c r="B23" s="18">
        <v>2046</v>
      </c>
      <c r="C23" t="s">
        <v>162</v>
      </c>
      <c r="D23" s="20" t="s">
        <v>334</v>
      </c>
      <c r="E23" s="20" t="s">
        <v>335</v>
      </c>
      <c r="F23" s="20" t="s">
        <v>170</v>
      </c>
      <c r="G23" s="20" t="s">
        <v>336</v>
      </c>
      <c r="H23" s="20" t="s">
        <v>338</v>
      </c>
      <c r="I23" s="29">
        <v>1</v>
      </c>
      <c r="J23" s="30">
        <v>1</v>
      </c>
      <c r="K23" s="31">
        <v>5.5999999999999999E-3</v>
      </c>
      <c r="L23" s="9">
        <v>320683885.47775698</v>
      </c>
      <c r="M23" s="9">
        <v>320683879.80627602</v>
      </c>
      <c r="N23" s="32">
        <f>MIN(MAX((B23-Calculation_Assumptions!$B$5+1)/Calculation_Assumptions!$B$7,0),1)</f>
        <v>1</v>
      </c>
      <c r="O23" s="21">
        <f t="shared" si="0"/>
        <v>320683885.47775698</v>
      </c>
      <c r="P23" s="21">
        <f t="shared" si="1"/>
        <v>320683879.80627602</v>
      </c>
      <c r="Q23" s="21">
        <f>P23*Calculation_Assumptions!$B$14*J23*K23</f>
        <v>0</v>
      </c>
      <c r="R23" s="21">
        <f t="shared" si="2"/>
        <v>1795829.7586754391</v>
      </c>
      <c r="S23" s="21">
        <f t="shared" si="3"/>
        <v>1795829.7586754391</v>
      </c>
      <c r="T23" s="32">
        <f>1/(1+Calculation_Assumptions!$B$8)^(B23-Calculation_Assumptions!$B$2)</f>
        <v>0.5375492759090631</v>
      </c>
      <c r="U23" s="21">
        <f t="shared" si="4"/>
        <v>0</v>
      </c>
      <c r="V23" s="21">
        <f t="shared" si="5"/>
        <v>965346.98643192975</v>
      </c>
      <c r="W23" s="21">
        <f t="shared" si="6"/>
        <v>965346.98643192975</v>
      </c>
      <c r="X23">
        <v>0</v>
      </c>
      <c r="Y23" s="18">
        <v>2017</v>
      </c>
      <c r="Z23" t="s">
        <v>264</v>
      </c>
      <c r="AA23" s="21">
        <f t="shared" si="7"/>
        <v>1</v>
      </c>
    </row>
    <row r="24" spans="1:27">
      <c r="A24" t="s">
        <v>162</v>
      </c>
      <c r="B24" s="18">
        <v>2047</v>
      </c>
      <c r="C24" t="s">
        <v>162</v>
      </c>
      <c r="D24" s="20" t="s">
        <v>334</v>
      </c>
      <c r="E24" s="20" t="s">
        <v>335</v>
      </c>
      <c r="F24" s="20" t="s">
        <v>170</v>
      </c>
      <c r="G24" s="20" t="s">
        <v>336</v>
      </c>
      <c r="H24" s="20" t="s">
        <v>338</v>
      </c>
      <c r="I24" s="29">
        <v>1</v>
      </c>
      <c r="J24" s="30">
        <v>1</v>
      </c>
      <c r="K24" s="31">
        <v>5.5999999999999999E-3</v>
      </c>
      <c r="L24" s="9">
        <v>321595547.44102299</v>
      </c>
      <c r="M24" s="9">
        <v>321595541.38952601</v>
      </c>
      <c r="N24" s="32">
        <f>MIN(MAX((B24-Calculation_Assumptions!$B$5+1)/Calculation_Assumptions!$B$7,0),1)</f>
        <v>1</v>
      </c>
      <c r="O24" s="21">
        <f t="shared" si="0"/>
        <v>321595547.44102299</v>
      </c>
      <c r="P24" s="21">
        <f t="shared" si="1"/>
        <v>321595541.38952601</v>
      </c>
      <c r="Q24" s="21">
        <f>P24*Calculation_Assumptions!$B$14*J24*K24</f>
        <v>0</v>
      </c>
      <c r="R24" s="21">
        <f t="shared" si="2"/>
        <v>1800935.0656697287</v>
      </c>
      <c r="S24" s="21">
        <f t="shared" si="3"/>
        <v>1800935.0656697287</v>
      </c>
      <c r="T24" s="32">
        <f>1/(1+Calculation_Assumptions!$B$8)^(B24-Calculation_Assumptions!$B$2)</f>
        <v>0.52189250088258554</v>
      </c>
      <c r="U24" s="21">
        <f t="shared" si="4"/>
        <v>0</v>
      </c>
      <c r="V24" s="21">
        <f t="shared" si="5"/>
        <v>939894.50534951815</v>
      </c>
      <c r="W24" s="21">
        <f t="shared" si="6"/>
        <v>939894.50534951815</v>
      </c>
      <c r="X24">
        <v>0</v>
      </c>
      <c r="Y24" s="18">
        <v>2017</v>
      </c>
      <c r="Z24" t="s">
        <v>264</v>
      </c>
      <c r="AA24" s="21">
        <f t="shared" si="7"/>
        <v>1</v>
      </c>
    </row>
    <row r="25" spans="1:27">
      <c r="A25" t="s">
        <v>162</v>
      </c>
      <c r="B25" s="18">
        <v>2048</v>
      </c>
      <c r="C25" t="s">
        <v>162</v>
      </c>
      <c r="D25" s="20" t="s">
        <v>334</v>
      </c>
      <c r="E25" s="20" t="s">
        <v>335</v>
      </c>
      <c r="F25" s="20" t="s">
        <v>170</v>
      </c>
      <c r="G25" s="20" t="s">
        <v>336</v>
      </c>
      <c r="H25" s="20" t="s">
        <v>338</v>
      </c>
      <c r="I25" s="29">
        <v>1</v>
      </c>
      <c r="J25" s="30">
        <v>1</v>
      </c>
      <c r="K25" s="31">
        <v>5.5999999999999999E-3</v>
      </c>
      <c r="L25" s="9">
        <v>322275163.35988402</v>
      </c>
      <c r="M25" s="9">
        <v>322453622.66946399</v>
      </c>
      <c r="N25" s="32">
        <f>MIN(MAX((B25-Calculation_Assumptions!$B$5+1)/Calculation_Assumptions!$B$7,0),1)</f>
        <v>1</v>
      </c>
      <c r="O25" s="21">
        <f t="shared" si="0"/>
        <v>322275163.35988402</v>
      </c>
      <c r="P25" s="21">
        <f t="shared" si="1"/>
        <v>322453622.66946399</v>
      </c>
      <c r="Q25" s="21">
        <f>P25*Calculation_Assumptions!$B$14*J25*K25</f>
        <v>0</v>
      </c>
      <c r="R25" s="21">
        <f t="shared" si="2"/>
        <v>1804740.9148153504</v>
      </c>
      <c r="S25" s="21">
        <f t="shared" si="3"/>
        <v>1804740.9148153504</v>
      </c>
      <c r="T25" s="32">
        <f>1/(1+Calculation_Assumptions!$B$8)^(B25-Calculation_Assumptions!$B$2)</f>
        <v>0.50669174842969467</v>
      </c>
      <c r="U25" s="21">
        <f t="shared" si="4"/>
        <v>0</v>
      </c>
      <c r="V25" s="21">
        <f t="shared" si="5"/>
        <v>914447.32959039661</v>
      </c>
      <c r="W25" s="21">
        <f t="shared" si="6"/>
        <v>914447.32959039661</v>
      </c>
      <c r="X25">
        <v>0</v>
      </c>
      <c r="Y25" s="18">
        <v>2017</v>
      </c>
      <c r="Z25" t="s">
        <v>264</v>
      </c>
      <c r="AA25" s="21">
        <f t="shared" si="7"/>
        <v>1</v>
      </c>
    </row>
    <row r="26" spans="1:27">
      <c r="A26" t="s">
        <v>162</v>
      </c>
      <c r="B26" s="18">
        <v>2049</v>
      </c>
      <c r="C26" t="s">
        <v>162</v>
      </c>
      <c r="D26" s="20" t="s">
        <v>334</v>
      </c>
      <c r="E26" s="20" t="s">
        <v>335</v>
      </c>
      <c r="F26" s="20" t="s">
        <v>170</v>
      </c>
      <c r="G26" s="20" t="s">
        <v>336</v>
      </c>
      <c r="H26" s="20" t="s">
        <v>338</v>
      </c>
      <c r="I26" s="29">
        <v>1</v>
      </c>
      <c r="J26" s="30">
        <v>1</v>
      </c>
      <c r="K26" s="31">
        <v>5.5999999999999999E-3</v>
      </c>
      <c r="L26" s="9">
        <v>323070815.96694499</v>
      </c>
      <c r="M26" s="9">
        <v>323259246.71671897</v>
      </c>
      <c r="N26" s="32">
        <f>MIN(MAX((B26-Calculation_Assumptions!$B$5+1)/Calculation_Assumptions!$B$7,0),1)</f>
        <v>1</v>
      </c>
      <c r="O26" s="21">
        <f t="shared" si="0"/>
        <v>323070815.96694499</v>
      </c>
      <c r="P26" s="21">
        <f t="shared" si="1"/>
        <v>323259246.71671897</v>
      </c>
      <c r="Q26" s="21">
        <f>P26*Calculation_Assumptions!$B$14*J26*K26</f>
        <v>0</v>
      </c>
      <c r="R26" s="21">
        <f t="shared" si="2"/>
        <v>1809196.569414892</v>
      </c>
      <c r="S26" s="21">
        <f t="shared" si="3"/>
        <v>1809196.569414892</v>
      </c>
      <c r="T26" s="32">
        <f>1/(1+Calculation_Assumptions!$B$8)^(B26-Calculation_Assumptions!$B$2)</f>
        <v>0.49193373633950943</v>
      </c>
      <c r="U26" s="21">
        <f t="shared" si="4"/>
        <v>0</v>
      </c>
      <c r="V26" s="21">
        <f t="shared" si="5"/>
        <v>890004.82816489041</v>
      </c>
      <c r="W26" s="21">
        <f t="shared" si="6"/>
        <v>890004.82816489041</v>
      </c>
      <c r="X26">
        <v>0</v>
      </c>
      <c r="Y26" s="18">
        <v>2017</v>
      </c>
      <c r="Z26" t="s">
        <v>264</v>
      </c>
      <c r="AA26" s="21">
        <f t="shared" si="7"/>
        <v>1</v>
      </c>
    </row>
    <row r="27" spans="1:27">
      <c r="A27" t="s">
        <v>162</v>
      </c>
      <c r="B27" s="18">
        <v>2050</v>
      </c>
      <c r="C27" t="s">
        <v>162</v>
      </c>
      <c r="D27" s="20" t="s">
        <v>334</v>
      </c>
      <c r="E27" s="20" t="s">
        <v>335</v>
      </c>
      <c r="F27" s="20" t="s">
        <v>170</v>
      </c>
      <c r="G27" s="20" t="s">
        <v>336</v>
      </c>
      <c r="H27" s="20" t="s">
        <v>338</v>
      </c>
      <c r="I27" s="29">
        <v>1</v>
      </c>
      <c r="J27" s="30">
        <v>1</v>
      </c>
      <c r="K27" s="31">
        <v>5.5999999999999999E-3</v>
      </c>
      <c r="L27" s="9">
        <v>323814616.57450402</v>
      </c>
      <c r="M27" s="9">
        <v>324013738.18247902</v>
      </c>
      <c r="N27" s="32">
        <f>MIN(MAX((B27-Calculation_Assumptions!$B$5+1)/Calculation_Assumptions!$B$7,0),1)</f>
        <v>1</v>
      </c>
      <c r="O27" s="21">
        <f t="shared" si="0"/>
        <v>323814616.57450402</v>
      </c>
      <c r="P27" s="21">
        <f t="shared" si="1"/>
        <v>324013738.18247902</v>
      </c>
      <c r="Q27" s="21">
        <f>P27*Calculation_Assumptions!$B$14*J27*K27</f>
        <v>0</v>
      </c>
      <c r="R27" s="21">
        <f t="shared" si="2"/>
        <v>1813361.8528172225</v>
      </c>
      <c r="S27" s="21">
        <f t="shared" si="3"/>
        <v>1813361.8528172225</v>
      </c>
      <c r="T27" s="32">
        <f>1/(1+Calculation_Assumptions!$B$8)^(B27-Calculation_Assumptions!$B$2)</f>
        <v>0.47760556926165965</v>
      </c>
      <c r="U27" s="21">
        <f t="shared" si="4"/>
        <v>0</v>
      </c>
      <c r="V27" s="21">
        <f t="shared" si="5"/>
        <v>866071.71999214741</v>
      </c>
      <c r="W27" s="21">
        <f t="shared" si="6"/>
        <v>866071.71999214741</v>
      </c>
      <c r="X27">
        <v>0</v>
      </c>
      <c r="Y27" s="18">
        <v>2017</v>
      </c>
      <c r="Z27" t="s">
        <v>264</v>
      </c>
      <c r="AA27" s="21">
        <f t="shared" si="7"/>
        <v>1</v>
      </c>
    </row>
    <row r="28" spans="1:27">
      <c r="A28" t="s">
        <v>185</v>
      </c>
      <c r="B28" s="18">
        <v>2025</v>
      </c>
      <c r="C28" t="s">
        <v>185</v>
      </c>
      <c r="D28" s="20" t="s">
        <v>341</v>
      </c>
      <c r="E28" s="20" t="s">
        <v>342</v>
      </c>
      <c r="F28" s="20" t="s">
        <v>188</v>
      </c>
      <c r="G28" s="20" t="s">
        <v>336</v>
      </c>
      <c r="H28" s="20" t="s">
        <v>338</v>
      </c>
      <c r="I28" s="29">
        <v>1</v>
      </c>
      <c r="J28" s="30">
        <v>1</v>
      </c>
      <c r="K28" s="31">
        <v>4.0000000000000001E-3</v>
      </c>
      <c r="L28" s="9">
        <v>288000821.106462</v>
      </c>
      <c r="M28" s="9">
        <v>288000821.106462</v>
      </c>
      <c r="N28" s="32">
        <f>MIN(MAX((B28-Calculation_Assumptions!$B$5+1)/Calculation_Assumptions!$B$7,0),1)</f>
        <v>0</v>
      </c>
      <c r="O28" s="21">
        <f t="shared" si="0"/>
        <v>288000821.106462</v>
      </c>
      <c r="P28" s="21">
        <f t="shared" si="1"/>
        <v>288000821.106462</v>
      </c>
      <c r="Q28" s="21">
        <f>P28*Calculation_Assumptions!$B$14*J28*K28</f>
        <v>0</v>
      </c>
      <c r="R28" s="21">
        <f t="shared" si="2"/>
        <v>0</v>
      </c>
      <c r="S28" s="21">
        <f t="shared" si="3"/>
        <v>0</v>
      </c>
      <c r="T28" s="32">
        <f>1/(1+Calculation_Assumptions!$B$8)^(B28-Calculation_Assumptions!$B$2)</f>
        <v>1</v>
      </c>
      <c r="U28" s="21">
        <f t="shared" si="4"/>
        <v>0</v>
      </c>
      <c r="V28" s="21">
        <f t="shared" si="5"/>
        <v>0</v>
      </c>
      <c r="W28" s="21">
        <f t="shared" si="6"/>
        <v>0</v>
      </c>
      <c r="X28">
        <v>0</v>
      </c>
      <c r="Y28" s="18">
        <v>2017</v>
      </c>
      <c r="Z28" t="s">
        <v>264</v>
      </c>
      <c r="AA28" s="21">
        <f t="shared" si="7"/>
        <v>1</v>
      </c>
    </row>
    <row r="29" spans="1:27">
      <c r="A29" t="s">
        <v>185</v>
      </c>
      <c r="B29" s="18">
        <v>2026</v>
      </c>
      <c r="C29" t="s">
        <v>185</v>
      </c>
      <c r="D29" s="20" t="s">
        <v>341</v>
      </c>
      <c r="E29" s="20" t="s">
        <v>342</v>
      </c>
      <c r="F29" s="20" t="s">
        <v>188</v>
      </c>
      <c r="G29" s="20" t="s">
        <v>336</v>
      </c>
      <c r="H29" s="20" t="s">
        <v>338</v>
      </c>
      <c r="I29" s="29">
        <v>1</v>
      </c>
      <c r="J29" s="30">
        <v>1</v>
      </c>
      <c r="K29" s="31">
        <v>4.0000000000000001E-3</v>
      </c>
      <c r="L29" s="9">
        <v>290123496.10321897</v>
      </c>
      <c r="M29" s="9">
        <v>290123496.10321897</v>
      </c>
      <c r="N29" s="32">
        <f>MIN(MAX((B29-Calculation_Assumptions!$B$5+1)/Calculation_Assumptions!$B$7,0),1)</f>
        <v>0.33333333333333331</v>
      </c>
      <c r="O29" s="21">
        <f t="shared" si="0"/>
        <v>290123496.10321897</v>
      </c>
      <c r="P29" s="21">
        <f t="shared" si="1"/>
        <v>290123496.10321897</v>
      </c>
      <c r="Q29" s="21">
        <f>P29*Calculation_Assumptions!$B$14*J29*K29</f>
        <v>0</v>
      </c>
      <c r="R29" s="21">
        <f t="shared" si="2"/>
        <v>386831.3281376253</v>
      </c>
      <c r="S29" s="21">
        <f t="shared" si="3"/>
        <v>386831.3281376253</v>
      </c>
      <c r="T29" s="32">
        <f>1/(1+Calculation_Assumptions!$B$8)^(B29-Calculation_Assumptions!$B$2)</f>
        <v>0.970873786407767</v>
      </c>
      <c r="U29" s="21">
        <f t="shared" si="4"/>
        <v>0</v>
      </c>
      <c r="V29" s="21">
        <f t="shared" si="5"/>
        <v>375564.39625012164</v>
      </c>
      <c r="W29" s="21">
        <f t="shared" si="6"/>
        <v>375564.39625012164</v>
      </c>
      <c r="X29">
        <v>0</v>
      </c>
      <c r="Y29" s="18">
        <v>2017</v>
      </c>
      <c r="Z29" t="s">
        <v>264</v>
      </c>
      <c r="AA29" s="21">
        <f t="shared" si="7"/>
        <v>1</v>
      </c>
    </row>
    <row r="30" spans="1:27">
      <c r="A30" t="s">
        <v>185</v>
      </c>
      <c r="B30" s="18">
        <v>2027</v>
      </c>
      <c r="C30" t="s">
        <v>185</v>
      </c>
      <c r="D30" s="20" t="s">
        <v>341</v>
      </c>
      <c r="E30" s="20" t="s">
        <v>342</v>
      </c>
      <c r="F30" s="20" t="s">
        <v>188</v>
      </c>
      <c r="G30" s="20" t="s">
        <v>336</v>
      </c>
      <c r="H30" s="20" t="s">
        <v>338</v>
      </c>
      <c r="I30" s="29">
        <v>1</v>
      </c>
      <c r="J30" s="30">
        <v>1</v>
      </c>
      <c r="K30" s="31">
        <v>4.0000000000000001E-3</v>
      </c>
      <c r="L30" s="9">
        <v>292252895.09695601</v>
      </c>
      <c r="M30" s="9">
        <v>292252895.09695601</v>
      </c>
      <c r="N30" s="32">
        <f>MIN(MAX((B30-Calculation_Assumptions!$B$5+1)/Calculation_Assumptions!$B$7,0),1)</f>
        <v>0.66666666666666663</v>
      </c>
      <c r="O30" s="21">
        <f t="shared" si="0"/>
        <v>292252895.09695601</v>
      </c>
      <c r="P30" s="21">
        <f t="shared" si="1"/>
        <v>292252895.09695601</v>
      </c>
      <c r="Q30" s="21">
        <f>P30*Calculation_Assumptions!$B$14*J30*K30</f>
        <v>0</v>
      </c>
      <c r="R30" s="21">
        <f t="shared" si="2"/>
        <v>779341.05359188269</v>
      </c>
      <c r="S30" s="21">
        <f t="shared" si="3"/>
        <v>779341.05359188269</v>
      </c>
      <c r="T30" s="32">
        <f>1/(1+Calculation_Assumptions!$B$8)^(B30-Calculation_Assumptions!$B$2)</f>
        <v>0.94259590913375435</v>
      </c>
      <c r="U30" s="21">
        <f t="shared" si="4"/>
        <v>0</v>
      </c>
      <c r="V30" s="21">
        <f t="shared" si="5"/>
        <v>734603.68893569859</v>
      </c>
      <c r="W30" s="21">
        <f t="shared" si="6"/>
        <v>734603.68893569859</v>
      </c>
      <c r="X30">
        <v>0</v>
      </c>
      <c r="Y30" s="18">
        <v>2017</v>
      </c>
      <c r="Z30" t="s">
        <v>264</v>
      </c>
      <c r="AA30" s="21">
        <f t="shared" si="7"/>
        <v>1</v>
      </c>
    </row>
    <row r="31" spans="1:27">
      <c r="A31" t="s">
        <v>185</v>
      </c>
      <c r="B31" s="18">
        <v>2028</v>
      </c>
      <c r="C31" t="s">
        <v>185</v>
      </c>
      <c r="D31" s="20" t="s">
        <v>341</v>
      </c>
      <c r="E31" s="20" t="s">
        <v>342</v>
      </c>
      <c r="F31" s="20" t="s">
        <v>188</v>
      </c>
      <c r="G31" s="20" t="s">
        <v>336</v>
      </c>
      <c r="H31" s="20" t="s">
        <v>338</v>
      </c>
      <c r="I31" s="29">
        <v>1</v>
      </c>
      <c r="J31" s="30">
        <v>1</v>
      </c>
      <c r="K31" s="31">
        <v>4.0000000000000001E-3</v>
      </c>
      <c r="L31" s="9">
        <v>294314895.349006</v>
      </c>
      <c r="M31" s="9">
        <v>294314895.30546498</v>
      </c>
      <c r="N31" s="32">
        <f>MIN(MAX((B31-Calculation_Assumptions!$B$5+1)/Calculation_Assumptions!$B$7,0),1)</f>
        <v>1</v>
      </c>
      <c r="O31" s="21">
        <f t="shared" si="0"/>
        <v>294314895.349006</v>
      </c>
      <c r="P31" s="21">
        <f t="shared" si="1"/>
        <v>294314895.30546498</v>
      </c>
      <c r="Q31" s="21">
        <f>P31*Calculation_Assumptions!$B$14*J31*K31</f>
        <v>0</v>
      </c>
      <c r="R31" s="21">
        <f t="shared" si="2"/>
        <v>1177259.581396024</v>
      </c>
      <c r="S31" s="21">
        <f t="shared" si="3"/>
        <v>1177259.581396024</v>
      </c>
      <c r="T31" s="32">
        <f>1/(1+Calculation_Assumptions!$B$8)^(B31-Calculation_Assumptions!$B$2)</f>
        <v>0.91514165935315961</v>
      </c>
      <c r="U31" s="21">
        <f t="shared" si="4"/>
        <v>0</v>
      </c>
      <c r="V31" s="21">
        <f t="shared" si="5"/>
        <v>1077359.2868081634</v>
      </c>
      <c r="W31" s="21">
        <f t="shared" si="6"/>
        <v>1077359.2868081634</v>
      </c>
      <c r="X31">
        <v>0</v>
      </c>
      <c r="Y31" s="18">
        <v>2017</v>
      </c>
      <c r="Z31" t="s">
        <v>264</v>
      </c>
      <c r="AA31" s="21">
        <f t="shared" si="7"/>
        <v>1</v>
      </c>
    </row>
    <row r="32" spans="1:27">
      <c r="A32" t="s">
        <v>185</v>
      </c>
      <c r="B32" s="18">
        <v>2029</v>
      </c>
      <c r="C32" t="s">
        <v>185</v>
      </c>
      <c r="D32" s="20" t="s">
        <v>341</v>
      </c>
      <c r="E32" s="20" t="s">
        <v>342</v>
      </c>
      <c r="F32" s="20" t="s">
        <v>188</v>
      </c>
      <c r="G32" s="20" t="s">
        <v>336</v>
      </c>
      <c r="H32" s="20" t="s">
        <v>338</v>
      </c>
      <c r="I32" s="29">
        <v>1</v>
      </c>
      <c r="J32" s="30">
        <v>1</v>
      </c>
      <c r="K32" s="31">
        <v>4.0000000000000001E-3</v>
      </c>
      <c r="L32" s="9">
        <v>296341062.69973397</v>
      </c>
      <c r="M32" s="9">
        <v>296341062.542853</v>
      </c>
      <c r="N32" s="32">
        <f>MIN(MAX((B32-Calculation_Assumptions!$B$5+1)/Calculation_Assumptions!$B$7,0),1)</f>
        <v>1</v>
      </c>
      <c r="O32" s="21">
        <f t="shared" si="0"/>
        <v>296341062.69973397</v>
      </c>
      <c r="P32" s="21">
        <f t="shared" si="1"/>
        <v>296341062.542853</v>
      </c>
      <c r="Q32" s="21">
        <f>P32*Calculation_Assumptions!$B$14*J32*K32</f>
        <v>0</v>
      </c>
      <c r="R32" s="21">
        <f t="shared" si="2"/>
        <v>1185364.250798936</v>
      </c>
      <c r="S32" s="21">
        <f t="shared" si="3"/>
        <v>1185364.250798936</v>
      </c>
      <c r="T32" s="32">
        <f>1/(1+Calculation_Assumptions!$B$8)^(B32-Calculation_Assumptions!$B$2)</f>
        <v>0.888487047915689</v>
      </c>
      <c r="U32" s="21">
        <f t="shared" si="4"/>
        <v>0</v>
      </c>
      <c r="V32" s="21">
        <f t="shared" si="5"/>
        <v>1053180.7838971391</v>
      </c>
      <c r="W32" s="21">
        <f t="shared" si="6"/>
        <v>1053180.7838971391</v>
      </c>
      <c r="X32">
        <v>0</v>
      </c>
      <c r="Y32" s="18">
        <v>2017</v>
      </c>
      <c r="Z32" t="s">
        <v>264</v>
      </c>
      <c r="AA32" s="21">
        <f t="shared" si="7"/>
        <v>1</v>
      </c>
    </row>
    <row r="33" spans="1:27">
      <c r="A33" t="s">
        <v>185</v>
      </c>
      <c r="B33" s="18">
        <v>2030</v>
      </c>
      <c r="C33" t="s">
        <v>185</v>
      </c>
      <c r="D33" s="20" t="s">
        <v>341</v>
      </c>
      <c r="E33" s="20" t="s">
        <v>342</v>
      </c>
      <c r="F33" s="20" t="s">
        <v>188</v>
      </c>
      <c r="G33" s="20" t="s">
        <v>336</v>
      </c>
      <c r="H33" s="20" t="s">
        <v>338</v>
      </c>
      <c r="I33" s="29">
        <v>1</v>
      </c>
      <c r="J33" s="30">
        <v>1</v>
      </c>
      <c r="K33" s="31">
        <v>4.0000000000000001E-3</v>
      </c>
      <c r="L33" s="9">
        <v>298280286.41617799</v>
      </c>
      <c r="M33" s="9">
        <v>298280286.05726302</v>
      </c>
      <c r="N33" s="32">
        <f>MIN(MAX((B33-Calculation_Assumptions!$B$5+1)/Calculation_Assumptions!$B$7,0),1)</f>
        <v>1</v>
      </c>
      <c r="O33" s="21">
        <f t="shared" si="0"/>
        <v>298280286.41617799</v>
      </c>
      <c r="P33" s="21">
        <f t="shared" si="1"/>
        <v>298280286.05726302</v>
      </c>
      <c r="Q33" s="21">
        <f>P33*Calculation_Assumptions!$B$14*J33*K33</f>
        <v>0</v>
      </c>
      <c r="R33" s="21">
        <f t="shared" si="2"/>
        <v>1193121.1456647119</v>
      </c>
      <c r="S33" s="21">
        <f t="shared" si="3"/>
        <v>1193121.1456647119</v>
      </c>
      <c r="T33" s="32">
        <f>1/(1+Calculation_Assumptions!$B$8)^(B33-Calculation_Assumptions!$B$2)</f>
        <v>0.86260878438416411</v>
      </c>
      <c r="U33" s="21">
        <f t="shared" si="4"/>
        <v>0</v>
      </c>
      <c r="V33" s="21">
        <f t="shared" si="5"/>
        <v>1029196.7810848784</v>
      </c>
      <c r="W33" s="21">
        <f t="shared" si="6"/>
        <v>1029196.7810848784</v>
      </c>
      <c r="X33">
        <v>0</v>
      </c>
      <c r="Y33" s="18">
        <v>2017</v>
      </c>
      <c r="Z33" t="s">
        <v>264</v>
      </c>
      <c r="AA33" s="21">
        <f t="shared" si="7"/>
        <v>1</v>
      </c>
    </row>
    <row r="34" spans="1:27">
      <c r="A34" t="s">
        <v>185</v>
      </c>
      <c r="B34" s="18">
        <v>2031</v>
      </c>
      <c r="C34" t="s">
        <v>185</v>
      </c>
      <c r="D34" s="20" t="s">
        <v>341</v>
      </c>
      <c r="E34" s="20" t="s">
        <v>342</v>
      </c>
      <c r="F34" s="20" t="s">
        <v>188</v>
      </c>
      <c r="G34" s="20" t="s">
        <v>336</v>
      </c>
      <c r="H34" s="20" t="s">
        <v>338</v>
      </c>
      <c r="I34" s="29">
        <v>1</v>
      </c>
      <c r="J34" s="30">
        <v>1</v>
      </c>
      <c r="K34" s="31">
        <v>4.0000000000000001E-3</v>
      </c>
      <c r="L34" s="9">
        <v>300152603.92056203</v>
      </c>
      <c r="M34" s="9">
        <v>300152603.25478202</v>
      </c>
      <c r="N34" s="32">
        <f>MIN(MAX((B34-Calculation_Assumptions!$B$5+1)/Calculation_Assumptions!$B$7,0),1)</f>
        <v>1</v>
      </c>
      <c r="O34" s="21">
        <f t="shared" si="0"/>
        <v>300152603.92056203</v>
      </c>
      <c r="P34" s="21">
        <f t="shared" si="1"/>
        <v>300152603.25478202</v>
      </c>
      <c r="Q34" s="21">
        <f>P34*Calculation_Assumptions!$B$14*J34*K34</f>
        <v>0</v>
      </c>
      <c r="R34" s="21">
        <f t="shared" si="2"/>
        <v>1200610.4156822481</v>
      </c>
      <c r="S34" s="21">
        <f t="shared" si="3"/>
        <v>1200610.4156822481</v>
      </c>
      <c r="T34" s="32">
        <f>1/(1+Calculation_Assumptions!$B$8)^(B34-Calculation_Assumptions!$B$2)</f>
        <v>0.83748425668365445</v>
      </c>
      <c r="U34" s="21">
        <f t="shared" si="4"/>
        <v>0</v>
      </c>
      <c r="V34" s="21">
        <f t="shared" si="5"/>
        <v>1005492.3215443009</v>
      </c>
      <c r="W34" s="21">
        <f t="shared" si="6"/>
        <v>1005492.3215443009</v>
      </c>
      <c r="X34">
        <v>0</v>
      </c>
      <c r="Y34" s="18">
        <v>2017</v>
      </c>
      <c r="Z34" t="s">
        <v>264</v>
      </c>
      <c r="AA34" s="21">
        <f t="shared" si="7"/>
        <v>1</v>
      </c>
    </row>
    <row r="35" spans="1:27">
      <c r="A35" t="s">
        <v>185</v>
      </c>
      <c r="B35" s="18">
        <v>2032</v>
      </c>
      <c r="C35" t="s">
        <v>185</v>
      </c>
      <c r="D35" s="20" t="s">
        <v>341</v>
      </c>
      <c r="E35" s="20" t="s">
        <v>342</v>
      </c>
      <c r="F35" s="20" t="s">
        <v>188</v>
      </c>
      <c r="G35" s="20" t="s">
        <v>336</v>
      </c>
      <c r="H35" s="20" t="s">
        <v>338</v>
      </c>
      <c r="I35" s="29">
        <v>1</v>
      </c>
      <c r="J35" s="30">
        <v>1</v>
      </c>
      <c r="K35" s="31">
        <v>4.0000000000000001E-3</v>
      </c>
      <c r="L35" s="9">
        <v>301886268.28013599</v>
      </c>
      <c r="M35" s="9">
        <v>301959399.63388801</v>
      </c>
      <c r="N35" s="32">
        <f>MIN(MAX((B35-Calculation_Assumptions!$B$5+1)/Calculation_Assumptions!$B$7,0),1)</f>
        <v>1</v>
      </c>
      <c r="O35" s="21">
        <f t="shared" si="0"/>
        <v>301886268.28013599</v>
      </c>
      <c r="P35" s="21">
        <f t="shared" si="1"/>
        <v>301959399.63388801</v>
      </c>
      <c r="Q35" s="21">
        <f>P35*Calculation_Assumptions!$B$14*J35*K35</f>
        <v>0</v>
      </c>
      <c r="R35" s="21">
        <f t="shared" si="2"/>
        <v>1207545.073120544</v>
      </c>
      <c r="S35" s="21">
        <f t="shared" si="3"/>
        <v>1207545.073120544</v>
      </c>
      <c r="T35" s="32">
        <f>1/(1+Calculation_Assumptions!$B$8)^(B35-Calculation_Assumptions!$B$2)</f>
        <v>0.81309151134335378</v>
      </c>
      <c r="U35" s="21">
        <f t="shared" si="4"/>
        <v>0</v>
      </c>
      <c r="V35" s="21">
        <f t="shared" si="5"/>
        <v>981844.64851880376</v>
      </c>
      <c r="W35" s="21">
        <f t="shared" si="6"/>
        <v>981844.64851880376</v>
      </c>
      <c r="X35">
        <v>0</v>
      </c>
      <c r="Y35" s="18">
        <v>2017</v>
      </c>
      <c r="Z35" t="s">
        <v>264</v>
      </c>
      <c r="AA35" s="21">
        <f t="shared" si="7"/>
        <v>1</v>
      </c>
    </row>
    <row r="36" spans="1:27">
      <c r="A36" t="s">
        <v>185</v>
      </c>
      <c r="B36" s="18">
        <v>2033</v>
      </c>
      <c r="C36" t="s">
        <v>185</v>
      </c>
      <c r="D36" s="20" t="s">
        <v>341</v>
      </c>
      <c r="E36" s="20" t="s">
        <v>342</v>
      </c>
      <c r="F36" s="20" t="s">
        <v>188</v>
      </c>
      <c r="G36" s="20" t="s">
        <v>336</v>
      </c>
      <c r="H36" s="20" t="s">
        <v>338</v>
      </c>
      <c r="I36" s="29">
        <v>1</v>
      </c>
      <c r="J36" s="30">
        <v>1</v>
      </c>
      <c r="K36" s="31">
        <v>4.0000000000000001E-3</v>
      </c>
      <c r="L36" s="9">
        <v>303619537.79329199</v>
      </c>
      <c r="M36" s="9">
        <v>303701035.20205098</v>
      </c>
      <c r="N36" s="32">
        <f>MIN(MAX((B36-Calculation_Assumptions!$B$5+1)/Calculation_Assumptions!$B$7,0),1)</f>
        <v>1</v>
      </c>
      <c r="O36" s="21">
        <f t="shared" si="0"/>
        <v>303619537.79329199</v>
      </c>
      <c r="P36" s="21">
        <f t="shared" si="1"/>
        <v>303701035.20205098</v>
      </c>
      <c r="Q36" s="21">
        <f>P36*Calculation_Assumptions!$B$14*J36*K36</f>
        <v>0</v>
      </c>
      <c r="R36" s="21">
        <f t="shared" si="2"/>
        <v>1214478.1511731679</v>
      </c>
      <c r="S36" s="21">
        <f t="shared" si="3"/>
        <v>1214478.1511731679</v>
      </c>
      <c r="T36" s="32">
        <f>1/(1+Calculation_Assumptions!$B$8)^(B36-Calculation_Assumptions!$B$2)</f>
        <v>0.78940923431393573</v>
      </c>
      <c r="U36" s="21">
        <f t="shared" si="4"/>
        <v>0</v>
      </c>
      <c r="V36" s="21">
        <f t="shared" si="5"/>
        <v>958720.26740861475</v>
      </c>
      <c r="W36" s="21">
        <f t="shared" si="6"/>
        <v>958720.26740861475</v>
      </c>
      <c r="X36">
        <v>0</v>
      </c>
      <c r="Y36" s="18">
        <v>2017</v>
      </c>
      <c r="Z36" t="s">
        <v>264</v>
      </c>
      <c r="AA36" s="21">
        <f t="shared" si="7"/>
        <v>1</v>
      </c>
    </row>
    <row r="37" spans="1:27">
      <c r="A37" t="s">
        <v>185</v>
      </c>
      <c r="B37" s="18">
        <v>2034</v>
      </c>
      <c r="C37" t="s">
        <v>185</v>
      </c>
      <c r="D37" s="20" t="s">
        <v>341</v>
      </c>
      <c r="E37" s="20" t="s">
        <v>342</v>
      </c>
      <c r="F37" s="20" t="s">
        <v>188</v>
      </c>
      <c r="G37" s="20" t="s">
        <v>336</v>
      </c>
      <c r="H37" s="20" t="s">
        <v>338</v>
      </c>
      <c r="I37" s="29">
        <v>1</v>
      </c>
      <c r="J37" s="30">
        <v>1</v>
      </c>
      <c r="K37" s="31">
        <v>4.0000000000000001E-3</v>
      </c>
      <c r="L37" s="9">
        <v>305288028.509049</v>
      </c>
      <c r="M37" s="9">
        <v>305377998.093319</v>
      </c>
      <c r="N37" s="32">
        <f>MIN(MAX((B37-Calculation_Assumptions!$B$5+1)/Calculation_Assumptions!$B$7,0),1)</f>
        <v>1</v>
      </c>
      <c r="O37" s="21">
        <f t="shared" si="0"/>
        <v>305288028.509049</v>
      </c>
      <c r="P37" s="21">
        <f t="shared" si="1"/>
        <v>305377998.093319</v>
      </c>
      <c r="Q37" s="21">
        <f>P37*Calculation_Assumptions!$B$14*J37*K37</f>
        <v>0</v>
      </c>
      <c r="R37" s="21">
        <f t="shared" si="2"/>
        <v>1221152.1140361959</v>
      </c>
      <c r="S37" s="21">
        <f t="shared" si="3"/>
        <v>1221152.1140361959</v>
      </c>
      <c r="T37" s="32">
        <f>1/(1+Calculation_Assumptions!$B$8)^(B37-Calculation_Assumptions!$B$2)</f>
        <v>0.76641673234362695</v>
      </c>
      <c r="U37" s="21">
        <f t="shared" si="4"/>
        <v>0</v>
      </c>
      <c r="V37" s="21">
        <f t="shared" si="5"/>
        <v>935911.41293413343</v>
      </c>
      <c r="W37" s="21">
        <f t="shared" si="6"/>
        <v>935911.41293413343</v>
      </c>
      <c r="X37">
        <v>0</v>
      </c>
      <c r="Y37" s="18">
        <v>2017</v>
      </c>
      <c r="Z37" t="s">
        <v>264</v>
      </c>
      <c r="AA37" s="21">
        <f t="shared" si="7"/>
        <v>1</v>
      </c>
    </row>
    <row r="38" spans="1:27">
      <c r="A38" t="s">
        <v>185</v>
      </c>
      <c r="B38" s="18">
        <v>2035</v>
      </c>
      <c r="C38" t="s">
        <v>185</v>
      </c>
      <c r="D38" s="20" t="s">
        <v>341</v>
      </c>
      <c r="E38" s="20" t="s">
        <v>342</v>
      </c>
      <c r="F38" s="20" t="s">
        <v>188</v>
      </c>
      <c r="G38" s="20" t="s">
        <v>336</v>
      </c>
      <c r="H38" s="20" t="s">
        <v>338</v>
      </c>
      <c r="I38" s="29">
        <v>1</v>
      </c>
      <c r="J38" s="30">
        <v>1</v>
      </c>
      <c r="K38" s="31">
        <v>4.0000000000000001E-3</v>
      </c>
      <c r="L38" s="9">
        <v>306890892.83690602</v>
      </c>
      <c r="M38" s="9">
        <v>306989258.29407001</v>
      </c>
      <c r="N38" s="32">
        <f>MIN(MAX((B38-Calculation_Assumptions!$B$5+1)/Calculation_Assumptions!$B$7,0),1)</f>
        <v>1</v>
      </c>
      <c r="O38" s="21">
        <f t="shared" si="0"/>
        <v>306890892.83690602</v>
      </c>
      <c r="P38" s="21">
        <f t="shared" si="1"/>
        <v>306989258.29407001</v>
      </c>
      <c r="Q38" s="21">
        <f>P38*Calculation_Assumptions!$B$14*J38*K38</f>
        <v>0</v>
      </c>
      <c r="R38" s="21">
        <f t="shared" si="2"/>
        <v>1227563.5713476241</v>
      </c>
      <c r="S38" s="21">
        <f t="shared" si="3"/>
        <v>1227563.5713476241</v>
      </c>
      <c r="T38" s="32">
        <f>1/(1+Calculation_Assumptions!$B$8)^(B38-Calculation_Assumptions!$B$2)</f>
        <v>0.74409391489672516</v>
      </c>
      <c r="U38" s="21">
        <f t="shared" si="4"/>
        <v>0</v>
      </c>
      <c r="V38" s="21">
        <f t="shared" si="5"/>
        <v>913422.58358865895</v>
      </c>
      <c r="W38" s="21">
        <f t="shared" si="6"/>
        <v>913422.58358865895</v>
      </c>
      <c r="X38">
        <v>0</v>
      </c>
      <c r="Y38" s="18">
        <v>2017</v>
      </c>
      <c r="Z38" t="s">
        <v>264</v>
      </c>
      <c r="AA38" s="21">
        <f t="shared" si="7"/>
        <v>1</v>
      </c>
    </row>
    <row r="39" spans="1:27">
      <c r="A39" t="s">
        <v>185</v>
      </c>
      <c r="B39" s="18">
        <v>2036</v>
      </c>
      <c r="C39" t="s">
        <v>185</v>
      </c>
      <c r="D39" s="20" t="s">
        <v>341</v>
      </c>
      <c r="E39" s="20" t="s">
        <v>342</v>
      </c>
      <c r="F39" s="20" t="s">
        <v>188</v>
      </c>
      <c r="G39" s="20" t="s">
        <v>336</v>
      </c>
      <c r="H39" s="20" t="s">
        <v>338</v>
      </c>
      <c r="I39" s="29">
        <v>1</v>
      </c>
      <c r="J39" s="30">
        <v>1</v>
      </c>
      <c r="K39" s="31">
        <v>4.0000000000000001E-3</v>
      </c>
      <c r="L39" s="9">
        <v>308430965.62127501</v>
      </c>
      <c r="M39" s="9">
        <v>308537399.67209399</v>
      </c>
      <c r="N39" s="32">
        <f>MIN(MAX((B39-Calculation_Assumptions!$B$5+1)/Calculation_Assumptions!$B$7,0),1)</f>
        <v>1</v>
      </c>
      <c r="O39" s="21">
        <f t="shared" si="0"/>
        <v>308430965.62127501</v>
      </c>
      <c r="P39" s="21">
        <f t="shared" si="1"/>
        <v>308537399.67209399</v>
      </c>
      <c r="Q39" s="21">
        <f>P39*Calculation_Assumptions!$B$14*J39*K39</f>
        <v>0</v>
      </c>
      <c r="R39" s="21">
        <f t="shared" si="2"/>
        <v>1233723.8624851</v>
      </c>
      <c r="S39" s="21">
        <f t="shared" si="3"/>
        <v>1233723.8624851</v>
      </c>
      <c r="T39" s="32">
        <f>1/(1+Calculation_Assumptions!$B$8)^(B39-Calculation_Assumptions!$B$2)</f>
        <v>0.72242127659876232</v>
      </c>
      <c r="U39" s="21">
        <f t="shared" si="4"/>
        <v>0</v>
      </c>
      <c r="V39" s="21">
        <f t="shared" si="5"/>
        <v>891268.36770684191</v>
      </c>
      <c r="W39" s="21">
        <f t="shared" si="6"/>
        <v>891268.36770684191</v>
      </c>
      <c r="X39">
        <v>0</v>
      </c>
      <c r="Y39" s="18">
        <v>2017</v>
      </c>
      <c r="Z39" t="s">
        <v>264</v>
      </c>
      <c r="AA39" s="21">
        <f t="shared" si="7"/>
        <v>1</v>
      </c>
    </row>
    <row r="40" spans="1:27">
      <c r="A40" t="s">
        <v>185</v>
      </c>
      <c r="B40" s="18">
        <v>2037</v>
      </c>
      <c r="C40" t="s">
        <v>185</v>
      </c>
      <c r="D40" s="20" t="s">
        <v>341</v>
      </c>
      <c r="E40" s="20" t="s">
        <v>342</v>
      </c>
      <c r="F40" s="20" t="s">
        <v>188</v>
      </c>
      <c r="G40" s="20" t="s">
        <v>336</v>
      </c>
      <c r="H40" s="20" t="s">
        <v>338</v>
      </c>
      <c r="I40" s="29">
        <v>1</v>
      </c>
      <c r="J40" s="30">
        <v>1</v>
      </c>
      <c r="K40" s="31">
        <v>4.0000000000000001E-3</v>
      </c>
      <c r="L40" s="9">
        <v>309909030.36693299</v>
      </c>
      <c r="M40" s="9">
        <v>310023120.39347202</v>
      </c>
      <c r="N40" s="32">
        <f>MIN(MAX((B40-Calculation_Assumptions!$B$5+1)/Calculation_Assumptions!$B$7,0),1)</f>
        <v>1</v>
      </c>
      <c r="O40" s="21">
        <f t="shared" si="0"/>
        <v>309909030.36693299</v>
      </c>
      <c r="P40" s="21">
        <f t="shared" si="1"/>
        <v>310023120.39347202</v>
      </c>
      <c r="Q40" s="21">
        <f>P40*Calculation_Assumptions!$B$14*J40*K40</f>
        <v>0</v>
      </c>
      <c r="R40" s="21">
        <f t="shared" si="2"/>
        <v>1239636.1214677319</v>
      </c>
      <c r="S40" s="21">
        <f t="shared" si="3"/>
        <v>1239636.1214677319</v>
      </c>
      <c r="T40" s="32">
        <f>1/(1+Calculation_Assumptions!$B$8)^(B40-Calculation_Assumptions!$B$2)</f>
        <v>0.70137988019297326</v>
      </c>
      <c r="U40" s="21">
        <f t="shared" si="4"/>
        <v>0</v>
      </c>
      <c r="V40" s="21">
        <f t="shared" si="5"/>
        <v>869455.83435791987</v>
      </c>
      <c r="W40" s="21">
        <f t="shared" si="6"/>
        <v>869455.83435791987</v>
      </c>
      <c r="X40">
        <v>0</v>
      </c>
      <c r="Y40" s="18">
        <v>2017</v>
      </c>
      <c r="Z40" t="s">
        <v>264</v>
      </c>
      <c r="AA40" s="21">
        <f t="shared" si="7"/>
        <v>1</v>
      </c>
    </row>
    <row r="41" spans="1:27">
      <c r="A41" t="s">
        <v>185</v>
      </c>
      <c r="B41" s="18">
        <v>2038</v>
      </c>
      <c r="C41" t="s">
        <v>185</v>
      </c>
      <c r="D41" s="20" t="s">
        <v>341</v>
      </c>
      <c r="E41" s="20" t="s">
        <v>342</v>
      </c>
      <c r="F41" s="20" t="s">
        <v>188</v>
      </c>
      <c r="G41" s="20" t="s">
        <v>336</v>
      </c>
      <c r="H41" s="20" t="s">
        <v>338</v>
      </c>
      <c r="I41" s="29">
        <v>1</v>
      </c>
      <c r="J41" s="30">
        <v>1</v>
      </c>
      <c r="K41" s="31">
        <v>4.0000000000000001E-3</v>
      </c>
      <c r="L41" s="9">
        <v>311325164.12209898</v>
      </c>
      <c r="M41" s="9">
        <v>311445837.13462502</v>
      </c>
      <c r="N41" s="32">
        <f>MIN(MAX((B41-Calculation_Assumptions!$B$5+1)/Calculation_Assumptions!$B$7,0),1)</f>
        <v>1</v>
      </c>
      <c r="O41" s="21">
        <f t="shared" si="0"/>
        <v>311325164.12209898</v>
      </c>
      <c r="P41" s="21">
        <f t="shared" si="1"/>
        <v>311445837.13462502</v>
      </c>
      <c r="Q41" s="21">
        <f>P41*Calculation_Assumptions!$B$14*J41*K41</f>
        <v>0</v>
      </c>
      <c r="R41" s="21">
        <f t="shared" si="2"/>
        <v>1245300.656488396</v>
      </c>
      <c r="S41" s="21">
        <f t="shared" si="3"/>
        <v>1245300.656488396</v>
      </c>
      <c r="T41" s="32">
        <f>1/(1+Calculation_Assumptions!$B$8)^(B41-Calculation_Assumptions!$B$2)</f>
        <v>0.68095133999317792</v>
      </c>
      <c r="U41" s="21">
        <f t="shared" si="4"/>
        <v>0</v>
      </c>
      <c r="V41" s="21">
        <f t="shared" si="5"/>
        <v>847989.15073015739</v>
      </c>
      <c r="W41" s="21">
        <f t="shared" si="6"/>
        <v>847989.15073015739</v>
      </c>
      <c r="X41">
        <v>0</v>
      </c>
      <c r="Y41" s="18">
        <v>2017</v>
      </c>
      <c r="Z41" t="s">
        <v>264</v>
      </c>
      <c r="AA41" s="21">
        <f t="shared" si="7"/>
        <v>1</v>
      </c>
    </row>
    <row r="42" spans="1:27">
      <c r="A42" t="s">
        <v>185</v>
      </c>
      <c r="B42" s="18">
        <v>2039</v>
      </c>
      <c r="C42" t="s">
        <v>185</v>
      </c>
      <c r="D42" s="20" t="s">
        <v>341</v>
      </c>
      <c r="E42" s="20" t="s">
        <v>342</v>
      </c>
      <c r="F42" s="20" t="s">
        <v>188</v>
      </c>
      <c r="G42" s="20" t="s">
        <v>336</v>
      </c>
      <c r="H42" s="20" t="s">
        <v>338</v>
      </c>
      <c r="I42" s="29">
        <v>1</v>
      </c>
      <c r="J42" s="30">
        <v>1</v>
      </c>
      <c r="K42" s="31">
        <v>4.0000000000000001E-3</v>
      </c>
      <c r="L42" s="9">
        <v>312680642.559273</v>
      </c>
      <c r="M42" s="9">
        <v>312806989.71568501</v>
      </c>
      <c r="N42" s="32">
        <f>MIN(MAX((B42-Calculation_Assumptions!$B$5+1)/Calculation_Assumptions!$B$7,0),1)</f>
        <v>1</v>
      </c>
      <c r="O42" s="21">
        <f t="shared" si="0"/>
        <v>312680642.559273</v>
      </c>
      <c r="P42" s="21">
        <f t="shared" si="1"/>
        <v>312806989.71568501</v>
      </c>
      <c r="Q42" s="21">
        <f>P42*Calculation_Assumptions!$B$14*J42*K42</f>
        <v>0</v>
      </c>
      <c r="R42" s="21">
        <f t="shared" si="2"/>
        <v>1250722.570237092</v>
      </c>
      <c r="S42" s="21">
        <f t="shared" si="3"/>
        <v>1250722.570237092</v>
      </c>
      <c r="T42" s="32">
        <f>1/(1+Calculation_Assumptions!$B$8)^(B42-Calculation_Assumptions!$B$2)</f>
        <v>0.66111780581861923</v>
      </c>
      <c r="U42" s="21">
        <f t="shared" si="4"/>
        <v>0</v>
      </c>
      <c r="V42" s="21">
        <f t="shared" si="5"/>
        <v>826874.96132297011</v>
      </c>
      <c r="W42" s="21">
        <f t="shared" si="6"/>
        <v>826874.96132297011</v>
      </c>
      <c r="X42">
        <v>0</v>
      </c>
      <c r="Y42" s="18">
        <v>2017</v>
      </c>
      <c r="Z42" t="s">
        <v>264</v>
      </c>
      <c r="AA42" s="21">
        <f t="shared" si="7"/>
        <v>1</v>
      </c>
    </row>
    <row r="43" spans="1:27">
      <c r="A43" t="s">
        <v>185</v>
      </c>
      <c r="B43" s="18">
        <v>2040</v>
      </c>
      <c r="C43" t="s">
        <v>185</v>
      </c>
      <c r="D43" s="20" t="s">
        <v>341</v>
      </c>
      <c r="E43" s="20" t="s">
        <v>342</v>
      </c>
      <c r="F43" s="20" t="s">
        <v>188</v>
      </c>
      <c r="G43" s="20" t="s">
        <v>336</v>
      </c>
      <c r="H43" s="20" t="s">
        <v>338</v>
      </c>
      <c r="I43" s="29">
        <v>1</v>
      </c>
      <c r="J43" s="30">
        <v>1</v>
      </c>
      <c r="K43" s="31">
        <v>4.0000000000000001E-3</v>
      </c>
      <c r="L43" s="9">
        <v>313977868.48433</v>
      </c>
      <c r="M43" s="9">
        <v>314109251.58264899</v>
      </c>
      <c r="N43" s="32">
        <f>MIN(MAX((B43-Calculation_Assumptions!$B$5+1)/Calculation_Assumptions!$B$7,0),1)</f>
        <v>1</v>
      </c>
      <c r="O43" s="21">
        <f t="shared" si="0"/>
        <v>313977868.48433</v>
      </c>
      <c r="P43" s="21">
        <f t="shared" si="1"/>
        <v>314109251.58264899</v>
      </c>
      <c r="Q43" s="21">
        <f>P43*Calculation_Assumptions!$B$14*J43*K43</f>
        <v>0</v>
      </c>
      <c r="R43" s="21">
        <f t="shared" si="2"/>
        <v>1255911.4739373201</v>
      </c>
      <c r="S43" s="21">
        <f t="shared" si="3"/>
        <v>1255911.4739373201</v>
      </c>
      <c r="T43" s="32">
        <f>1/(1+Calculation_Assumptions!$B$8)^(B43-Calculation_Assumptions!$B$2)</f>
        <v>0.64186194739671765</v>
      </c>
      <c r="U43" s="21">
        <f t="shared" si="4"/>
        <v>0</v>
      </c>
      <c r="V43" s="21">
        <f t="shared" si="5"/>
        <v>806121.78441929026</v>
      </c>
      <c r="W43" s="21">
        <f t="shared" si="6"/>
        <v>806121.78441929026</v>
      </c>
      <c r="X43">
        <v>0</v>
      </c>
      <c r="Y43" s="18">
        <v>2017</v>
      </c>
      <c r="Z43" t="s">
        <v>264</v>
      </c>
      <c r="AA43" s="21">
        <f t="shared" si="7"/>
        <v>1</v>
      </c>
    </row>
    <row r="44" spans="1:27">
      <c r="A44" t="s">
        <v>185</v>
      </c>
      <c r="B44" s="18">
        <v>2041</v>
      </c>
      <c r="C44" t="s">
        <v>185</v>
      </c>
      <c r="D44" s="20" t="s">
        <v>341</v>
      </c>
      <c r="E44" s="20" t="s">
        <v>342</v>
      </c>
      <c r="F44" s="20" t="s">
        <v>188</v>
      </c>
      <c r="G44" s="20" t="s">
        <v>336</v>
      </c>
      <c r="H44" s="20" t="s">
        <v>338</v>
      </c>
      <c r="I44" s="29">
        <v>1</v>
      </c>
      <c r="J44" s="30">
        <v>1</v>
      </c>
      <c r="K44" s="31">
        <v>4.0000000000000001E-3</v>
      </c>
      <c r="L44" s="9">
        <v>315215804.81415302</v>
      </c>
      <c r="M44" s="9">
        <v>315352079.81242299</v>
      </c>
      <c r="N44" s="32">
        <f>MIN(MAX((B44-Calculation_Assumptions!$B$5+1)/Calculation_Assumptions!$B$7,0),1)</f>
        <v>1</v>
      </c>
      <c r="O44" s="21">
        <f t="shared" si="0"/>
        <v>315215804.81415302</v>
      </c>
      <c r="P44" s="21">
        <f t="shared" si="1"/>
        <v>315352079.81242299</v>
      </c>
      <c r="Q44" s="21">
        <f>P44*Calculation_Assumptions!$B$14*J44*K44</f>
        <v>0</v>
      </c>
      <c r="R44" s="21">
        <f t="shared" si="2"/>
        <v>1260863.219256612</v>
      </c>
      <c r="S44" s="21">
        <f t="shared" si="3"/>
        <v>1260863.219256612</v>
      </c>
      <c r="T44" s="32">
        <f>1/(1+Calculation_Assumptions!$B$8)^(B44-Calculation_Assumptions!$B$2)</f>
        <v>0.62316693922011435</v>
      </c>
      <c r="U44" s="21">
        <f t="shared" si="4"/>
        <v>0</v>
      </c>
      <c r="V44" s="21">
        <f t="shared" si="5"/>
        <v>785728.27311936289</v>
      </c>
      <c r="W44" s="21">
        <f t="shared" si="6"/>
        <v>785728.27311936289</v>
      </c>
      <c r="X44">
        <v>0</v>
      </c>
      <c r="Y44" s="18">
        <v>2017</v>
      </c>
      <c r="Z44" t="s">
        <v>264</v>
      </c>
      <c r="AA44" s="21">
        <f t="shared" si="7"/>
        <v>1</v>
      </c>
    </row>
    <row r="45" spans="1:27">
      <c r="A45" t="s">
        <v>185</v>
      </c>
      <c r="B45" s="18">
        <v>2042</v>
      </c>
      <c r="C45" t="s">
        <v>185</v>
      </c>
      <c r="D45" s="20" t="s">
        <v>341</v>
      </c>
      <c r="E45" s="20" t="s">
        <v>342</v>
      </c>
      <c r="F45" s="20" t="s">
        <v>188</v>
      </c>
      <c r="G45" s="20" t="s">
        <v>336</v>
      </c>
      <c r="H45" s="20" t="s">
        <v>338</v>
      </c>
      <c r="I45" s="29">
        <v>1</v>
      </c>
      <c r="J45" s="30">
        <v>1</v>
      </c>
      <c r="K45" s="31">
        <v>4.0000000000000001E-3</v>
      </c>
      <c r="L45" s="9">
        <v>316395293.73568302</v>
      </c>
      <c r="M45" s="9">
        <v>316395286.31201601</v>
      </c>
      <c r="N45" s="32">
        <f>MIN(MAX((B45-Calculation_Assumptions!$B$5+1)/Calculation_Assumptions!$B$7,0),1)</f>
        <v>1</v>
      </c>
      <c r="O45" s="21">
        <f t="shared" si="0"/>
        <v>316395293.73568302</v>
      </c>
      <c r="P45" s="21">
        <f t="shared" si="1"/>
        <v>316395286.31201601</v>
      </c>
      <c r="Q45" s="21">
        <f>P45*Calculation_Assumptions!$B$14*J45*K45</f>
        <v>0</v>
      </c>
      <c r="R45" s="21">
        <f t="shared" si="2"/>
        <v>1265581.1749427321</v>
      </c>
      <c r="S45" s="21">
        <f t="shared" si="3"/>
        <v>1265581.1749427321</v>
      </c>
      <c r="T45" s="32">
        <f>1/(1+Calculation_Assumptions!$B$8)^(B45-Calculation_Assumptions!$B$2)</f>
        <v>0.60501644584477121</v>
      </c>
      <c r="U45" s="21">
        <f t="shared" si="4"/>
        <v>0</v>
      </c>
      <c r="V45" s="21">
        <f t="shared" si="5"/>
        <v>765697.42439190135</v>
      </c>
      <c r="W45" s="21">
        <f t="shared" si="6"/>
        <v>765697.42439190135</v>
      </c>
      <c r="X45">
        <v>0</v>
      </c>
      <c r="Y45" s="18">
        <v>2017</v>
      </c>
      <c r="Z45" t="s">
        <v>264</v>
      </c>
      <c r="AA45" s="21">
        <f t="shared" si="7"/>
        <v>1</v>
      </c>
    </row>
    <row r="46" spans="1:27">
      <c r="A46" t="s">
        <v>185</v>
      </c>
      <c r="B46" s="18">
        <v>2043</v>
      </c>
      <c r="C46" t="s">
        <v>185</v>
      </c>
      <c r="D46" s="20" t="s">
        <v>341</v>
      </c>
      <c r="E46" s="20" t="s">
        <v>342</v>
      </c>
      <c r="F46" s="20" t="s">
        <v>188</v>
      </c>
      <c r="G46" s="20" t="s">
        <v>336</v>
      </c>
      <c r="H46" s="20" t="s">
        <v>338</v>
      </c>
      <c r="I46" s="29">
        <v>1</v>
      </c>
      <c r="J46" s="30">
        <v>1</v>
      </c>
      <c r="K46" s="31">
        <v>4.0000000000000001E-3</v>
      </c>
      <c r="L46" s="9">
        <v>317619743.904387</v>
      </c>
      <c r="M46" s="9">
        <v>317619735.68828899</v>
      </c>
      <c r="N46" s="32">
        <f>MIN(MAX((B46-Calculation_Assumptions!$B$5+1)/Calculation_Assumptions!$B$7,0),1)</f>
        <v>1</v>
      </c>
      <c r="O46" s="21">
        <f t="shared" si="0"/>
        <v>317619743.904387</v>
      </c>
      <c r="P46" s="21">
        <f t="shared" si="1"/>
        <v>317619735.68828899</v>
      </c>
      <c r="Q46" s="21">
        <f>P46*Calculation_Assumptions!$B$14*J46*K46</f>
        <v>0</v>
      </c>
      <c r="R46" s="21">
        <f t="shared" si="2"/>
        <v>1270478.975617548</v>
      </c>
      <c r="S46" s="21">
        <f t="shared" si="3"/>
        <v>1270478.975617548</v>
      </c>
      <c r="T46" s="32">
        <f>1/(1+Calculation_Assumptions!$B$8)^(B46-Calculation_Assumptions!$B$2)</f>
        <v>0.5873946076162827</v>
      </c>
      <c r="U46" s="21">
        <f t="shared" si="4"/>
        <v>0</v>
      </c>
      <c r="V46" s="21">
        <f t="shared" si="5"/>
        <v>746272.49936760636</v>
      </c>
      <c r="W46" s="21">
        <f t="shared" si="6"/>
        <v>746272.49936760636</v>
      </c>
      <c r="X46">
        <v>0</v>
      </c>
      <c r="Y46" s="18">
        <v>2017</v>
      </c>
      <c r="Z46" t="s">
        <v>264</v>
      </c>
      <c r="AA46" s="21">
        <f t="shared" si="7"/>
        <v>1</v>
      </c>
    </row>
    <row r="47" spans="1:27">
      <c r="A47" t="s">
        <v>185</v>
      </c>
      <c r="B47" s="18">
        <v>2044</v>
      </c>
      <c r="C47" t="s">
        <v>185</v>
      </c>
      <c r="D47" s="20" t="s">
        <v>341</v>
      </c>
      <c r="E47" s="20" t="s">
        <v>342</v>
      </c>
      <c r="F47" s="20" t="s">
        <v>188</v>
      </c>
      <c r="G47" s="20" t="s">
        <v>336</v>
      </c>
      <c r="H47" s="20" t="s">
        <v>338</v>
      </c>
      <c r="I47" s="29">
        <v>1</v>
      </c>
      <c r="J47" s="30">
        <v>1</v>
      </c>
      <c r="K47" s="31">
        <v>4.0000000000000001E-3</v>
      </c>
      <c r="L47" s="9">
        <v>318697144.78903902</v>
      </c>
      <c r="M47" s="9">
        <v>318697135.86365199</v>
      </c>
      <c r="N47" s="32">
        <f>MIN(MAX((B47-Calculation_Assumptions!$B$5+1)/Calculation_Assumptions!$B$7,0),1)</f>
        <v>1</v>
      </c>
      <c r="O47" s="21">
        <f t="shared" si="0"/>
        <v>318697144.78903902</v>
      </c>
      <c r="P47" s="21">
        <f t="shared" si="1"/>
        <v>318697135.86365199</v>
      </c>
      <c r="Q47" s="21">
        <f>P47*Calculation_Assumptions!$B$14*J47*K47</f>
        <v>0</v>
      </c>
      <c r="R47" s="21">
        <f t="shared" si="2"/>
        <v>1274788.5791561562</v>
      </c>
      <c r="S47" s="21">
        <f t="shared" si="3"/>
        <v>1274788.5791561562</v>
      </c>
      <c r="T47" s="32">
        <f>1/(1+Calculation_Assumptions!$B$8)^(B47-Calculation_Assumptions!$B$2)</f>
        <v>0.57028602681192497</v>
      </c>
      <c r="U47" s="21">
        <f t="shared" si="4"/>
        <v>0</v>
      </c>
      <c r="V47" s="21">
        <f t="shared" si="5"/>
        <v>726994.11383218342</v>
      </c>
      <c r="W47" s="21">
        <f t="shared" si="6"/>
        <v>726994.11383218342</v>
      </c>
      <c r="X47">
        <v>0</v>
      </c>
      <c r="Y47" s="18">
        <v>2017</v>
      </c>
      <c r="Z47" t="s">
        <v>264</v>
      </c>
      <c r="AA47" s="21">
        <f t="shared" si="7"/>
        <v>1</v>
      </c>
    </row>
    <row r="48" spans="1:27">
      <c r="A48" t="s">
        <v>185</v>
      </c>
      <c r="B48" s="18">
        <v>2045</v>
      </c>
      <c r="C48" t="s">
        <v>185</v>
      </c>
      <c r="D48" s="20" t="s">
        <v>341</v>
      </c>
      <c r="E48" s="20" t="s">
        <v>342</v>
      </c>
      <c r="F48" s="20" t="s">
        <v>188</v>
      </c>
      <c r="G48" s="20" t="s">
        <v>336</v>
      </c>
      <c r="H48" s="20" t="s">
        <v>338</v>
      </c>
      <c r="I48" s="29">
        <v>1</v>
      </c>
      <c r="J48" s="30">
        <v>1</v>
      </c>
      <c r="K48" s="31">
        <v>4.0000000000000001E-3</v>
      </c>
      <c r="L48" s="9">
        <v>319717850.48262602</v>
      </c>
      <c r="M48" s="9">
        <v>319717840.85179001</v>
      </c>
      <c r="N48" s="32">
        <f>MIN(MAX((B48-Calculation_Assumptions!$B$5+1)/Calculation_Assumptions!$B$7,0),1)</f>
        <v>1</v>
      </c>
      <c r="O48" s="21">
        <f t="shared" si="0"/>
        <v>319717850.48262602</v>
      </c>
      <c r="P48" s="21">
        <f t="shared" si="1"/>
        <v>319717840.85179001</v>
      </c>
      <c r="Q48" s="21">
        <f>P48*Calculation_Assumptions!$B$14*J48*K48</f>
        <v>0</v>
      </c>
      <c r="R48" s="21">
        <f t="shared" si="2"/>
        <v>1278871.401930504</v>
      </c>
      <c r="S48" s="21">
        <f t="shared" si="3"/>
        <v>1278871.401930504</v>
      </c>
      <c r="T48" s="32">
        <f>1/(1+Calculation_Assumptions!$B$8)^(B48-Calculation_Assumptions!$B$2)</f>
        <v>0.55367575418633497</v>
      </c>
      <c r="U48" s="21">
        <f t="shared" si="4"/>
        <v>0</v>
      </c>
      <c r="V48" s="21">
        <f t="shared" si="5"/>
        <v>708080.08797120734</v>
      </c>
      <c r="W48" s="21">
        <f t="shared" si="6"/>
        <v>708080.08797120734</v>
      </c>
      <c r="X48">
        <v>0</v>
      </c>
      <c r="Y48" s="18">
        <v>2017</v>
      </c>
      <c r="Z48" t="s">
        <v>264</v>
      </c>
      <c r="AA48" s="21">
        <f t="shared" si="7"/>
        <v>1</v>
      </c>
    </row>
    <row r="49" spans="1:27">
      <c r="A49" t="s">
        <v>185</v>
      </c>
      <c r="B49" s="18">
        <v>2046</v>
      </c>
      <c r="C49" t="s">
        <v>185</v>
      </c>
      <c r="D49" s="20" t="s">
        <v>341</v>
      </c>
      <c r="E49" s="20" t="s">
        <v>342</v>
      </c>
      <c r="F49" s="20" t="s">
        <v>188</v>
      </c>
      <c r="G49" s="20" t="s">
        <v>336</v>
      </c>
      <c r="H49" s="20" t="s">
        <v>338</v>
      </c>
      <c r="I49" s="29">
        <v>1</v>
      </c>
      <c r="J49" s="30">
        <v>1</v>
      </c>
      <c r="K49" s="31">
        <v>4.0000000000000001E-3</v>
      </c>
      <c r="L49" s="9">
        <v>320683890.13722402</v>
      </c>
      <c r="M49" s="9">
        <v>320683879.80627602</v>
      </c>
      <c r="N49" s="32">
        <f>MIN(MAX((B49-Calculation_Assumptions!$B$5+1)/Calculation_Assumptions!$B$7,0),1)</f>
        <v>1</v>
      </c>
      <c r="O49" s="21">
        <f t="shared" si="0"/>
        <v>320683890.13722402</v>
      </c>
      <c r="P49" s="21">
        <f t="shared" si="1"/>
        <v>320683879.80627602</v>
      </c>
      <c r="Q49" s="21">
        <f>P49*Calculation_Assumptions!$B$14*J49*K49</f>
        <v>0</v>
      </c>
      <c r="R49" s="21">
        <f t="shared" si="2"/>
        <v>1282735.5605488962</v>
      </c>
      <c r="S49" s="21">
        <f t="shared" si="3"/>
        <v>1282735.5605488962</v>
      </c>
      <c r="T49" s="32">
        <f>1/(1+Calculation_Assumptions!$B$8)^(B49-Calculation_Assumptions!$B$2)</f>
        <v>0.5375492759090631</v>
      </c>
      <c r="U49" s="21">
        <f t="shared" si="4"/>
        <v>0</v>
      </c>
      <c r="V49" s="21">
        <f t="shared" si="5"/>
        <v>689533.57175586536</v>
      </c>
      <c r="W49" s="21">
        <f t="shared" si="6"/>
        <v>689533.57175586536</v>
      </c>
      <c r="X49">
        <v>0</v>
      </c>
      <c r="Y49" s="18">
        <v>2017</v>
      </c>
      <c r="Z49" t="s">
        <v>264</v>
      </c>
      <c r="AA49" s="21">
        <f t="shared" si="7"/>
        <v>1</v>
      </c>
    </row>
    <row r="50" spans="1:27">
      <c r="A50" t="s">
        <v>185</v>
      </c>
      <c r="B50" s="18">
        <v>2047</v>
      </c>
      <c r="C50" t="s">
        <v>185</v>
      </c>
      <c r="D50" s="20" t="s">
        <v>341</v>
      </c>
      <c r="E50" s="20" t="s">
        <v>342</v>
      </c>
      <c r="F50" s="20" t="s">
        <v>188</v>
      </c>
      <c r="G50" s="20" t="s">
        <v>336</v>
      </c>
      <c r="H50" s="20" t="s">
        <v>338</v>
      </c>
      <c r="I50" s="29">
        <v>1</v>
      </c>
      <c r="J50" s="30">
        <v>1</v>
      </c>
      <c r="K50" s="31">
        <v>4.0000000000000001E-3</v>
      </c>
      <c r="L50" s="9">
        <v>321595552.41269702</v>
      </c>
      <c r="M50" s="9">
        <v>321595541.38952601</v>
      </c>
      <c r="N50" s="32">
        <f>MIN(MAX((B50-Calculation_Assumptions!$B$5+1)/Calculation_Assumptions!$B$7,0),1)</f>
        <v>1</v>
      </c>
      <c r="O50" s="21">
        <f t="shared" si="0"/>
        <v>321595552.41269702</v>
      </c>
      <c r="P50" s="21">
        <f t="shared" si="1"/>
        <v>321595541.38952601</v>
      </c>
      <c r="Q50" s="21">
        <f>P50*Calculation_Assumptions!$B$14*J50*K50</f>
        <v>0</v>
      </c>
      <c r="R50" s="21">
        <f t="shared" si="2"/>
        <v>1286382.209650788</v>
      </c>
      <c r="S50" s="21">
        <f t="shared" si="3"/>
        <v>1286382.209650788</v>
      </c>
      <c r="T50" s="32">
        <f>1/(1+Calculation_Assumptions!$B$8)^(B50-Calculation_Assumptions!$B$2)</f>
        <v>0.52189250088258554</v>
      </c>
      <c r="U50" s="21">
        <f t="shared" si="4"/>
        <v>0</v>
      </c>
      <c r="V50" s="21">
        <f t="shared" si="5"/>
        <v>671353.22848551616</v>
      </c>
      <c r="W50" s="21">
        <f t="shared" si="6"/>
        <v>671353.22848551616</v>
      </c>
      <c r="X50">
        <v>0</v>
      </c>
      <c r="Y50" s="18">
        <v>2017</v>
      </c>
      <c r="Z50" t="s">
        <v>264</v>
      </c>
      <c r="AA50" s="21">
        <f t="shared" si="7"/>
        <v>1</v>
      </c>
    </row>
    <row r="51" spans="1:27">
      <c r="A51" t="s">
        <v>185</v>
      </c>
      <c r="B51" s="18">
        <v>2048</v>
      </c>
      <c r="C51" t="s">
        <v>185</v>
      </c>
      <c r="D51" s="20" t="s">
        <v>341</v>
      </c>
      <c r="E51" s="20" t="s">
        <v>342</v>
      </c>
      <c r="F51" s="20" t="s">
        <v>188</v>
      </c>
      <c r="G51" s="20" t="s">
        <v>336</v>
      </c>
      <c r="H51" s="20" t="s">
        <v>338</v>
      </c>
      <c r="I51" s="29">
        <v>1</v>
      </c>
      <c r="J51" s="30">
        <v>1</v>
      </c>
      <c r="K51" s="31">
        <v>4.0000000000000001E-3</v>
      </c>
      <c r="L51" s="9">
        <v>322453634.37464398</v>
      </c>
      <c r="M51" s="9">
        <v>322453622.66946399</v>
      </c>
      <c r="N51" s="32">
        <f>MIN(MAX((B51-Calculation_Assumptions!$B$5+1)/Calculation_Assumptions!$B$7,0),1)</f>
        <v>1</v>
      </c>
      <c r="O51" s="21">
        <f t="shared" si="0"/>
        <v>322453634.37464398</v>
      </c>
      <c r="P51" s="21">
        <f t="shared" si="1"/>
        <v>322453622.66946399</v>
      </c>
      <c r="Q51" s="21">
        <f>P51*Calculation_Assumptions!$B$14*J51*K51</f>
        <v>0</v>
      </c>
      <c r="R51" s="21">
        <f t="shared" si="2"/>
        <v>1289814.5374985759</v>
      </c>
      <c r="S51" s="21">
        <f t="shared" si="3"/>
        <v>1289814.5374985759</v>
      </c>
      <c r="T51" s="32">
        <f>1/(1+Calculation_Assumptions!$B$8)^(B51-Calculation_Assumptions!$B$2)</f>
        <v>0.50669174842969467</v>
      </c>
      <c r="U51" s="21">
        <f t="shared" si="4"/>
        <v>0</v>
      </c>
      <c r="V51" s="21">
        <f t="shared" si="5"/>
        <v>653538.38315519143</v>
      </c>
      <c r="W51" s="21">
        <f t="shared" si="6"/>
        <v>653538.38315519143</v>
      </c>
      <c r="X51">
        <v>0</v>
      </c>
      <c r="Y51" s="18">
        <v>2017</v>
      </c>
      <c r="Z51" t="s">
        <v>264</v>
      </c>
      <c r="AA51" s="21">
        <f t="shared" si="7"/>
        <v>1</v>
      </c>
    </row>
    <row r="52" spans="1:27">
      <c r="A52" t="s">
        <v>185</v>
      </c>
      <c r="B52" s="18">
        <v>2049</v>
      </c>
      <c r="C52" t="s">
        <v>185</v>
      </c>
      <c r="D52" s="20" t="s">
        <v>341</v>
      </c>
      <c r="E52" s="20" t="s">
        <v>342</v>
      </c>
      <c r="F52" s="20" t="s">
        <v>188</v>
      </c>
      <c r="G52" s="20" t="s">
        <v>336</v>
      </c>
      <c r="H52" s="20" t="s">
        <v>338</v>
      </c>
      <c r="I52" s="29">
        <v>1</v>
      </c>
      <c r="J52" s="30">
        <v>1</v>
      </c>
      <c r="K52" s="31">
        <v>4.0000000000000001E-3</v>
      </c>
      <c r="L52" s="9">
        <v>323070821.46135098</v>
      </c>
      <c r="M52" s="9">
        <v>323259246.71671897</v>
      </c>
      <c r="N52" s="32">
        <f>MIN(MAX((B52-Calculation_Assumptions!$B$5+1)/Calculation_Assumptions!$B$7,0),1)</f>
        <v>1</v>
      </c>
      <c r="O52" s="21">
        <f t="shared" si="0"/>
        <v>323070821.46135098</v>
      </c>
      <c r="P52" s="21">
        <f t="shared" si="1"/>
        <v>323259246.71671897</v>
      </c>
      <c r="Q52" s="21">
        <f>P52*Calculation_Assumptions!$B$14*J52*K52</f>
        <v>0</v>
      </c>
      <c r="R52" s="21">
        <f t="shared" si="2"/>
        <v>1292283.285845404</v>
      </c>
      <c r="S52" s="21">
        <f t="shared" si="3"/>
        <v>1292283.285845404</v>
      </c>
      <c r="T52" s="32">
        <f>1/(1+Calculation_Assumptions!$B$8)^(B52-Calculation_Assumptions!$B$2)</f>
        <v>0.49193373633950943</v>
      </c>
      <c r="U52" s="21">
        <f t="shared" si="4"/>
        <v>0</v>
      </c>
      <c r="V52" s="21">
        <f t="shared" si="5"/>
        <v>635717.74521502783</v>
      </c>
      <c r="W52" s="21">
        <f t="shared" si="6"/>
        <v>635717.74521502783</v>
      </c>
      <c r="X52">
        <v>0</v>
      </c>
      <c r="Y52" s="18">
        <v>2017</v>
      </c>
      <c r="Z52" t="s">
        <v>264</v>
      </c>
      <c r="AA52" s="21">
        <f t="shared" si="7"/>
        <v>1</v>
      </c>
    </row>
    <row r="53" spans="1:27">
      <c r="A53" t="s">
        <v>185</v>
      </c>
      <c r="B53" s="18">
        <v>2050</v>
      </c>
      <c r="C53" t="s">
        <v>185</v>
      </c>
      <c r="D53" s="20" t="s">
        <v>341</v>
      </c>
      <c r="E53" s="20" t="s">
        <v>342</v>
      </c>
      <c r="F53" s="20" t="s">
        <v>188</v>
      </c>
      <c r="G53" s="20" t="s">
        <v>336</v>
      </c>
      <c r="H53" s="20" t="s">
        <v>338</v>
      </c>
      <c r="I53" s="29">
        <v>1</v>
      </c>
      <c r="J53" s="30">
        <v>1</v>
      </c>
      <c r="K53" s="31">
        <v>4.0000000000000001E-3</v>
      </c>
      <c r="L53" s="9">
        <v>323814622.35660499</v>
      </c>
      <c r="M53" s="9">
        <v>324013738.18247902</v>
      </c>
      <c r="N53" s="32">
        <f>MIN(MAX((B53-Calculation_Assumptions!$B$5+1)/Calculation_Assumptions!$B$7,0),1)</f>
        <v>1</v>
      </c>
      <c r="O53" s="21">
        <f t="shared" si="0"/>
        <v>323814622.35660499</v>
      </c>
      <c r="P53" s="21">
        <f t="shared" si="1"/>
        <v>324013738.18247902</v>
      </c>
      <c r="Q53" s="21">
        <f>P53*Calculation_Assumptions!$B$14*J53*K53</f>
        <v>0</v>
      </c>
      <c r="R53" s="21">
        <f t="shared" si="2"/>
        <v>1295258.4894264201</v>
      </c>
      <c r="S53" s="21">
        <f t="shared" si="3"/>
        <v>1295258.4894264201</v>
      </c>
      <c r="T53" s="32">
        <f>1/(1+Calculation_Assumptions!$B$8)^(B53-Calculation_Assumptions!$B$2)</f>
        <v>0.47760556926165965</v>
      </c>
      <c r="U53" s="21">
        <f t="shared" si="4"/>
        <v>0</v>
      </c>
      <c r="V53" s="21">
        <f t="shared" si="5"/>
        <v>618622.66818350274</v>
      </c>
      <c r="W53" s="21">
        <f t="shared" si="6"/>
        <v>618622.66818350274</v>
      </c>
      <c r="X53">
        <v>0</v>
      </c>
      <c r="Y53" s="18">
        <v>2017</v>
      </c>
      <c r="Z53" t="s">
        <v>264</v>
      </c>
      <c r="AA53" s="21">
        <f t="shared" si="7"/>
        <v>1</v>
      </c>
    </row>
    <row r="54" spans="1:27">
      <c r="A54" t="s">
        <v>193</v>
      </c>
      <c r="B54" s="18">
        <v>2025</v>
      </c>
      <c r="C54" t="s">
        <v>193</v>
      </c>
      <c r="D54" s="20" t="s">
        <v>343</v>
      </c>
      <c r="E54" s="20" t="s">
        <v>344</v>
      </c>
      <c r="F54" s="20" t="s">
        <v>197</v>
      </c>
      <c r="G54" s="20" t="s">
        <v>336</v>
      </c>
      <c r="H54" s="20" t="s">
        <v>338</v>
      </c>
      <c r="I54" s="29">
        <v>1</v>
      </c>
      <c r="J54" s="30">
        <v>1</v>
      </c>
      <c r="K54" s="31">
        <v>3.5099999999999999E-2</v>
      </c>
      <c r="L54" s="9">
        <v>288000821.106462</v>
      </c>
      <c r="M54" s="9">
        <v>288000821.106462</v>
      </c>
      <c r="N54" s="32">
        <f>MIN(MAX((B54-Calculation_Assumptions!$B$5+1)/Calculation_Assumptions!$B$7,0),1)</f>
        <v>0</v>
      </c>
      <c r="O54" s="21">
        <f t="shared" si="0"/>
        <v>288000821.106462</v>
      </c>
      <c r="P54" s="21">
        <f t="shared" si="1"/>
        <v>288000821.106462</v>
      </c>
      <c r="Q54" s="21">
        <f>P54*Calculation_Assumptions!$B$14*J54*K54</f>
        <v>0</v>
      </c>
      <c r="R54" s="21">
        <f t="shared" si="2"/>
        <v>0</v>
      </c>
      <c r="S54" s="21">
        <f t="shared" si="3"/>
        <v>0</v>
      </c>
      <c r="T54" s="32">
        <f>1/(1+Calculation_Assumptions!$B$8)^(B54-Calculation_Assumptions!$B$2)</f>
        <v>1</v>
      </c>
      <c r="U54" s="21">
        <f t="shared" si="4"/>
        <v>0</v>
      </c>
      <c r="V54" s="21">
        <f t="shared" si="5"/>
        <v>0</v>
      </c>
      <c r="W54" s="21">
        <f t="shared" si="6"/>
        <v>0</v>
      </c>
      <c r="X54">
        <v>0</v>
      </c>
      <c r="Y54" s="18">
        <v>2017</v>
      </c>
      <c r="Z54" t="s">
        <v>264</v>
      </c>
      <c r="AA54" s="21">
        <f t="shared" si="7"/>
        <v>1</v>
      </c>
    </row>
    <row r="55" spans="1:27">
      <c r="A55" t="s">
        <v>193</v>
      </c>
      <c r="B55" s="18">
        <v>2026</v>
      </c>
      <c r="C55" t="s">
        <v>193</v>
      </c>
      <c r="D55" s="20" t="s">
        <v>343</v>
      </c>
      <c r="E55" s="20" t="s">
        <v>344</v>
      </c>
      <c r="F55" s="20" t="s">
        <v>197</v>
      </c>
      <c r="G55" s="20" t="s">
        <v>336</v>
      </c>
      <c r="H55" s="20" t="s">
        <v>338</v>
      </c>
      <c r="I55" s="29">
        <v>1</v>
      </c>
      <c r="J55" s="30">
        <v>1</v>
      </c>
      <c r="K55" s="31">
        <v>3.5099999999999999E-2</v>
      </c>
      <c r="L55" s="9">
        <v>290123496.10321897</v>
      </c>
      <c r="M55" s="9">
        <v>290123496.10321897</v>
      </c>
      <c r="N55" s="32">
        <f>MIN(MAX((B55-Calculation_Assumptions!$B$5+1)/Calculation_Assumptions!$B$7,0),1)</f>
        <v>0.33333333333333331</v>
      </c>
      <c r="O55" s="21">
        <f t="shared" si="0"/>
        <v>290123496.10321897</v>
      </c>
      <c r="P55" s="21">
        <f t="shared" si="1"/>
        <v>290123496.10321897</v>
      </c>
      <c r="Q55" s="21">
        <f>P55*Calculation_Assumptions!$B$14*J55*K55</f>
        <v>0</v>
      </c>
      <c r="R55" s="21">
        <f t="shared" si="2"/>
        <v>3394444.9044076619</v>
      </c>
      <c r="S55" s="21">
        <f t="shared" si="3"/>
        <v>3394444.9044076619</v>
      </c>
      <c r="T55" s="32">
        <f>1/(1+Calculation_Assumptions!$B$8)^(B55-Calculation_Assumptions!$B$2)</f>
        <v>0.970873786407767</v>
      </c>
      <c r="U55" s="21">
        <f t="shared" si="4"/>
        <v>0</v>
      </c>
      <c r="V55" s="21">
        <f t="shared" si="5"/>
        <v>3295577.5770948175</v>
      </c>
      <c r="W55" s="21">
        <f t="shared" si="6"/>
        <v>3295577.5770948175</v>
      </c>
      <c r="X55">
        <v>0</v>
      </c>
      <c r="Y55" s="18">
        <v>2017</v>
      </c>
      <c r="Z55" t="s">
        <v>264</v>
      </c>
      <c r="AA55" s="21">
        <f t="shared" si="7"/>
        <v>1</v>
      </c>
    </row>
    <row r="56" spans="1:27">
      <c r="A56" t="s">
        <v>193</v>
      </c>
      <c r="B56" s="18">
        <v>2027</v>
      </c>
      <c r="C56" t="s">
        <v>193</v>
      </c>
      <c r="D56" s="20" t="s">
        <v>343</v>
      </c>
      <c r="E56" s="20" t="s">
        <v>344</v>
      </c>
      <c r="F56" s="20" t="s">
        <v>197</v>
      </c>
      <c r="G56" s="20" t="s">
        <v>336</v>
      </c>
      <c r="H56" s="20" t="s">
        <v>338</v>
      </c>
      <c r="I56" s="29">
        <v>1</v>
      </c>
      <c r="J56" s="30">
        <v>1</v>
      </c>
      <c r="K56" s="31">
        <v>3.5099999999999999E-2</v>
      </c>
      <c r="L56" s="9">
        <v>292252895.09695601</v>
      </c>
      <c r="M56" s="9">
        <v>292252895.09695601</v>
      </c>
      <c r="N56" s="32">
        <f>MIN(MAX((B56-Calculation_Assumptions!$B$5+1)/Calculation_Assumptions!$B$7,0),1)</f>
        <v>0.66666666666666663</v>
      </c>
      <c r="O56" s="21">
        <f t="shared" si="0"/>
        <v>292252895.09695601</v>
      </c>
      <c r="P56" s="21">
        <f t="shared" si="1"/>
        <v>292252895.09695601</v>
      </c>
      <c r="Q56" s="21">
        <f>P56*Calculation_Assumptions!$B$14*J56*K56</f>
        <v>0</v>
      </c>
      <c r="R56" s="21">
        <f t="shared" si="2"/>
        <v>6838717.7452687705</v>
      </c>
      <c r="S56" s="21">
        <f t="shared" si="3"/>
        <v>6838717.7452687705</v>
      </c>
      <c r="T56" s="32">
        <f>1/(1+Calculation_Assumptions!$B$8)^(B56-Calculation_Assumptions!$B$2)</f>
        <v>0.94259590913375435</v>
      </c>
      <c r="U56" s="21">
        <f t="shared" si="4"/>
        <v>0</v>
      </c>
      <c r="V56" s="21">
        <f t="shared" si="5"/>
        <v>6446147.3704107553</v>
      </c>
      <c r="W56" s="21">
        <f t="shared" si="6"/>
        <v>6446147.3704107553</v>
      </c>
      <c r="X56">
        <v>0</v>
      </c>
      <c r="Y56" s="18">
        <v>2017</v>
      </c>
      <c r="Z56" t="s">
        <v>264</v>
      </c>
      <c r="AA56" s="21">
        <f t="shared" si="7"/>
        <v>1</v>
      </c>
    </row>
    <row r="57" spans="1:27">
      <c r="A57" t="s">
        <v>193</v>
      </c>
      <c r="B57" s="18">
        <v>2028</v>
      </c>
      <c r="C57" t="s">
        <v>193</v>
      </c>
      <c r="D57" s="20" t="s">
        <v>343</v>
      </c>
      <c r="E57" s="20" t="s">
        <v>344</v>
      </c>
      <c r="F57" s="20" t="s">
        <v>197</v>
      </c>
      <c r="G57" s="20" t="s">
        <v>336</v>
      </c>
      <c r="H57" s="20" t="s">
        <v>338</v>
      </c>
      <c r="I57" s="29">
        <v>1</v>
      </c>
      <c r="J57" s="30">
        <v>1</v>
      </c>
      <c r="K57" s="31">
        <v>3.5099999999999999E-2</v>
      </c>
      <c r="L57" s="9">
        <v>294318667.80584699</v>
      </c>
      <c r="M57" s="9">
        <v>294314895.30546498</v>
      </c>
      <c r="N57" s="32">
        <f>MIN(MAX((B57-Calculation_Assumptions!$B$5+1)/Calculation_Assumptions!$B$7,0),1)</f>
        <v>1</v>
      </c>
      <c r="O57" s="21">
        <f t="shared" si="0"/>
        <v>294318667.80584699</v>
      </c>
      <c r="P57" s="21">
        <f t="shared" si="1"/>
        <v>294314895.30546498</v>
      </c>
      <c r="Q57" s="21">
        <f>P57*Calculation_Assumptions!$B$14*J57*K57</f>
        <v>0</v>
      </c>
      <c r="R57" s="21">
        <f t="shared" si="2"/>
        <v>10330585.239985229</v>
      </c>
      <c r="S57" s="21">
        <f t="shared" si="3"/>
        <v>10330585.239985229</v>
      </c>
      <c r="T57" s="32">
        <f>1/(1+Calculation_Assumptions!$B$8)^(B57-Calculation_Assumptions!$B$2)</f>
        <v>0.91514165935315961</v>
      </c>
      <c r="U57" s="21">
        <f t="shared" si="4"/>
        <v>0</v>
      </c>
      <c r="V57" s="21">
        <f t="shared" si="5"/>
        <v>9453948.9186093416</v>
      </c>
      <c r="W57" s="21">
        <f t="shared" si="6"/>
        <v>9453948.9186093416</v>
      </c>
      <c r="X57">
        <v>0</v>
      </c>
      <c r="Y57" s="18">
        <v>2017</v>
      </c>
      <c r="Z57" t="s">
        <v>264</v>
      </c>
      <c r="AA57" s="21">
        <f t="shared" si="7"/>
        <v>1</v>
      </c>
    </row>
    <row r="58" spans="1:27">
      <c r="A58" t="s">
        <v>193</v>
      </c>
      <c r="B58" s="18">
        <v>2029</v>
      </c>
      <c r="C58" t="s">
        <v>193</v>
      </c>
      <c r="D58" s="20" t="s">
        <v>343</v>
      </c>
      <c r="E58" s="20" t="s">
        <v>344</v>
      </c>
      <c r="F58" s="20" t="s">
        <v>197</v>
      </c>
      <c r="G58" s="20" t="s">
        <v>336</v>
      </c>
      <c r="H58" s="20" t="s">
        <v>338</v>
      </c>
      <c r="I58" s="29">
        <v>1</v>
      </c>
      <c r="J58" s="30">
        <v>1</v>
      </c>
      <c r="K58" s="31">
        <v>3.5099999999999999E-2</v>
      </c>
      <c r="L58" s="9">
        <v>296354690.69347799</v>
      </c>
      <c r="M58" s="9">
        <v>296341062.542853</v>
      </c>
      <c r="N58" s="32">
        <f>MIN(MAX((B58-Calculation_Assumptions!$B$5+1)/Calculation_Assumptions!$B$7,0),1)</f>
        <v>1</v>
      </c>
      <c r="O58" s="21">
        <f t="shared" si="0"/>
        <v>296354690.69347799</v>
      </c>
      <c r="P58" s="21">
        <f t="shared" si="1"/>
        <v>296341062.542853</v>
      </c>
      <c r="Q58" s="21">
        <f>P58*Calculation_Assumptions!$B$14*J58*K58</f>
        <v>0</v>
      </c>
      <c r="R58" s="21">
        <f t="shared" si="2"/>
        <v>10402049.643341077</v>
      </c>
      <c r="S58" s="21">
        <f t="shared" si="3"/>
        <v>10402049.643341077</v>
      </c>
      <c r="T58" s="32">
        <f>1/(1+Calculation_Assumptions!$B$8)^(B58-Calculation_Assumptions!$B$2)</f>
        <v>0.888487047915689</v>
      </c>
      <c r="U58" s="21">
        <f t="shared" si="4"/>
        <v>0</v>
      </c>
      <c r="V58" s="21">
        <f t="shared" si="5"/>
        <v>9242086.3798845597</v>
      </c>
      <c r="W58" s="21">
        <f t="shared" si="6"/>
        <v>9242086.3798845597</v>
      </c>
      <c r="X58">
        <v>0</v>
      </c>
      <c r="Y58" s="18">
        <v>2017</v>
      </c>
      <c r="Z58" t="s">
        <v>264</v>
      </c>
      <c r="AA58" s="21">
        <f t="shared" si="7"/>
        <v>1</v>
      </c>
    </row>
    <row r="59" spans="1:27">
      <c r="A59" t="s">
        <v>193</v>
      </c>
      <c r="B59" s="18">
        <v>2030</v>
      </c>
      <c r="C59" t="s">
        <v>193</v>
      </c>
      <c r="D59" s="20" t="s">
        <v>343</v>
      </c>
      <c r="E59" s="20" t="s">
        <v>344</v>
      </c>
      <c r="F59" s="20" t="s">
        <v>197</v>
      </c>
      <c r="G59" s="20" t="s">
        <v>336</v>
      </c>
      <c r="H59" s="20" t="s">
        <v>338</v>
      </c>
      <c r="I59" s="29">
        <v>1</v>
      </c>
      <c r="J59" s="30">
        <v>1</v>
      </c>
      <c r="K59" s="31">
        <v>3.5099999999999999E-2</v>
      </c>
      <c r="L59" s="9">
        <v>298311507.64012402</v>
      </c>
      <c r="M59" s="9">
        <v>298280286.05726302</v>
      </c>
      <c r="N59" s="32">
        <f>MIN(MAX((B59-Calculation_Assumptions!$B$5+1)/Calculation_Assumptions!$B$7,0),1)</f>
        <v>1</v>
      </c>
      <c r="O59" s="21">
        <f t="shared" si="0"/>
        <v>298311507.64012402</v>
      </c>
      <c r="P59" s="21">
        <f t="shared" si="1"/>
        <v>298280286.05726302</v>
      </c>
      <c r="Q59" s="21">
        <f>P59*Calculation_Assumptions!$B$14*J59*K59</f>
        <v>0</v>
      </c>
      <c r="R59" s="21">
        <f t="shared" si="2"/>
        <v>10470733.918168353</v>
      </c>
      <c r="S59" s="21">
        <f t="shared" si="3"/>
        <v>10470733.918168353</v>
      </c>
      <c r="T59" s="32">
        <f>1/(1+Calculation_Assumptions!$B$8)^(B59-Calculation_Assumptions!$B$2)</f>
        <v>0.86260878438416411</v>
      </c>
      <c r="U59" s="21">
        <f t="shared" si="4"/>
        <v>0</v>
      </c>
      <c r="V59" s="21">
        <f t="shared" si="5"/>
        <v>9032147.0567612387</v>
      </c>
      <c r="W59" s="21">
        <f t="shared" si="6"/>
        <v>9032147.0567612387</v>
      </c>
      <c r="X59">
        <v>0</v>
      </c>
      <c r="Y59" s="18">
        <v>2017</v>
      </c>
      <c r="Z59" t="s">
        <v>264</v>
      </c>
      <c r="AA59" s="21">
        <f t="shared" si="7"/>
        <v>1</v>
      </c>
    </row>
    <row r="60" spans="1:27">
      <c r="A60" t="s">
        <v>193</v>
      </c>
      <c r="B60" s="18">
        <v>2031</v>
      </c>
      <c r="C60" t="s">
        <v>193</v>
      </c>
      <c r="D60" s="20" t="s">
        <v>343</v>
      </c>
      <c r="E60" s="20" t="s">
        <v>344</v>
      </c>
      <c r="F60" s="20" t="s">
        <v>197</v>
      </c>
      <c r="G60" s="20" t="s">
        <v>336</v>
      </c>
      <c r="H60" s="20" t="s">
        <v>338</v>
      </c>
      <c r="I60" s="29">
        <v>1</v>
      </c>
      <c r="J60" s="30">
        <v>1</v>
      </c>
      <c r="K60" s="31">
        <v>3.5099999999999999E-2</v>
      </c>
      <c r="L60" s="9">
        <v>300210565.00852603</v>
      </c>
      <c r="M60" s="9">
        <v>300152603.25478202</v>
      </c>
      <c r="N60" s="32">
        <f>MIN(MAX((B60-Calculation_Assumptions!$B$5+1)/Calculation_Assumptions!$B$7,0),1)</f>
        <v>1</v>
      </c>
      <c r="O60" s="21">
        <f t="shared" si="0"/>
        <v>300210565.00852603</v>
      </c>
      <c r="P60" s="21">
        <f t="shared" si="1"/>
        <v>300152603.25478202</v>
      </c>
      <c r="Q60" s="21">
        <f>P60*Calculation_Assumptions!$B$14*J60*K60</f>
        <v>0</v>
      </c>
      <c r="R60" s="21">
        <f t="shared" si="2"/>
        <v>10537390.831799263</v>
      </c>
      <c r="S60" s="21">
        <f t="shared" si="3"/>
        <v>10537390.831799263</v>
      </c>
      <c r="T60" s="32">
        <f>1/(1+Calculation_Assumptions!$B$8)^(B60-Calculation_Assumptions!$B$2)</f>
        <v>0.83748425668365445</v>
      </c>
      <c r="U60" s="21">
        <f t="shared" si="4"/>
        <v>0</v>
      </c>
      <c r="V60" s="21">
        <f t="shared" si="5"/>
        <v>8824898.9281545617</v>
      </c>
      <c r="W60" s="21">
        <f t="shared" si="6"/>
        <v>8824898.9281545617</v>
      </c>
      <c r="X60">
        <v>0</v>
      </c>
      <c r="Y60" s="18">
        <v>2017</v>
      </c>
      <c r="Z60" t="s">
        <v>264</v>
      </c>
      <c r="AA60" s="21">
        <f t="shared" si="7"/>
        <v>1</v>
      </c>
    </row>
    <row r="61" spans="1:27">
      <c r="A61" t="s">
        <v>193</v>
      </c>
      <c r="B61" s="18">
        <v>2032</v>
      </c>
      <c r="C61" t="s">
        <v>193</v>
      </c>
      <c r="D61" s="20" t="s">
        <v>343</v>
      </c>
      <c r="E61" s="20" t="s">
        <v>344</v>
      </c>
      <c r="F61" s="20" t="s">
        <v>197</v>
      </c>
      <c r="G61" s="20" t="s">
        <v>336</v>
      </c>
      <c r="H61" s="20" t="s">
        <v>338</v>
      </c>
      <c r="I61" s="29">
        <v>1</v>
      </c>
      <c r="J61" s="30">
        <v>1</v>
      </c>
      <c r="K61" s="31">
        <v>3.5099999999999999E-2</v>
      </c>
      <c r="L61" s="9">
        <v>301980128.91927803</v>
      </c>
      <c r="M61" s="9">
        <v>301959399.63388801</v>
      </c>
      <c r="N61" s="32">
        <f>MIN(MAX((B61-Calculation_Assumptions!$B$5+1)/Calculation_Assumptions!$B$7,0),1)</f>
        <v>1</v>
      </c>
      <c r="O61" s="21">
        <f t="shared" si="0"/>
        <v>301980128.91927803</v>
      </c>
      <c r="P61" s="21">
        <f t="shared" si="1"/>
        <v>301959399.63388801</v>
      </c>
      <c r="Q61" s="21">
        <f>P61*Calculation_Assumptions!$B$14*J61*K61</f>
        <v>0</v>
      </c>
      <c r="R61" s="21">
        <f t="shared" si="2"/>
        <v>10599502.525066659</v>
      </c>
      <c r="S61" s="21">
        <f t="shared" si="3"/>
        <v>10599502.525066659</v>
      </c>
      <c r="T61" s="32">
        <f>1/(1+Calculation_Assumptions!$B$8)^(B61-Calculation_Assumptions!$B$2)</f>
        <v>0.81309151134335378</v>
      </c>
      <c r="U61" s="21">
        <f t="shared" si="4"/>
        <v>0</v>
      </c>
      <c r="V61" s="21">
        <f t="shared" si="5"/>
        <v>8618365.5275941435</v>
      </c>
      <c r="W61" s="21">
        <f t="shared" si="6"/>
        <v>8618365.5275941435</v>
      </c>
      <c r="X61">
        <v>0</v>
      </c>
      <c r="Y61" s="18">
        <v>2017</v>
      </c>
      <c r="Z61" t="s">
        <v>264</v>
      </c>
      <c r="AA61" s="21">
        <f t="shared" si="7"/>
        <v>1</v>
      </c>
    </row>
    <row r="62" spans="1:27">
      <c r="A62" t="s">
        <v>193</v>
      </c>
      <c r="B62" s="18">
        <v>2033</v>
      </c>
      <c r="C62" t="s">
        <v>193</v>
      </c>
      <c r="D62" s="20" t="s">
        <v>343</v>
      </c>
      <c r="E62" s="20" t="s">
        <v>344</v>
      </c>
      <c r="F62" s="20" t="s">
        <v>197</v>
      </c>
      <c r="G62" s="20" t="s">
        <v>336</v>
      </c>
      <c r="H62" s="20" t="s">
        <v>338</v>
      </c>
      <c r="I62" s="29">
        <v>1</v>
      </c>
      <c r="J62" s="30">
        <v>1</v>
      </c>
      <c r="K62" s="31">
        <v>3.5099999999999999E-2</v>
      </c>
      <c r="L62" s="9">
        <v>303756745.18604898</v>
      </c>
      <c r="M62" s="9">
        <v>303701035.20205098</v>
      </c>
      <c r="N62" s="32">
        <f>MIN(MAX((B62-Calculation_Assumptions!$B$5+1)/Calculation_Assumptions!$B$7,0),1)</f>
        <v>1</v>
      </c>
      <c r="O62" s="21">
        <f t="shared" si="0"/>
        <v>303756745.18604898</v>
      </c>
      <c r="P62" s="21">
        <f t="shared" si="1"/>
        <v>303701035.20205098</v>
      </c>
      <c r="Q62" s="21">
        <f>P62*Calculation_Assumptions!$B$14*J62*K62</f>
        <v>0</v>
      </c>
      <c r="R62" s="21">
        <f t="shared" si="2"/>
        <v>10661861.756030319</v>
      </c>
      <c r="S62" s="21">
        <f t="shared" si="3"/>
        <v>10661861.756030319</v>
      </c>
      <c r="T62" s="32">
        <f>1/(1+Calculation_Assumptions!$B$8)^(B62-Calculation_Assumptions!$B$2)</f>
        <v>0.78940923431393573</v>
      </c>
      <c r="U62" s="21">
        <f t="shared" si="4"/>
        <v>0</v>
      </c>
      <c r="V62" s="21">
        <f t="shared" si="5"/>
        <v>8416572.1251889281</v>
      </c>
      <c r="W62" s="21">
        <f t="shared" si="6"/>
        <v>8416572.1251889281</v>
      </c>
      <c r="X62">
        <v>0</v>
      </c>
      <c r="Y62" s="18">
        <v>2017</v>
      </c>
      <c r="Z62" t="s">
        <v>264</v>
      </c>
      <c r="AA62" s="21">
        <f t="shared" si="7"/>
        <v>1</v>
      </c>
    </row>
    <row r="63" spans="1:27">
      <c r="A63" t="s">
        <v>193</v>
      </c>
      <c r="B63" s="18">
        <v>2034</v>
      </c>
      <c r="C63" t="s">
        <v>193</v>
      </c>
      <c r="D63" s="20" t="s">
        <v>343</v>
      </c>
      <c r="E63" s="20" t="s">
        <v>344</v>
      </c>
      <c r="F63" s="20" t="s">
        <v>197</v>
      </c>
      <c r="G63" s="20" t="s">
        <v>336</v>
      </c>
      <c r="H63" s="20" t="s">
        <v>338</v>
      </c>
      <c r="I63" s="29">
        <v>1</v>
      </c>
      <c r="J63" s="30">
        <v>1</v>
      </c>
      <c r="K63" s="31">
        <v>3.5099999999999999E-2</v>
      </c>
      <c r="L63" s="9">
        <v>305473835.218247</v>
      </c>
      <c r="M63" s="9">
        <v>305377998.093319</v>
      </c>
      <c r="N63" s="32">
        <f>MIN(MAX((B63-Calculation_Assumptions!$B$5+1)/Calculation_Assumptions!$B$7,0),1)</f>
        <v>1</v>
      </c>
      <c r="O63" s="21">
        <f t="shared" si="0"/>
        <v>305473835.218247</v>
      </c>
      <c r="P63" s="21">
        <f t="shared" si="1"/>
        <v>305377998.093319</v>
      </c>
      <c r="Q63" s="21">
        <f>P63*Calculation_Assumptions!$B$14*J63*K63</f>
        <v>0</v>
      </c>
      <c r="R63" s="21">
        <f t="shared" si="2"/>
        <v>10722131.616160469</v>
      </c>
      <c r="S63" s="21">
        <f t="shared" si="3"/>
        <v>10722131.616160469</v>
      </c>
      <c r="T63" s="32">
        <f>1/(1+Calculation_Assumptions!$B$8)^(B63-Calculation_Assumptions!$B$2)</f>
        <v>0.76641673234362695</v>
      </c>
      <c r="U63" s="21">
        <f t="shared" si="4"/>
        <v>0</v>
      </c>
      <c r="V63" s="21">
        <f t="shared" si="5"/>
        <v>8217621.0770159988</v>
      </c>
      <c r="W63" s="21">
        <f t="shared" si="6"/>
        <v>8217621.0770159988</v>
      </c>
      <c r="X63">
        <v>0</v>
      </c>
      <c r="Y63" s="18">
        <v>2017</v>
      </c>
      <c r="Z63" t="s">
        <v>264</v>
      </c>
      <c r="AA63" s="21">
        <f t="shared" si="7"/>
        <v>1</v>
      </c>
    </row>
    <row r="64" spans="1:27">
      <c r="A64" t="s">
        <v>193</v>
      </c>
      <c r="B64" s="18">
        <v>2035</v>
      </c>
      <c r="C64" t="s">
        <v>193</v>
      </c>
      <c r="D64" s="20" t="s">
        <v>343</v>
      </c>
      <c r="E64" s="20" t="s">
        <v>344</v>
      </c>
      <c r="F64" s="20" t="s">
        <v>197</v>
      </c>
      <c r="G64" s="20" t="s">
        <v>336</v>
      </c>
      <c r="H64" s="20" t="s">
        <v>338</v>
      </c>
      <c r="I64" s="29">
        <v>1</v>
      </c>
      <c r="J64" s="30">
        <v>1</v>
      </c>
      <c r="K64" s="31">
        <v>3.5099999999999999E-2</v>
      </c>
      <c r="L64" s="9">
        <v>307129506.87993401</v>
      </c>
      <c r="M64" s="9">
        <v>306989258.29407001</v>
      </c>
      <c r="N64" s="32">
        <f>MIN(MAX((B64-Calculation_Assumptions!$B$5+1)/Calculation_Assumptions!$B$7,0),1)</f>
        <v>1</v>
      </c>
      <c r="O64" s="21">
        <f t="shared" si="0"/>
        <v>307129506.87993401</v>
      </c>
      <c r="P64" s="21">
        <f t="shared" si="1"/>
        <v>306989258.29407001</v>
      </c>
      <c r="Q64" s="21">
        <f>P64*Calculation_Assumptions!$B$14*J64*K64</f>
        <v>0</v>
      </c>
      <c r="R64" s="21">
        <f t="shared" si="2"/>
        <v>10780245.691485684</v>
      </c>
      <c r="S64" s="21">
        <f t="shared" si="3"/>
        <v>10780245.691485684</v>
      </c>
      <c r="T64" s="32">
        <f>1/(1+Calculation_Assumptions!$B$8)^(B64-Calculation_Assumptions!$B$2)</f>
        <v>0.74409391489672516</v>
      </c>
      <c r="U64" s="21">
        <f t="shared" si="4"/>
        <v>0</v>
      </c>
      <c r="V64" s="21">
        <f t="shared" si="5"/>
        <v>8021515.2201261371</v>
      </c>
      <c r="W64" s="21">
        <f t="shared" si="6"/>
        <v>8021515.2201261371</v>
      </c>
      <c r="X64">
        <v>0</v>
      </c>
      <c r="Y64" s="18">
        <v>2017</v>
      </c>
      <c r="Z64" t="s">
        <v>264</v>
      </c>
      <c r="AA64" s="21">
        <f t="shared" si="7"/>
        <v>1</v>
      </c>
    </row>
    <row r="65" spans="1:27">
      <c r="A65" t="s">
        <v>193</v>
      </c>
      <c r="B65" s="18">
        <v>2036</v>
      </c>
      <c r="C65" t="s">
        <v>193</v>
      </c>
      <c r="D65" s="20" t="s">
        <v>343</v>
      </c>
      <c r="E65" s="20" t="s">
        <v>344</v>
      </c>
      <c r="F65" s="20" t="s">
        <v>197</v>
      </c>
      <c r="G65" s="20" t="s">
        <v>336</v>
      </c>
      <c r="H65" s="20" t="s">
        <v>338</v>
      </c>
      <c r="I65" s="29">
        <v>1</v>
      </c>
      <c r="J65" s="30">
        <v>1</v>
      </c>
      <c r="K65" s="31">
        <v>3.5099999999999999E-2</v>
      </c>
      <c r="L65" s="9">
        <v>308725795.26754099</v>
      </c>
      <c r="M65" s="9">
        <v>308537399.67209399</v>
      </c>
      <c r="N65" s="32">
        <f>MIN(MAX((B65-Calculation_Assumptions!$B$5+1)/Calculation_Assumptions!$B$7,0),1)</f>
        <v>1</v>
      </c>
      <c r="O65" s="21">
        <f t="shared" si="0"/>
        <v>308725795.26754099</v>
      </c>
      <c r="P65" s="21">
        <f t="shared" si="1"/>
        <v>308537399.67209399</v>
      </c>
      <c r="Q65" s="21">
        <f>P65*Calculation_Assumptions!$B$14*J65*K65</f>
        <v>0</v>
      </c>
      <c r="R65" s="21">
        <f t="shared" si="2"/>
        <v>10836275.413890688</v>
      </c>
      <c r="S65" s="21">
        <f t="shared" si="3"/>
        <v>10836275.413890688</v>
      </c>
      <c r="T65" s="32">
        <f>1/(1+Calculation_Assumptions!$B$8)^(B65-Calculation_Assumptions!$B$2)</f>
        <v>0.72242127659876232</v>
      </c>
      <c r="U65" s="21">
        <f t="shared" si="4"/>
        <v>0</v>
      </c>
      <c r="V65" s="21">
        <f t="shared" si="5"/>
        <v>7828355.9180786917</v>
      </c>
      <c r="W65" s="21">
        <f t="shared" si="6"/>
        <v>7828355.9180786917</v>
      </c>
      <c r="X65">
        <v>0</v>
      </c>
      <c r="Y65" s="18">
        <v>2017</v>
      </c>
      <c r="Z65" t="s">
        <v>264</v>
      </c>
      <c r="AA65" s="21">
        <f t="shared" si="7"/>
        <v>1</v>
      </c>
    </row>
    <row r="66" spans="1:27">
      <c r="A66" t="s">
        <v>193</v>
      </c>
      <c r="B66" s="18">
        <v>2037</v>
      </c>
      <c r="C66" t="s">
        <v>193</v>
      </c>
      <c r="D66" s="20" t="s">
        <v>343</v>
      </c>
      <c r="E66" s="20" t="s">
        <v>344</v>
      </c>
      <c r="F66" s="20" t="s">
        <v>197</v>
      </c>
      <c r="G66" s="20" t="s">
        <v>336</v>
      </c>
      <c r="H66" s="20" t="s">
        <v>338</v>
      </c>
      <c r="I66" s="29">
        <v>1</v>
      </c>
      <c r="J66" s="30">
        <v>1</v>
      </c>
      <c r="K66" s="31">
        <v>3.5099999999999999E-2</v>
      </c>
      <c r="L66" s="9">
        <v>310262848.45441502</v>
      </c>
      <c r="M66" s="9">
        <v>310023120.39347202</v>
      </c>
      <c r="N66" s="32">
        <f>MIN(MAX((B66-Calculation_Assumptions!$B$5+1)/Calculation_Assumptions!$B$7,0),1)</f>
        <v>1</v>
      </c>
      <c r="O66" s="21">
        <f t="shared" ref="O66:O129" si="8">L66*I66</f>
        <v>310262848.45441502</v>
      </c>
      <c r="P66" s="21">
        <f t="shared" ref="P66:P129" si="9">M66*I66</f>
        <v>310023120.39347202</v>
      </c>
      <c r="Q66" s="21">
        <f>P66*Calculation_Assumptions!$B$14*J66*K66</f>
        <v>0</v>
      </c>
      <c r="R66" s="21">
        <f t="shared" ref="R66:R129" si="10">O66*N66*J66*K66</f>
        <v>10890225.980749967</v>
      </c>
      <c r="S66" s="21">
        <f t="shared" ref="S66:S129" si="11">R66-Q66</f>
        <v>10890225.980749967</v>
      </c>
      <c r="T66" s="32">
        <f>1/(1+Calculation_Assumptions!$B$8)^(B66-Calculation_Assumptions!$B$2)</f>
        <v>0.70137988019297326</v>
      </c>
      <c r="U66" s="21">
        <f t="shared" ref="U66:U129" si="12">Q66*T66</f>
        <v>0</v>
      </c>
      <c r="V66" s="21">
        <f t="shared" ref="V66:V129" si="13">R66*T66</f>
        <v>7638185.3936528163</v>
      </c>
      <c r="W66" s="21">
        <f t="shared" ref="W66:W129" si="14">S66*T66</f>
        <v>7638185.3936528163</v>
      </c>
      <c r="X66">
        <v>0</v>
      </c>
      <c r="Y66" s="18">
        <v>2017</v>
      </c>
      <c r="Z66" t="s">
        <v>264</v>
      </c>
      <c r="AA66" s="21">
        <f t="shared" ref="AA66:AA129" si="15">IF(G66="shared-count-once",COUNTIFS($A$2:$A$313,A66,$B$2:$B$313,B66,$D$2:$D$313,D66),1)</f>
        <v>1</v>
      </c>
    </row>
    <row r="67" spans="1:27">
      <c r="A67" t="s">
        <v>193</v>
      </c>
      <c r="B67" s="18">
        <v>2038</v>
      </c>
      <c r="C67" t="s">
        <v>193</v>
      </c>
      <c r="D67" s="20" t="s">
        <v>343</v>
      </c>
      <c r="E67" s="20" t="s">
        <v>344</v>
      </c>
      <c r="F67" s="20" t="s">
        <v>197</v>
      </c>
      <c r="G67" s="20" t="s">
        <v>336</v>
      </c>
      <c r="H67" s="20" t="s">
        <v>338</v>
      </c>
      <c r="I67" s="29">
        <v>1</v>
      </c>
      <c r="J67" s="30">
        <v>1</v>
      </c>
      <c r="K67" s="31">
        <v>3.5099999999999999E-2</v>
      </c>
      <c r="L67" s="9">
        <v>311740225.32238001</v>
      </c>
      <c r="M67" s="9">
        <v>311445837.13462502</v>
      </c>
      <c r="N67" s="32">
        <f>MIN(MAX((B67-Calculation_Assumptions!$B$5+1)/Calculation_Assumptions!$B$7,0),1)</f>
        <v>1</v>
      </c>
      <c r="O67" s="21">
        <f t="shared" si="8"/>
        <v>311740225.32238001</v>
      </c>
      <c r="P67" s="21">
        <f t="shared" si="9"/>
        <v>311445837.13462502</v>
      </c>
      <c r="Q67" s="21">
        <f>P67*Calculation_Assumptions!$B$14*J67*K67</f>
        <v>0</v>
      </c>
      <c r="R67" s="21">
        <f t="shared" si="10"/>
        <v>10942081.908815539</v>
      </c>
      <c r="S67" s="21">
        <f t="shared" si="11"/>
        <v>10942081.908815539</v>
      </c>
      <c r="T67" s="32">
        <f>1/(1+Calculation_Assumptions!$B$8)^(B67-Calculation_Assumptions!$B$2)</f>
        <v>0.68095133999317792</v>
      </c>
      <c r="U67" s="21">
        <f t="shared" si="12"/>
        <v>0</v>
      </c>
      <c r="V67" s="21">
        <f t="shared" si="13"/>
        <v>7451025.3381230505</v>
      </c>
      <c r="W67" s="21">
        <f t="shared" si="14"/>
        <v>7451025.3381230505</v>
      </c>
      <c r="X67">
        <v>0</v>
      </c>
      <c r="Y67" s="18">
        <v>2017</v>
      </c>
      <c r="Z67" t="s">
        <v>264</v>
      </c>
      <c r="AA67" s="21">
        <f t="shared" si="15"/>
        <v>1</v>
      </c>
    </row>
    <row r="68" spans="1:27">
      <c r="A68" t="s">
        <v>193</v>
      </c>
      <c r="B68" s="18">
        <v>2039</v>
      </c>
      <c r="C68" t="s">
        <v>193</v>
      </c>
      <c r="D68" s="20" t="s">
        <v>343</v>
      </c>
      <c r="E68" s="20" t="s">
        <v>344</v>
      </c>
      <c r="F68" s="20" t="s">
        <v>197</v>
      </c>
      <c r="G68" s="20" t="s">
        <v>336</v>
      </c>
      <c r="H68" s="20" t="s">
        <v>338</v>
      </c>
      <c r="I68" s="29">
        <v>1</v>
      </c>
      <c r="J68" s="30">
        <v>1</v>
      </c>
      <c r="K68" s="31">
        <v>3.5099999999999999E-2</v>
      </c>
      <c r="L68" s="9">
        <v>313158738.45681798</v>
      </c>
      <c r="M68" s="9">
        <v>312806989.71568501</v>
      </c>
      <c r="N68" s="32">
        <f>MIN(MAX((B68-Calculation_Assumptions!$B$5+1)/Calculation_Assumptions!$B$7,0),1)</f>
        <v>1</v>
      </c>
      <c r="O68" s="21">
        <f t="shared" si="8"/>
        <v>313158738.45681798</v>
      </c>
      <c r="P68" s="21">
        <f t="shared" si="9"/>
        <v>312806989.71568501</v>
      </c>
      <c r="Q68" s="21">
        <f>P68*Calculation_Assumptions!$B$14*J68*K68</f>
        <v>0</v>
      </c>
      <c r="R68" s="21">
        <f t="shared" si="10"/>
        <v>10991871.719834311</v>
      </c>
      <c r="S68" s="21">
        <f t="shared" si="11"/>
        <v>10991871.719834311</v>
      </c>
      <c r="T68" s="32">
        <f>1/(1+Calculation_Assumptions!$B$8)^(B68-Calculation_Assumptions!$B$2)</f>
        <v>0.66111780581861923</v>
      </c>
      <c r="U68" s="21">
        <f t="shared" si="12"/>
        <v>0</v>
      </c>
      <c r="V68" s="21">
        <f t="shared" si="13"/>
        <v>7266922.1132565923</v>
      </c>
      <c r="W68" s="21">
        <f t="shared" si="14"/>
        <v>7266922.1132565923</v>
      </c>
      <c r="X68">
        <v>0</v>
      </c>
      <c r="Y68" s="18">
        <v>2017</v>
      </c>
      <c r="Z68" t="s">
        <v>264</v>
      </c>
      <c r="AA68" s="21">
        <f t="shared" si="15"/>
        <v>1</v>
      </c>
    </row>
    <row r="69" spans="1:27">
      <c r="A69" t="s">
        <v>193</v>
      </c>
      <c r="B69" s="18">
        <v>2040</v>
      </c>
      <c r="C69" t="s">
        <v>193</v>
      </c>
      <c r="D69" s="20" t="s">
        <v>343</v>
      </c>
      <c r="E69" s="20" t="s">
        <v>344</v>
      </c>
      <c r="F69" s="20" t="s">
        <v>197</v>
      </c>
      <c r="G69" s="20" t="s">
        <v>336</v>
      </c>
      <c r="H69" s="20" t="s">
        <v>338</v>
      </c>
      <c r="I69" s="29">
        <v>1</v>
      </c>
      <c r="J69" s="30">
        <v>1</v>
      </c>
      <c r="K69" s="31">
        <v>3.5099999999999999E-2</v>
      </c>
      <c r="L69" s="9">
        <v>314520320.41344601</v>
      </c>
      <c r="M69" s="9">
        <v>314109251.58264899</v>
      </c>
      <c r="N69" s="32">
        <f>MIN(MAX((B69-Calculation_Assumptions!$B$5+1)/Calculation_Assumptions!$B$7,0),1)</f>
        <v>1</v>
      </c>
      <c r="O69" s="21">
        <f t="shared" si="8"/>
        <v>314520320.41344601</v>
      </c>
      <c r="P69" s="21">
        <f t="shared" si="9"/>
        <v>314109251.58264899</v>
      </c>
      <c r="Q69" s="21">
        <f>P69*Calculation_Assumptions!$B$14*J69*K69</f>
        <v>0</v>
      </c>
      <c r="R69" s="21">
        <f t="shared" si="10"/>
        <v>11039663.246511955</v>
      </c>
      <c r="S69" s="21">
        <f t="shared" si="11"/>
        <v>11039663.246511955</v>
      </c>
      <c r="T69" s="32">
        <f>1/(1+Calculation_Assumptions!$B$8)^(B69-Calculation_Assumptions!$B$2)</f>
        <v>0.64186194739671765</v>
      </c>
      <c r="U69" s="21">
        <f t="shared" si="12"/>
        <v>0</v>
      </c>
      <c r="V69" s="21">
        <f t="shared" si="13"/>
        <v>7085939.7500101337</v>
      </c>
      <c r="W69" s="21">
        <f t="shared" si="14"/>
        <v>7085939.7500101337</v>
      </c>
      <c r="X69">
        <v>0</v>
      </c>
      <c r="Y69" s="18">
        <v>2017</v>
      </c>
      <c r="Z69" t="s">
        <v>264</v>
      </c>
      <c r="AA69" s="21">
        <f t="shared" si="15"/>
        <v>1</v>
      </c>
    </row>
    <row r="70" spans="1:27">
      <c r="A70" t="s">
        <v>193</v>
      </c>
      <c r="B70" s="18">
        <v>2041</v>
      </c>
      <c r="C70" t="s">
        <v>193</v>
      </c>
      <c r="D70" s="20" t="s">
        <v>343</v>
      </c>
      <c r="E70" s="20" t="s">
        <v>344</v>
      </c>
      <c r="F70" s="20" t="s">
        <v>197</v>
      </c>
      <c r="G70" s="20" t="s">
        <v>336</v>
      </c>
      <c r="H70" s="20" t="s">
        <v>338</v>
      </c>
      <c r="I70" s="29">
        <v>1</v>
      </c>
      <c r="J70" s="30">
        <v>1</v>
      </c>
      <c r="K70" s="31">
        <v>3.5099999999999999E-2</v>
      </c>
      <c r="L70" s="9">
        <v>315823664.16286403</v>
      </c>
      <c r="M70" s="9">
        <v>315352079.81242299</v>
      </c>
      <c r="N70" s="32">
        <f>MIN(MAX((B70-Calculation_Assumptions!$B$5+1)/Calculation_Assumptions!$B$7,0),1)</f>
        <v>1</v>
      </c>
      <c r="O70" s="21">
        <f t="shared" si="8"/>
        <v>315823664.16286403</v>
      </c>
      <c r="P70" s="21">
        <f t="shared" si="9"/>
        <v>315352079.81242299</v>
      </c>
      <c r="Q70" s="21">
        <f>P70*Calculation_Assumptions!$B$14*J70*K70</f>
        <v>0</v>
      </c>
      <c r="R70" s="21">
        <f t="shared" si="10"/>
        <v>11085410.612116527</v>
      </c>
      <c r="S70" s="21">
        <f t="shared" si="11"/>
        <v>11085410.612116527</v>
      </c>
      <c r="T70" s="32">
        <f>1/(1+Calculation_Assumptions!$B$8)^(B70-Calculation_Assumptions!$B$2)</f>
        <v>0.62316693922011435</v>
      </c>
      <c r="U70" s="21">
        <f t="shared" si="12"/>
        <v>0</v>
      </c>
      <c r="V70" s="21">
        <f t="shared" si="13"/>
        <v>6908061.4011508301</v>
      </c>
      <c r="W70" s="21">
        <f t="shared" si="14"/>
        <v>6908061.4011508301</v>
      </c>
      <c r="X70">
        <v>0</v>
      </c>
      <c r="Y70" s="18">
        <v>2017</v>
      </c>
      <c r="Z70" t="s">
        <v>264</v>
      </c>
      <c r="AA70" s="21">
        <f t="shared" si="15"/>
        <v>1</v>
      </c>
    </row>
    <row r="71" spans="1:27">
      <c r="A71" t="s">
        <v>193</v>
      </c>
      <c r="B71" s="18">
        <v>2042</v>
      </c>
      <c r="C71" t="s">
        <v>193</v>
      </c>
      <c r="D71" s="20" t="s">
        <v>343</v>
      </c>
      <c r="E71" s="20" t="s">
        <v>344</v>
      </c>
      <c r="F71" s="20" t="s">
        <v>197</v>
      </c>
      <c r="G71" s="20" t="s">
        <v>336</v>
      </c>
      <c r="H71" s="20" t="s">
        <v>338</v>
      </c>
      <c r="I71" s="29">
        <v>1</v>
      </c>
      <c r="J71" s="30">
        <v>1</v>
      </c>
      <c r="K71" s="31">
        <v>3.5099999999999999E-2</v>
      </c>
      <c r="L71" s="9">
        <v>317069280.303352</v>
      </c>
      <c r="M71" s="9">
        <v>316395286.31201601</v>
      </c>
      <c r="N71" s="32">
        <f>MIN(MAX((B71-Calculation_Assumptions!$B$5+1)/Calculation_Assumptions!$B$7,0),1)</f>
        <v>1</v>
      </c>
      <c r="O71" s="21">
        <f t="shared" si="8"/>
        <v>317069280.303352</v>
      </c>
      <c r="P71" s="21">
        <f t="shared" si="9"/>
        <v>316395286.31201601</v>
      </c>
      <c r="Q71" s="21">
        <f>P71*Calculation_Assumptions!$B$14*J71*K71</f>
        <v>0</v>
      </c>
      <c r="R71" s="21">
        <f t="shared" si="10"/>
        <v>11129131.738647655</v>
      </c>
      <c r="S71" s="21">
        <f t="shared" si="11"/>
        <v>11129131.738647655</v>
      </c>
      <c r="T71" s="32">
        <f>1/(1+Calculation_Assumptions!$B$8)^(B71-Calculation_Assumptions!$B$2)</f>
        <v>0.60501644584477121</v>
      </c>
      <c r="U71" s="21">
        <f t="shared" si="12"/>
        <v>0</v>
      </c>
      <c r="V71" s="21">
        <f t="shared" si="13"/>
        <v>6733307.7298548436</v>
      </c>
      <c r="W71" s="21">
        <f t="shared" si="14"/>
        <v>6733307.7298548436</v>
      </c>
      <c r="X71">
        <v>0</v>
      </c>
      <c r="Y71" s="18">
        <v>2017</v>
      </c>
      <c r="Z71" t="s">
        <v>264</v>
      </c>
      <c r="AA71" s="21">
        <f t="shared" si="15"/>
        <v>1</v>
      </c>
    </row>
    <row r="72" spans="1:27">
      <c r="A72" t="s">
        <v>193</v>
      </c>
      <c r="B72" s="18">
        <v>2043</v>
      </c>
      <c r="C72" t="s">
        <v>193</v>
      </c>
      <c r="D72" s="20" t="s">
        <v>343</v>
      </c>
      <c r="E72" s="20" t="s">
        <v>344</v>
      </c>
      <c r="F72" s="20" t="s">
        <v>197</v>
      </c>
      <c r="G72" s="20" t="s">
        <v>336</v>
      </c>
      <c r="H72" s="20" t="s">
        <v>338</v>
      </c>
      <c r="I72" s="29">
        <v>1</v>
      </c>
      <c r="J72" s="30">
        <v>1</v>
      </c>
      <c r="K72" s="31">
        <v>3.5099999999999999E-2</v>
      </c>
      <c r="L72" s="9">
        <v>318369232.78693402</v>
      </c>
      <c r="M72" s="9">
        <v>317619735.68828899</v>
      </c>
      <c r="N72" s="32">
        <f>MIN(MAX((B72-Calculation_Assumptions!$B$5+1)/Calculation_Assumptions!$B$7,0),1)</f>
        <v>1</v>
      </c>
      <c r="O72" s="21">
        <f t="shared" si="8"/>
        <v>318369232.78693402</v>
      </c>
      <c r="P72" s="21">
        <f t="shared" si="9"/>
        <v>317619735.68828899</v>
      </c>
      <c r="Q72" s="21">
        <f>P72*Calculation_Assumptions!$B$14*J72*K72</f>
        <v>0</v>
      </c>
      <c r="R72" s="21">
        <f t="shared" si="10"/>
        <v>11174760.070821384</v>
      </c>
      <c r="S72" s="21">
        <f t="shared" si="11"/>
        <v>11174760.070821384</v>
      </c>
      <c r="T72" s="32">
        <f>1/(1+Calculation_Assumptions!$B$8)^(B72-Calculation_Assumptions!$B$2)</f>
        <v>0.5873946076162827</v>
      </c>
      <c r="U72" s="21">
        <f t="shared" si="12"/>
        <v>0</v>
      </c>
      <c r="V72" s="21">
        <f t="shared" si="13"/>
        <v>6563993.8070062306</v>
      </c>
      <c r="W72" s="21">
        <f t="shared" si="14"/>
        <v>6563993.8070062306</v>
      </c>
      <c r="X72">
        <v>0</v>
      </c>
      <c r="Y72" s="18">
        <v>2017</v>
      </c>
      <c r="Z72" t="s">
        <v>264</v>
      </c>
      <c r="AA72" s="21">
        <f t="shared" si="15"/>
        <v>1</v>
      </c>
    </row>
    <row r="73" spans="1:27">
      <c r="A73" t="s">
        <v>193</v>
      </c>
      <c r="B73" s="18">
        <v>2044</v>
      </c>
      <c r="C73" t="s">
        <v>193</v>
      </c>
      <c r="D73" s="20" t="s">
        <v>343</v>
      </c>
      <c r="E73" s="20" t="s">
        <v>344</v>
      </c>
      <c r="F73" s="20" t="s">
        <v>197</v>
      </c>
      <c r="G73" s="20" t="s">
        <v>336</v>
      </c>
      <c r="H73" s="20" t="s">
        <v>338</v>
      </c>
      <c r="I73" s="29">
        <v>1</v>
      </c>
      <c r="J73" s="30">
        <v>1</v>
      </c>
      <c r="K73" s="31">
        <v>3.5099999999999999E-2</v>
      </c>
      <c r="L73" s="9">
        <v>319514388.28445703</v>
      </c>
      <c r="M73" s="9">
        <v>318697135.86365199</v>
      </c>
      <c r="N73" s="32">
        <f>MIN(MAX((B73-Calculation_Assumptions!$B$5+1)/Calculation_Assumptions!$B$7,0),1)</f>
        <v>1</v>
      </c>
      <c r="O73" s="21">
        <f t="shared" si="8"/>
        <v>319514388.28445703</v>
      </c>
      <c r="P73" s="21">
        <f t="shared" si="9"/>
        <v>318697135.86365199</v>
      </c>
      <c r="Q73" s="21">
        <f>P73*Calculation_Assumptions!$B$14*J73*K73</f>
        <v>0</v>
      </c>
      <c r="R73" s="21">
        <f t="shared" si="10"/>
        <v>11214955.028784441</v>
      </c>
      <c r="S73" s="21">
        <f t="shared" si="11"/>
        <v>11214955.028784441</v>
      </c>
      <c r="T73" s="32">
        <f>1/(1+Calculation_Assumptions!$B$8)^(B73-Calculation_Assumptions!$B$2)</f>
        <v>0.57028602681192497</v>
      </c>
      <c r="U73" s="21">
        <f t="shared" si="12"/>
        <v>0</v>
      </c>
      <c r="V73" s="21">
        <f t="shared" si="13"/>
        <v>6395732.144239896</v>
      </c>
      <c r="W73" s="21">
        <f t="shared" si="14"/>
        <v>6395732.144239896</v>
      </c>
      <c r="X73">
        <v>0</v>
      </c>
      <c r="Y73" s="18">
        <v>2017</v>
      </c>
      <c r="Z73" t="s">
        <v>264</v>
      </c>
      <c r="AA73" s="21">
        <f t="shared" si="15"/>
        <v>1</v>
      </c>
    </row>
    <row r="74" spans="1:27">
      <c r="A74" t="s">
        <v>193</v>
      </c>
      <c r="B74" s="18">
        <v>2045</v>
      </c>
      <c r="C74" t="s">
        <v>193</v>
      </c>
      <c r="D74" s="20" t="s">
        <v>343</v>
      </c>
      <c r="E74" s="20" t="s">
        <v>344</v>
      </c>
      <c r="F74" s="20" t="s">
        <v>197</v>
      </c>
      <c r="G74" s="20" t="s">
        <v>336</v>
      </c>
      <c r="H74" s="20" t="s">
        <v>338</v>
      </c>
      <c r="I74" s="29">
        <v>1</v>
      </c>
      <c r="J74" s="30">
        <v>1</v>
      </c>
      <c r="K74" s="31">
        <v>3.5099999999999999E-2</v>
      </c>
      <c r="L74" s="9">
        <v>320602846.869582</v>
      </c>
      <c r="M74" s="9">
        <v>319717840.85179001</v>
      </c>
      <c r="N74" s="32">
        <f>MIN(MAX((B74-Calculation_Assumptions!$B$5+1)/Calculation_Assumptions!$B$7,0),1)</f>
        <v>1</v>
      </c>
      <c r="O74" s="21">
        <f t="shared" si="8"/>
        <v>320602846.869582</v>
      </c>
      <c r="P74" s="21">
        <f t="shared" si="9"/>
        <v>319717840.85179001</v>
      </c>
      <c r="Q74" s="21">
        <f>P74*Calculation_Assumptions!$B$14*J74*K74</f>
        <v>0</v>
      </c>
      <c r="R74" s="21">
        <f t="shared" si="10"/>
        <v>11253159.925122328</v>
      </c>
      <c r="S74" s="21">
        <f t="shared" si="11"/>
        <v>11253159.925122328</v>
      </c>
      <c r="T74" s="32">
        <f>1/(1+Calculation_Assumptions!$B$8)^(B74-Calculation_Assumptions!$B$2)</f>
        <v>0.55367575418633497</v>
      </c>
      <c r="U74" s="21">
        <f t="shared" si="12"/>
        <v>0</v>
      </c>
      <c r="V74" s="21">
        <f t="shared" si="13"/>
        <v>6230601.8085215455</v>
      </c>
      <c r="W74" s="21">
        <f t="shared" si="14"/>
        <v>6230601.8085215455</v>
      </c>
      <c r="X74">
        <v>0</v>
      </c>
      <c r="Y74" s="18">
        <v>2017</v>
      </c>
      <c r="Z74" t="s">
        <v>264</v>
      </c>
      <c r="AA74" s="21">
        <f t="shared" si="15"/>
        <v>1</v>
      </c>
    </row>
    <row r="75" spans="1:27">
      <c r="A75" t="s">
        <v>193</v>
      </c>
      <c r="B75" s="18">
        <v>2046</v>
      </c>
      <c r="C75" t="s">
        <v>193</v>
      </c>
      <c r="D75" s="20" t="s">
        <v>343</v>
      </c>
      <c r="E75" s="20" t="s">
        <v>344</v>
      </c>
      <c r="F75" s="20" t="s">
        <v>197</v>
      </c>
      <c r="G75" s="20" t="s">
        <v>336</v>
      </c>
      <c r="H75" s="20" t="s">
        <v>338</v>
      </c>
      <c r="I75" s="29">
        <v>1</v>
      </c>
      <c r="J75" s="30">
        <v>1</v>
      </c>
      <c r="K75" s="31">
        <v>3.5099999999999999E-2</v>
      </c>
      <c r="L75" s="9">
        <v>321636472.383982</v>
      </c>
      <c r="M75" s="9">
        <v>320683879.80627602</v>
      </c>
      <c r="N75" s="32">
        <f>MIN(MAX((B75-Calculation_Assumptions!$B$5+1)/Calculation_Assumptions!$B$7,0),1)</f>
        <v>1</v>
      </c>
      <c r="O75" s="21">
        <f t="shared" si="8"/>
        <v>321636472.383982</v>
      </c>
      <c r="P75" s="21">
        <f t="shared" si="9"/>
        <v>320683879.80627602</v>
      </c>
      <c r="Q75" s="21">
        <f>P75*Calculation_Assumptions!$B$14*J75*K75</f>
        <v>0</v>
      </c>
      <c r="R75" s="21">
        <f t="shared" si="10"/>
        <v>11289440.180677768</v>
      </c>
      <c r="S75" s="21">
        <f t="shared" si="11"/>
        <v>11289440.180677768</v>
      </c>
      <c r="T75" s="32">
        <f>1/(1+Calculation_Assumptions!$B$8)^(B75-Calculation_Assumptions!$B$2)</f>
        <v>0.5375492759090631</v>
      </c>
      <c r="U75" s="21">
        <f t="shared" si="12"/>
        <v>0</v>
      </c>
      <c r="V75" s="21">
        <f t="shared" si="13"/>
        <v>6068630.3945420161</v>
      </c>
      <c r="W75" s="21">
        <f t="shared" si="14"/>
        <v>6068630.3945420161</v>
      </c>
      <c r="X75">
        <v>0</v>
      </c>
      <c r="Y75" s="18">
        <v>2017</v>
      </c>
      <c r="Z75" t="s">
        <v>264</v>
      </c>
      <c r="AA75" s="21">
        <f t="shared" si="15"/>
        <v>1</v>
      </c>
    </row>
    <row r="76" spans="1:27">
      <c r="A76" t="s">
        <v>193</v>
      </c>
      <c r="B76" s="18">
        <v>2047</v>
      </c>
      <c r="C76" t="s">
        <v>193</v>
      </c>
      <c r="D76" s="20" t="s">
        <v>343</v>
      </c>
      <c r="E76" s="20" t="s">
        <v>344</v>
      </c>
      <c r="F76" s="20" t="s">
        <v>197</v>
      </c>
      <c r="G76" s="20" t="s">
        <v>336</v>
      </c>
      <c r="H76" s="20" t="s">
        <v>338</v>
      </c>
      <c r="I76" s="29">
        <v>1</v>
      </c>
      <c r="J76" s="30">
        <v>1</v>
      </c>
      <c r="K76" s="31">
        <v>3.5099999999999999E-2</v>
      </c>
      <c r="L76" s="9">
        <v>322615297.403368</v>
      </c>
      <c r="M76" s="9">
        <v>321595541.38952601</v>
      </c>
      <c r="N76" s="32">
        <f>MIN(MAX((B76-Calculation_Assumptions!$B$5+1)/Calculation_Assumptions!$B$7,0),1)</f>
        <v>1</v>
      </c>
      <c r="O76" s="21">
        <f t="shared" si="8"/>
        <v>322615297.403368</v>
      </c>
      <c r="P76" s="21">
        <f t="shared" si="9"/>
        <v>321595541.38952601</v>
      </c>
      <c r="Q76" s="21">
        <f>P76*Calculation_Assumptions!$B$14*J76*K76</f>
        <v>0</v>
      </c>
      <c r="R76" s="21">
        <f t="shared" si="10"/>
        <v>11323796.938858217</v>
      </c>
      <c r="S76" s="21">
        <f t="shared" si="11"/>
        <v>11323796.938858217</v>
      </c>
      <c r="T76" s="32">
        <f>1/(1+Calculation_Assumptions!$B$8)^(B76-Calculation_Assumptions!$B$2)</f>
        <v>0.52189250088258554</v>
      </c>
      <c r="U76" s="21">
        <f t="shared" si="12"/>
        <v>0</v>
      </c>
      <c r="V76" s="21">
        <f t="shared" si="13"/>
        <v>5909804.7039072812</v>
      </c>
      <c r="W76" s="21">
        <f t="shared" si="14"/>
        <v>5909804.7039072812</v>
      </c>
      <c r="X76">
        <v>0</v>
      </c>
      <c r="Y76" s="18">
        <v>2017</v>
      </c>
      <c r="Z76" t="s">
        <v>264</v>
      </c>
      <c r="AA76" s="21">
        <f t="shared" si="15"/>
        <v>1</v>
      </c>
    </row>
    <row r="77" spans="1:27">
      <c r="A77" t="s">
        <v>193</v>
      </c>
      <c r="B77" s="18">
        <v>2048</v>
      </c>
      <c r="C77" t="s">
        <v>193</v>
      </c>
      <c r="D77" s="20" t="s">
        <v>343</v>
      </c>
      <c r="E77" s="20" t="s">
        <v>344</v>
      </c>
      <c r="F77" s="20" t="s">
        <v>197</v>
      </c>
      <c r="G77" s="20" t="s">
        <v>336</v>
      </c>
      <c r="H77" s="20" t="s">
        <v>338</v>
      </c>
      <c r="I77" s="29">
        <v>1</v>
      </c>
      <c r="J77" s="30">
        <v>1</v>
      </c>
      <c r="K77" s="31">
        <v>3.5099999999999999E-2</v>
      </c>
      <c r="L77" s="9">
        <v>323539889.00234598</v>
      </c>
      <c r="M77" s="9">
        <v>322453622.66946399</v>
      </c>
      <c r="N77" s="32">
        <f>MIN(MAX((B77-Calculation_Assumptions!$B$5+1)/Calculation_Assumptions!$B$7,0),1)</f>
        <v>1</v>
      </c>
      <c r="O77" s="21">
        <f t="shared" si="8"/>
        <v>323539889.00234598</v>
      </c>
      <c r="P77" s="21">
        <f t="shared" si="9"/>
        <v>322453622.66946399</v>
      </c>
      <c r="Q77" s="21">
        <f>P77*Calculation_Assumptions!$B$14*J77*K77</f>
        <v>0</v>
      </c>
      <c r="R77" s="21">
        <f t="shared" si="10"/>
        <v>11356250.103982344</v>
      </c>
      <c r="S77" s="21">
        <f t="shared" si="11"/>
        <v>11356250.103982344</v>
      </c>
      <c r="T77" s="32">
        <f>1/(1+Calculation_Assumptions!$B$8)^(B77-Calculation_Assumptions!$B$2)</f>
        <v>0.50669174842969467</v>
      </c>
      <c r="U77" s="21">
        <f t="shared" si="12"/>
        <v>0</v>
      </c>
      <c r="V77" s="21">
        <f t="shared" si="13"/>
        <v>5754118.2207917161</v>
      </c>
      <c r="W77" s="21">
        <f t="shared" si="14"/>
        <v>5754118.2207917161</v>
      </c>
      <c r="X77">
        <v>0</v>
      </c>
      <c r="Y77" s="18">
        <v>2017</v>
      </c>
      <c r="Z77" t="s">
        <v>264</v>
      </c>
      <c r="AA77" s="21">
        <f t="shared" si="15"/>
        <v>1</v>
      </c>
    </row>
    <row r="78" spans="1:27">
      <c r="A78" t="s">
        <v>193</v>
      </c>
      <c r="B78" s="18">
        <v>2049</v>
      </c>
      <c r="C78" t="s">
        <v>193</v>
      </c>
      <c r="D78" s="20" t="s">
        <v>343</v>
      </c>
      <c r="E78" s="20" t="s">
        <v>344</v>
      </c>
      <c r="F78" s="20" t="s">
        <v>197</v>
      </c>
      <c r="G78" s="20" t="s">
        <v>336</v>
      </c>
      <c r="H78" s="20" t="s">
        <v>338</v>
      </c>
      <c r="I78" s="29">
        <v>1</v>
      </c>
      <c r="J78" s="30">
        <v>1</v>
      </c>
      <c r="K78" s="31">
        <v>3.5099999999999999E-2</v>
      </c>
      <c r="L78" s="9">
        <v>324411161.12728</v>
      </c>
      <c r="M78" s="9">
        <v>323259246.71671897</v>
      </c>
      <c r="N78" s="32">
        <f>MIN(MAX((B78-Calculation_Assumptions!$B$5+1)/Calculation_Assumptions!$B$7,0),1)</f>
        <v>1</v>
      </c>
      <c r="O78" s="21">
        <f t="shared" si="8"/>
        <v>324411161.12728</v>
      </c>
      <c r="P78" s="21">
        <f t="shared" si="9"/>
        <v>323259246.71671897</v>
      </c>
      <c r="Q78" s="21">
        <f>P78*Calculation_Assumptions!$B$14*J78*K78</f>
        <v>0</v>
      </c>
      <c r="R78" s="21">
        <f t="shared" si="10"/>
        <v>11386831.755567528</v>
      </c>
      <c r="S78" s="21">
        <f t="shared" si="11"/>
        <v>11386831.755567528</v>
      </c>
      <c r="T78" s="32">
        <f>1/(1+Calculation_Assumptions!$B$8)^(B78-Calculation_Assumptions!$B$2)</f>
        <v>0.49193373633950943</v>
      </c>
      <c r="U78" s="21">
        <f t="shared" si="12"/>
        <v>0</v>
      </c>
      <c r="V78" s="21">
        <f t="shared" si="13"/>
        <v>5601566.6905857101</v>
      </c>
      <c r="W78" s="21">
        <f t="shared" si="14"/>
        <v>5601566.6905857101</v>
      </c>
      <c r="X78">
        <v>0</v>
      </c>
      <c r="Y78" s="18">
        <v>2017</v>
      </c>
      <c r="Z78" t="s">
        <v>264</v>
      </c>
      <c r="AA78" s="21">
        <f t="shared" si="15"/>
        <v>1</v>
      </c>
    </row>
    <row r="79" spans="1:27">
      <c r="A79" t="s">
        <v>193</v>
      </c>
      <c r="B79" s="18">
        <v>2050</v>
      </c>
      <c r="C79" t="s">
        <v>193</v>
      </c>
      <c r="D79" s="20" t="s">
        <v>343</v>
      </c>
      <c r="E79" s="20" t="s">
        <v>344</v>
      </c>
      <c r="F79" s="20" t="s">
        <v>197</v>
      </c>
      <c r="G79" s="20" t="s">
        <v>336</v>
      </c>
      <c r="H79" s="20" t="s">
        <v>338</v>
      </c>
      <c r="I79" s="29">
        <v>1</v>
      </c>
      <c r="J79" s="30">
        <v>1</v>
      </c>
      <c r="K79" s="31">
        <v>3.5099999999999999E-2</v>
      </c>
      <c r="L79" s="9">
        <v>325010987.96417099</v>
      </c>
      <c r="M79" s="9">
        <v>324013738.18247902</v>
      </c>
      <c r="N79" s="32">
        <f>MIN(MAX((B79-Calculation_Assumptions!$B$5+1)/Calculation_Assumptions!$B$7,0),1)</f>
        <v>1</v>
      </c>
      <c r="O79" s="21">
        <f t="shared" si="8"/>
        <v>325010987.96417099</v>
      </c>
      <c r="P79" s="21">
        <f t="shared" si="9"/>
        <v>324013738.18247902</v>
      </c>
      <c r="Q79" s="21">
        <f>P79*Calculation_Assumptions!$B$14*J79*K79</f>
        <v>0</v>
      </c>
      <c r="R79" s="21">
        <f t="shared" si="10"/>
        <v>11407885.677542401</v>
      </c>
      <c r="S79" s="21">
        <f t="shared" si="11"/>
        <v>11407885.677542401</v>
      </c>
      <c r="T79" s="32">
        <f>1/(1+Calculation_Assumptions!$B$8)^(B79-Calculation_Assumptions!$B$2)</f>
        <v>0.47760556926165965</v>
      </c>
      <c r="U79" s="21">
        <f t="shared" si="12"/>
        <v>0</v>
      </c>
      <c r="V79" s="21">
        <f t="shared" si="13"/>
        <v>5448469.7330945721</v>
      </c>
      <c r="W79" s="21">
        <f t="shared" si="14"/>
        <v>5448469.7330945721</v>
      </c>
      <c r="X79">
        <v>0</v>
      </c>
      <c r="Y79" s="18">
        <v>2017</v>
      </c>
      <c r="Z79" t="s">
        <v>264</v>
      </c>
      <c r="AA79" s="21">
        <f t="shared" si="15"/>
        <v>1</v>
      </c>
    </row>
    <row r="80" spans="1:27">
      <c r="A80" t="s">
        <v>201</v>
      </c>
      <c r="B80" s="18">
        <v>2025</v>
      </c>
      <c r="C80" t="s">
        <v>201</v>
      </c>
      <c r="D80" s="20" t="s">
        <v>345</v>
      </c>
      <c r="E80" s="20" t="s">
        <v>346</v>
      </c>
      <c r="F80" s="20" t="s">
        <v>207</v>
      </c>
      <c r="G80" s="20" t="s">
        <v>336</v>
      </c>
      <c r="H80" s="20" t="s">
        <v>338</v>
      </c>
      <c r="I80" s="29">
        <v>1</v>
      </c>
      <c r="J80" s="30">
        <v>1</v>
      </c>
      <c r="K80" s="31">
        <v>4.0000000000000001E-3</v>
      </c>
      <c r="L80" s="9">
        <v>288000821.106462</v>
      </c>
      <c r="M80" s="9">
        <v>288000821.106462</v>
      </c>
      <c r="N80" s="32">
        <f>MIN(MAX((B80-Calculation_Assumptions!$B$5+1)/Calculation_Assumptions!$B$7,0),1)</f>
        <v>0</v>
      </c>
      <c r="O80" s="21">
        <f t="shared" si="8"/>
        <v>288000821.106462</v>
      </c>
      <c r="P80" s="21">
        <f t="shared" si="9"/>
        <v>288000821.106462</v>
      </c>
      <c r="Q80" s="21">
        <f>P80*Calculation_Assumptions!$B$14*J80*K80</f>
        <v>0</v>
      </c>
      <c r="R80" s="21">
        <f t="shared" si="10"/>
        <v>0</v>
      </c>
      <c r="S80" s="21">
        <f t="shared" si="11"/>
        <v>0</v>
      </c>
      <c r="T80" s="32">
        <f>1/(1+Calculation_Assumptions!$B$8)^(B80-Calculation_Assumptions!$B$2)</f>
        <v>1</v>
      </c>
      <c r="U80" s="21">
        <f t="shared" si="12"/>
        <v>0</v>
      </c>
      <c r="V80" s="21">
        <f t="shared" si="13"/>
        <v>0</v>
      </c>
      <c r="W80" s="21">
        <f t="shared" si="14"/>
        <v>0</v>
      </c>
      <c r="X80">
        <v>0</v>
      </c>
      <c r="Y80" s="18">
        <v>2017</v>
      </c>
      <c r="Z80" t="s">
        <v>264</v>
      </c>
      <c r="AA80" s="21">
        <f t="shared" si="15"/>
        <v>1</v>
      </c>
    </row>
    <row r="81" spans="1:27">
      <c r="A81" t="s">
        <v>201</v>
      </c>
      <c r="B81" s="18">
        <v>2026</v>
      </c>
      <c r="C81" t="s">
        <v>201</v>
      </c>
      <c r="D81" s="20" t="s">
        <v>345</v>
      </c>
      <c r="E81" s="20" t="s">
        <v>346</v>
      </c>
      <c r="F81" s="20" t="s">
        <v>207</v>
      </c>
      <c r="G81" s="20" t="s">
        <v>336</v>
      </c>
      <c r="H81" s="20" t="s">
        <v>338</v>
      </c>
      <c r="I81" s="29">
        <v>1</v>
      </c>
      <c r="J81" s="30">
        <v>1</v>
      </c>
      <c r="K81" s="31">
        <v>4.0000000000000001E-3</v>
      </c>
      <c r="L81" s="9">
        <v>290123496.10321897</v>
      </c>
      <c r="M81" s="9">
        <v>290123496.10321897</v>
      </c>
      <c r="N81" s="32">
        <f>MIN(MAX((B81-Calculation_Assumptions!$B$5+1)/Calculation_Assumptions!$B$7,0),1)</f>
        <v>0.33333333333333331</v>
      </c>
      <c r="O81" s="21">
        <f t="shared" si="8"/>
        <v>290123496.10321897</v>
      </c>
      <c r="P81" s="21">
        <f t="shared" si="9"/>
        <v>290123496.10321897</v>
      </c>
      <c r="Q81" s="21">
        <f>P81*Calculation_Assumptions!$B$14*J81*K81</f>
        <v>0</v>
      </c>
      <c r="R81" s="21">
        <f t="shared" si="10"/>
        <v>386831.3281376253</v>
      </c>
      <c r="S81" s="21">
        <f t="shared" si="11"/>
        <v>386831.3281376253</v>
      </c>
      <c r="T81" s="32">
        <f>1/(1+Calculation_Assumptions!$B$8)^(B81-Calculation_Assumptions!$B$2)</f>
        <v>0.970873786407767</v>
      </c>
      <c r="U81" s="21">
        <f t="shared" si="12"/>
        <v>0</v>
      </c>
      <c r="V81" s="21">
        <f t="shared" si="13"/>
        <v>375564.39625012164</v>
      </c>
      <c r="W81" s="21">
        <f t="shared" si="14"/>
        <v>375564.39625012164</v>
      </c>
      <c r="X81">
        <v>0</v>
      </c>
      <c r="Y81" s="18">
        <v>2017</v>
      </c>
      <c r="Z81" t="s">
        <v>264</v>
      </c>
      <c r="AA81" s="21">
        <f t="shared" si="15"/>
        <v>1</v>
      </c>
    </row>
    <row r="82" spans="1:27">
      <c r="A82" t="s">
        <v>201</v>
      </c>
      <c r="B82" s="18">
        <v>2027</v>
      </c>
      <c r="C82" t="s">
        <v>201</v>
      </c>
      <c r="D82" s="20" t="s">
        <v>345</v>
      </c>
      <c r="E82" s="20" t="s">
        <v>346</v>
      </c>
      <c r="F82" s="20" t="s">
        <v>207</v>
      </c>
      <c r="G82" s="20" t="s">
        <v>336</v>
      </c>
      <c r="H82" s="20" t="s">
        <v>338</v>
      </c>
      <c r="I82" s="29">
        <v>1</v>
      </c>
      <c r="J82" s="30">
        <v>1</v>
      </c>
      <c r="K82" s="31">
        <v>4.0000000000000001E-3</v>
      </c>
      <c r="L82" s="9">
        <v>292252895.09695601</v>
      </c>
      <c r="M82" s="9">
        <v>292252895.09695601</v>
      </c>
      <c r="N82" s="32">
        <f>MIN(MAX((B82-Calculation_Assumptions!$B$5+1)/Calculation_Assumptions!$B$7,0),1)</f>
        <v>0.66666666666666663</v>
      </c>
      <c r="O82" s="21">
        <f t="shared" si="8"/>
        <v>292252895.09695601</v>
      </c>
      <c r="P82" s="21">
        <f t="shared" si="9"/>
        <v>292252895.09695601</v>
      </c>
      <c r="Q82" s="21">
        <f>P82*Calculation_Assumptions!$B$14*J82*K82</f>
        <v>0</v>
      </c>
      <c r="R82" s="21">
        <f t="shared" si="10"/>
        <v>779341.05359188269</v>
      </c>
      <c r="S82" s="21">
        <f t="shared" si="11"/>
        <v>779341.05359188269</v>
      </c>
      <c r="T82" s="32">
        <f>1/(1+Calculation_Assumptions!$B$8)^(B82-Calculation_Assumptions!$B$2)</f>
        <v>0.94259590913375435</v>
      </c>
      <c r="U82" s="21">
        <f t="shared" si="12"/>
        <v>0</v>
      </c>
      <c r="V82" s="21">
        <f t="shared" si="13"/>
        <v>734603.68893569859</v>
      </c>
      <c r="W82" s="21">
        <f t="shared" si="14"/>
        <v>734603.68893569859</v>
      </c>
      <c r="X82">
        <v>0</v>
      </c>
      <c r="Y82" s="18">
        <v>2017</v>
      </c>
      <c r="Z82" t="s">
        <v>264</v>
      </c>
      <c r="AA82" s="21">
        <f t="shared" si="15"/>
        <v>1</v>
      </c>
    </row>
    <row r="83" spans="1:27">
      <c r="A83" t="s">
        <v>201</v>
      </c>
      <c r="B83" s="18">
        <v>2028</v>
      </c>
      <c r="C83" t="s">
        <v>201</v>
      </c>
      <c r="D83" s="20" t="s">
        <v>345</v>
      </c>
      <c r="E83" s="20" t="s">
        <v>346</v>
      </c>
      <c r="F83" s="20" t="s">
        <v>207</v>
      </c>
      <c r="G83" s="20" t="s">
        <v>336</v>
      </c>
      <c r="H83" s="20" t="s">
        <v>338</v>
      </c>
      <c r="I83" s="29">
        <v>1</v>
      </c>
      <c r="J83" s="30">
        <v>1</v>
      </c>
      <c r="K83" s="31">
        <v>4.0000000000000001E-3</v>
      </c>
      <c r="L83" s="9">
        <v>294034442.23215902</v>
      </c>
      <c r="M83" s="9">
        <v>294314895.30546498</v>
      </c>
      <c r="N83" s="32">
        <f>MIN(MAX((B83-Calculation_Assumptions!$B$5+1)/Calculation_Assumptions!$B$7,0),1)</f>
        <v>1</v>
      </c>
      <c r="O83" s="21">
        <f t="shared" si="8"/>
        <v>294034442.23215902</v>
      </c>
      <c r="P83" s="21">
        <f t="shared" si="9"/>
        <v>294314895.30546498</v>
      </c>
      <c r="Q83" s="21">
        <f>P83*Calculation_Assumptions!$B$14*J83*K83</f>
        <v>0</v>
      </c>
      <c r="R83" s="21">
        <f t="shared" si="10"/>
        <v>1176137.7689286361</v>
      </c>
      <c r="S83" s="21">
        <f t="shared" si="11"/>
        <v>1176137.7689286361</v>
      </c>
      <c r="T83" s="32">
        <f>1/(1+Calculation_Assumptions!$B$8)^(B83-Calculation_Assumptions!$B$2)</f>
        <v>0.91514165935315961</v>
      </c>
      <c r="U83" s="21">
        <f t="shared" si="12"/>
        <v>0</v>
      </c>
      <c r="V83" s="21">
        <f t="shared" si="13"/>
        <v>1076332.6694852749</v>
      </c>
      <c r="W83" s="21">
        <f t="shared" si="14"/>
        <v>1076332.6694852749</v>
      </c>
      <c r="X83">
        <v>0</v>
      </c>
      <c r="Y83" s="18">
        <v>2017</v>
      </c>
      <c r="Z83" t="s">
        <v>264</v>
      </c>
      <c r="AA83" s="21">
        <f t="shared" si="15"/>
        <v>1</v>
      </c>
    </row>
    <row r="84" spans="1:27">
      <c r="A84" t="s">
        <v>201</v>
      </c>
      <c r="B84" s="18">
        <v>2029</v>
      </c>
      <c r="C84" t="s">
        <v>201</v>
      </c>
      <c r="D84" s="20" t="s">
        <v>345</v>
      </c>
      <c r="E84" s="20" t="s">
        <v>346</v>
      </c>
      <c r="F84" s="20" t="s">
        <v>207</v>
      </c>
      <c r="G84" s="20" t="s">
        <v>336</v>
      </c>
      <c r="H84" s="20" t="s">
        <v>338</v>
      </c>
      <c r="I84" s="29">
        <v>1</v>
      </c>
      <c r="J84" s="30">
        <v>1</v>
      </c>
      <c r="K84" s="31">
        <v>4.0000000000000001E-3</v>
      </c>
      <c r="L84" s="9">
        <v>296079110.626885</v>
      </c>
      <c r="M84" s="9">
        <v>296341062.542853</v>
      </c>
      <c r="N84" s="32">
        <f>MIN(MAX((B84-Calculation_Assumptions!$B$5+1)/Calculation_Assumptions!$B$7,0),1)</f>
        <v>1</v>
      </c>
      <c r="O84" s="21">
        <f t="shared" si="8"/>
        <v>296079110.626885</v>
      </c>
      <c r="P84" s="21">
        <f t="shared" si="9"/>
        <v>296341062.542853</v>
      </c>
      <c r="Q84" s="21">
        <f>P84*Calculation_Assumptions!$B$14*J84*K84</f>
        <v>0</v>
      </c>
      <c r="R84" s="21">
        <f t="shared" si="10"/>
        <v>1184316.4425075401</v>
      </c>
      <c r="S84" s="21">
        <f t="shared" si="11"/>
        <v>1184316.4425075401</v>
      </c>
      <c r="T84" s="32">
        <f>1/(1+Calculation_Assumptions!$B$8)^(B84-Calculation_Assumptions!$B$2)</f>
        <v>0.888487047915689</v>
      </c>
      <c r="U84" s="21">
        <f t="shared" si="12"/>
        <v>0</v>
      </c>
      <c r="V84" s="21">
        <f t="shared" si="13"/>
        <v>1052249.8198015352</v>
      </c>
      <c r="W84" s="21">
        <f t="shared" si="14"/>
        <v>1052249.8198015352</v>
      </c>
      <c r="X84">
        <v>0</v>
      </c>
      <c r="Y84" s="18">
        <v>2017</v>
      </c>
      <c r="Z84" t="s">
        <v>264</v>
      </c>
      <c r="AA84" s="21">
        <f t="shared" si="15"/>
        <v>1</v>
      </c>
    </row>
    <row r="85" spans="1:27">
      <c r="A85" t="s">
        <v>201</v>
      </c>
      <c r="B85" s="18">
        <v>2030</v>
      </c>
      <c r="C85" t="s">
        <v>201</v>
      </c>
      <c r="D85" s="20" t="s">
        <v>345</v>
      </c>
      <c r="E85" s="20" t="s">
        <v>346</v>
      </c>
      <c r="F85" s="20" t="s">
        <v>207</v>
      </c>
      <c r="G85" s="20" t="s">
        <v>336</v>
      </c>
      <c r="H85" s="20" t="s">
        <v>338</v>
      </c>
      <c r="I85" s="29">
        <v>1</v>
      </c>
      <c r="J85" s="30">
        <v>1</v>
      </c>
      <c r="K85" s="31">
        <v>4.0000000000000001E-3</v>
      </c>
      <c r="L85" s="9">
        <v>297979737.024064</v>
      </c>
      <c r="M85" s="9">
        <v>298280286.05726302</v>
      </c>
      <c r="N85" s="32">
        <f>MIN(MAX((B85-Calculation_Assumptions!$B$5+1)/Calculation_Assumptions!$B$7,0),1)</f>
        <v>1</v>
      </c>
      <c r="O85" s="21">
        <f t="shared" si="8"/>
        <v>297979737.024064</v>
      </c>
      <c r="P85" s="21">
        <f t="shared" si="9"/>
        <v>298280286.05726302</v>
      </c>
      <c r="Q85" s="21">
        <f>P85*Calculation_Assumptions!$B$14*J85*K85</f>
        <v>0</v>
      </c>
      <c r="R85" s="21">
        <f t="shared" si="10"/>
        <v>1191918.948096256</v>
      </c>
      <c r="S85" s="21">
        <f t="shared" si="11"/>
        <v>1191918.948096256</v>
      </c>
      <c r="T85" s="32">
        <f>1/(1+Calculation_Assumptions!$B$8)^(B85-Calculation_Assumptions!$B$2)</f>
        <v>0.86260878438416411</v>
      </c>
      <c r="U85" s="21">
        <f t="shared" si="12"/>
        <v>0</v>
      </c>
      <c r="V85" s="21">
        <f t="shared" si="13"/>
        <v>1028159.7549017629</v>
      </c>
      <c r="W85" s="21">
        <f t="shared" si="14"/>
        <v>1028159.7549017629</v>
      </c>
      <c r="X85">
        <v>0</v>
      </c>
      <c r="Y85" s="18">
        <v>2017</v>
      </c>
      <c r="Z85" t="s">
        <v>264</v>
      </c>
      <c r="AA85" s="21">
        <f t="shared" si="15"/>
        <v>1</v>
      </c>
    </row>
    <row r="86" spans="1:27">
      <c r="A86" t="s">
        <v>201</v>
      </c>
      <c r="B86" s="18">
        <v>2031</v>
      </c>
      <c r="C86" t="s">
        <v>201</v>
      </c>
      <c r="D86" s="20" t="s">
        <v>345</v>
      </c>
      <c r="E86" s="20" t="s">
        <v>346</v>
      </c>
      <c r="F86" s="20" t="s">
        <v>207</v>
      </c>
      <c r="G86" s="20" t="s">
        <v>336</v>
      </c>
      <c r="H86" s="20" t="s">
        <v>338</v>
      </c>
      <c r="I86" s="29">
        <v>1</v>
      </c>
      <c r="J86" s="30">
        <v>1</v>
      </c>
      <c r="K86" s="31">
        <v>4.0000000000000001E-3</v>
      </c>
      <c r="L86" s="9">
        <v>299863820.43484902</v>
      </c>
      <c r="M86" s="9">
        <v>300152603.25478202</v>
      </c>
      <c r="N86" s="32">
        <f>MIN(MAX((B86-Calculation_Assumptions!$B$5+1)/Calculation_Assumptions!$B$7,0),1)</f>
        <v>1</v>
      </c>
      <c r="O86" s="21">
        <f t="shared" si="8"/>
        <v>299863820.43484902</v>
      </c>
      <c r="P86" s="21">
        <f t="shared" si="9"/>
        <v>300152603.25478202</v>
      </c>
      <c r="Q86" s="21">
        <f>P86*Calculation_Assumptions!$B$14*J86*K86</f>
        <v>0</v>
      </c>
      <c r="R86" s="21">
        <f t="shared" si="10"/>
        <v>1199455.281739396</v>
      </c>
      <c r="S86" s="21">
        <f t="shared" si="11"/>
        <v>1199455.281739396</v>
      </c>
      <c r="T86" s="32">
        <f>1/(1+Calculation_Assumptions!$B$8)^(B86-Calculation_Assumptions!$B$2)</f>
        <v>0.83748425668365445</v>
      </c>
      <c r="U86" s="21">
        <f t="shared" si="12"/>
        <v>0</v>
      </c>
      <c r="V86" s="21">
        <f t="shared" si="13"/>
        <v>1004524.9150528014</v>
      </c>
      <c r="W86" s="21">
        <f t="shared" si="14"/>
        <v>1004524.9150528014</v>
      </c>
      <c r="X86">
        <v>0</v>
      </c>
      <c r="Y86" s="18">
        <v>2017</v>
      </c>
      <c r="Z86" t="s">
        <v>264</v>
      </c>
      <c r="AA86" s="21">
        <f t="shared" si="15"/>
        <v>1</v>
      </c>
    </row>
    <row r="87" spans="1:27">
      <c r="A87" t="s">
        <v>201</v>
      </c>
      <c r="B87" s="18">
        <v>2032</v>
      </c>
      <c r="C87" t="s">
        <v>201</v>
      </c>
      <c r="D87" s="20" t="s">
        <v>345</v>
      </c>
      <c r="E87" s="20" t="s">
        <v>346</v>
      </c>
      <c r="F87" s="20" t="s">
        <v>207</v>
      </c>
      <c r="G87" s="20" t="s">
        <v>336</v>
      </c>
      <c r="H87" s="20" t="s">
        <v>338</v>
      </c>
      <c r="I87" s="29">
        <v>1</v>
      </c>
      <c r="J87" s="30">
        <v>1</v>
      </c>
      <c r="K87" s="31">
        <v>4.0000000000000001E-3</v>
      </c>
      <c r="L87" s="9">
        <v>301681727.87173599</v>
      </c>
      <c r="M87" s="9">
        <v>301959399.63388801</v>
      </c>
      <c r="N87" s="32">
        <f>MIN(MAX((B87-Calculation_Assumptions!$B$5+1)/Calculation_Assumptions!$B$7,0),1)</f>
        <v>1</v>
      </c>
      <c r="O87" s="21">
        <f t="shared" si="8"/>
        <v>301681727.87173599</v>
      </c>
      <c r="P87" s="21">
        <f t="shared" si="9"/>
        <v>301959399.63388801</v>
      </c>
      <c r="Q87" s="21">
        <f>P87*Calculation_Assumptions!$B$14*J87*K87</f>
        <v>0</v>
      </c>
      <c r="R87" s="21">
        <f t="shared" si="10"/>
        <v>1206726.911486944</v>
      </c>
      <c r="S87" s="21">
        <f t="shared" si="11"/>
        <v>1206726.911486944</v>
      </c>
      <c r="T87" s="32">
        <f>1/(1+Calculation_Assumptions!$B$8)^(B87-Calculation_Assumptions!$B$2)</f>
        <v>0.81309151134335378</v>
      </c>
      <c r="U87" s="21">
        <f t="shared" si="12"/>
        <v>0</v>
      </c>
      <c r="V87" s="21">
        <f t="shared" si="13"/>
        <v>981179.40823961678</v>
      </c>
      <c r="W87" s="21">
        <f t="shared" si="14"/>
        <v>981179.40823961678</v>
      </c>
      <c r="X87">
        <v>0</v>
      </c>
      <c r="Y87" s="18">
        <v>2017</v>
      </c>
      <c r="Z87" t="s">
        <v>264</v>
      </c>
      <c r="AA87" s="21">
        <f t="shared" si="15"/>
        <v>1</v>
      </c>
    </row>
    <row r="88" spans="1:27">
      <c r="A88" t="s">
        <v>201</v>
      </c>
      <c r="B88" s="18">
        <v>2033</v>
      </c>
      <c r="C88" t="s">
        <v>201</v>
      </c>
      <c r="D88" s="20" t="s">
        <v>345</v>
      </c>
      <c r="E88" s="20" t="s">
        <v>346</v>
      </c>
      <c r="F88" s="20" t="s">
        <v>207</v>
      </c>
      <c r="G88" s="20" t="s">
        <v>336</v>
      </c>
      <c r="H88" s="20" t="s">
        <v>338</v>
      </c>
      <c r="I88" s="29">
        <v>1</v>
      </c>
      <c r="J88" s="30">
        <v>1</v>
      </c>
      <c r="K88" s="31">
        <v>4.0000000000000001E-3</v>
      </c>
      <c r="L88" s="9">
        <v>303433917.031672</v>
      </c>
      <c r="M88" s="9">
        <v>303701035.20205098</v>
      </c>
      <c r="N88" s="32">
        <f>MIN(MAX((B88-Calculation_Assumptions!$B$5+1)/Calculation_Assumptions!$B$7,0),1)</f>
        <v>1</v>
      </c>
      <c r="O88" s="21">
        <f t="shared" si="8"/>
        <v>303433917.031672</v>
      </c>
      <c r="P88" s="21">
        <f t="shared" si="9"/>
        <v>303701035.20205098</v>
      </c>
      <c r="Q88" s="21">
        <f>P88*Calculation_Assumptions!$B$14*J88*K88</f>
        <v>0</v>
      </c>
      <c r="R88" s="21">
        <f t="shared" si="10"/>
        <v>1213735.6681266881</v>
      </c>
      <c r="S88" s="21">
        <f t="shared" si="11"/>
        <v>1213735.6681266881</v>
      </c>
      <c r="T88" s="32">
        <f>1/(1+Calculation_Assumptions!$B$8)^(B88-Calculation_Assumptions!$B$2)</f>
        <v>0.78940923431393573</v>
      </c>
      <c r="U88" s="21">
        <f t="shared" si="12"/>
        <v>0</v>
      </c>
      <c r="V88" s="21">
        <f t="shared" si="13"/>
        <v>958134.14443540201</v>
      </c>
      <c r="W88" s="21">
        <f t="shared" si="14"/>
        <v>958134.14443540201</v>
      </c>
      <c r="X88">
        <v>0</v>
      </c>
      <c r="Y88" s="18">
        <v>2017</v>
      </c>
      <c r="Z88" t="s">
        <v>264</v>
      </c>
      <c r="AA88" s="21">
        <f t="shared" si="15"/>
        <v>1</v>
      </c>
    </row>
    <row r="89" spans="1:27">
      <c r="A89" t="s">
        <v>201</v>
      </c>
      <c r="B89" s="18">
        <v>2034</v>
      </c>
      <c r="C89" t="s">
        <v>201</v>
      </c>
      <c r="D89" s="20" t="s">
        <v>345</v>
      </c>
      <c r="E89" s="20" t="s">
        <v>346</v>
      </c>
      <c r="F89" s="20" t="s">
        <v>207</v>
      </c>
      <c r="G89" s="20" t="s">
        <v>336</v>
      </c>
      <c r="H89" s="20" t="s">
        <v>338</v>
      </c>
      <c r="I89" s="29">
        <v>1</v>
      </c>
      <c r="J89" s="30">
        <v>1</v>
      </c>
      <c r="K89" s="31">
        <v>4.0000000000000001E-3</v>
      </c>
      <c r="L89" s="9">
        <v>305120983.318362</v>
      </c>
      <c r="M89" s="9">
        <v>305377998.093319</v>
      </c>
      <c r="N89" s="32">
        <f>MIN(MAX((B89-Calculation_Assumptions!$B$5+1)/Calculation_Assumptions!$B$7,0),1)</f>
        <v>1</v>
      </c>
      <c r="O89" s="21">
        <f t="shared" si="8"/>
        <v>305120983.318362</v>
      </c>
      <c r="P89" s="21">
        <f t="shared" si="9"/>
        <v>305377998.093319</v>
      </c>
      <c r="Q89" s="21">
        <f>P89*Calculation_Assumptions!$B$14*J89*K89</f>
        <v>0</v>
      </c>
      <c r="R89" s="21">
        <f t="shared" si="10"/>
        <v>1220483.9332734479</v>
      </c>
      <c r="S89" s="21">
        <f t="shared" si="11"/>
        <v>1220483.9332734479</v>
      </c>
      <c r="T89" s="32">
        <f>1/(1+Calculation_Assumptions!$B$8)^(B89-Calculation_Assumptions!$B$2)</f>
        <v>0.76641673234362695</v>
      </c>
      <c r="U89" s="21">
        <f t="shared" si="12"/>
        <v>0</v>
      </c>
      <c r="V89" s="21">
        <f t="shared" si="13"/>
        <v>935399.30801733315</v>
      </c>
      <c r="W89" s="21">
        <f t="shared" si="14"/>
        <v>935399.30801733315</v>
      </c>
      <c r="X89">
        <v>0</v>
      </c>
      <c r="Y89" s="18">
        <v>2017</v>
      </c>
      <c r="Z89" t="s">
        <v>264</v>
      </c>
      <c r="AA89" s="21">
        <f t="shared" si="15"/>
        <v>1</v>
      </c>
    </row>
    <row r="90" spans="1:27">
      <c r="A90" t="s">
        <v>201</v>
      </c>
      <c r="B90" s="18">
        <v>2035</v>
      </c>
      <c r="C90" t="s">
        <v>201</v>
      </c>
      <c r="D90" s="20" t="s">
        <v>345</v>
      </c>
      <c r="E90" s="20" t="s">
        <v>346</v>
      </c>
      <c r="F90" s="20" t="s">
        <v>207</v>
      </c>
      <c r="G90" s="20" t="s">
        <v>336</v>
      </c>
      <c r="H90" s="20" t="s">
        <v>338</v>
      </c>
      <c r="I90" s="29">
        <v>1</v>
      </c>
      <c r="J90" s="30">
        <v>1</v>
      </c>
      <c r="K90" s="31">
        <v>4.0000000000000001E-3</v>
      </c>
      <c r="L90" s="9">
        <v>306743605.69312102</v>
      </c>
      <c r="M90" s="9">
        <v>306989258.29407001</v>
      </c>
      <c r="N90" s="32">
        <f>MIN(MAX((B90-Calculation_Assumptions!$B$5+1)/Calculation_Assumptions!$B$7,0),1)</f>
        <v>1</v>
      </c>
      <c r="O90" s="21">
        <f t="shared" si="8"/>
        <v>306743605.69312102</v>
      </c>
      <c r="P90" s="21">
        <f t="shared" si="9"/>
        <v>306989258.29407001</v>
      </c>
      <c r="Q90" s="21">
        <f>P90*Calculation_Assumptions!$B$14*J90*K90</f>
        <v>0</v>
      </c>
      <c r="R90" s="21">
        <f t="shared" si="10"/>
        <v>1226974.4227724841</v>
      </c>
      <c r="S90" s="21">
        <f t="shared" si="11"/>
        <v>1226974.4227724841</v>
      </c>
      <c r="T90" s="32">
        <f>1/(1+Calculation_Assumptions!$B$8)^(B90-Calculation_Assumptions!$B$2)</f>
        <v>0.74409391489672516</v>
      </c>
      <c r="U90" s="21">
        <f t="shared" si="12"/>
        <v>0</v>
      </c>
      <c r="V90" s="21">
        <f t="shared" si="13"/>
        <v>912984.20171892724</v>
      </c>
      <c r="W90" s="21">
        <f t="shared" si="14"/>
        <v>912984.20171892724</v>
      </c>
      <c r="X90">
        <v>0</v>
      </c>
      <c r="Y90" s="18">
        <v>2017</v>
      </c>
      <c r="Z90" t="s">
        <v>264</v>
      </c>
      <c r="AA90" s="21">
        <f t="shared" si="15"/>
        <v>1</v>
      </c>
    </row>
    <row r="91" spans="1:27">
      <c r="A91" t="s">
        <v>201</v>
      </c>
      <c r="B91" s="18">
        <v>2036</v>
      </c>
      <c r="C91" t="s">
        <v>201</v>
      </c>
      <c r="D91" s="20" t="s">
        <v>345</v>
      </c>
      <c r="E91" s="20" t="s">
        <v>346</v>
      </c>
      <c r="F91" s="20" t="s">
        <v>207</v>
      </c>
      <c r="G91" s="20" t="s">
        <v>336</v>
      </c>
      <c r="H91" s="20" t="s">
        <v>338</v>
      </c>
      <c r="I91" s="29">
        <v>1</v>
      </c>
      <c r="J91" s="30">
        <v>1</v>
      </c>
      <c r="K91" s="31">
        <v>4.0000000000000001E-3</v>
      </c>
      <c r="L91" s="9">
        <v>308302397.52632201</v>
      </c>
      <c r="M91" s="9">
        <v>308537399.67209399</v>
      </c>
      <c r="N91" s="32">
        <f>MIN(MAX((B91-Calculation_Assumptions!$B$5+1)/Calculation_Assumptions!$B$7,0),1)</f>
        <v>1</v>
      </c>
      <c r="O91" s="21">
        <f t="shared" si="8"/>
        <v>308302397.52632201</v>
      </c>
      <c r="P91" s="21">
        <f t="shared" si="9"/>
        <v>308537399.67209399</v>
      </c>
      <c r="Q91" s="21">
        <f>P91*Calculation_Assumptions!$B$14*J91*K91</f>
        <v>0</v>
      </c>
      <c r="R91" s="21">
        <f t="shared" si="10"/>
        <v>1233209.590105288</v>
      </c>
      <c r="S91" s="21">
        <f t="shared" si="11"/>
        <v>1233209.590105288</v>
      </c>
      <c r="T91" s="32">
        <f>1/(1+Calculation_Assumptions!$B$8)^(B91-Calculation_Assumptions!$B$2)</f>
        <v>0.72242127659876232</v>
      </c>
      <c r="U91" s="21">
        <f t="shared" si="12"/>
        <v>0</v>
      </c>
      <c r="V91" s="21">
        <f t="shared" si="13"/>
        <v>890896.84639769851</v>
      </c>
      <c r="W91" s="21">
        <f t="shared" si="14"/>
        <v>890896.84639769851</v>
      </c>
      <c r="X91">
        <v>0</v>
      </c>
      <c r="Y91" s="18">
        <v>2017</v>
      </c>
      <c r="Z91" t="s">
        <v>264</v>
      </c>
      <c r="AA91" s="21">
        <f t="shared" si="15"/>
        <v>1</v>
      </c>
    </row>
    <row r="92" spans="1:27">
      <c r="A92" t="s">
        <v>201</v>
      </c>
      <c r="B92" s="18">
        <v>2037</v>
      </c>
      <c r="C92" t="s">
        <v>201</v>
      </c>
      <c r="D92" s="20" t="s">
        <v>345</v>
      </c>
      <c r="E92" s="20" t="s">
        <v>346</v>
      </c>
      <c r="F92" s="20" t="s">
        <v>207</v>
      </c>
      <c r="G92" s="20" t="s">
        <v>336</v>
      </c>
      <c r="H92" s="20" t="s">
        <v>338</v>
      </c>
      <c r="I92" s="29">
        <v>1</v>
      </c>
      <c r="J92" s="30">
        <v>1</v>
      </c>
      <c r="K92" s="31">
        <v>4.0000000000000001E-3</v>
      </c>
      <c r="L92" s="9">
        <v>309798095.72739702</v>
      </c>
      <c r="M92" s="9">
        <v>310023120.39347202</v>
      </c>
      <c r="N92" s="32">
        <f>MIN(MAX((B92-Calculation_Assumptions!$B$5+1)/Calculation_Assumptions!$B$7,0),1)</f>
        <v>1</v>
      </c>
      <c r="O92" s="21">
        <f t="shared" si="8"/>
        <v>309798095.72739702</v>
      </c>
      <c r="P92" s="21">
        <f t="shared" si="9"/>
        <v>310023120.39347202</v>
      </c>
      <c r="Q92" s="21">
        <f>P92*Calculation_Assumptions!$B$14*J92*K92</f>
        <v>0</v>
      </c>
      <c r="R92" s="21">
        <f t="shared" si="10"/>
        <v>1239192.3829095881</v>
      </c>
      <c r="S92" s="21">
        <f t="shared" si="11"/>
        <v>1239192.3829095881</v>
      </c>
      <c r="T92" s="32">
        <f>1/(1+Calculation_Assumptions!$B$8)^(B92-Calculation_Assumptions!$B$2)</f>
        <v>0.70137988019297326</v>
      </c>
      <c r="U92" s="21">
        <f t="shared" si="12"/>
        <v>0</v>
      </c>
      <c r="V92" s="21">
        <f t="shared" si="13"/>
        <v>869144.60506117193</v>
      </c>
      <c r="W92" s="21">
        <f t="shared" si="14"/>
        <v>869144.60506117193</v>
      </c>
      <c r="X92">
        <v>0</v>
      </c>
      <c r="Y92" s="18">
        <v>2017</v>
      </c>
      <c r="Z92" t="s">
        <v>264</v>
      </c>
      <c r="AA92" s="21">
        <f t="shared" si="15"/>
        <v>1</v>
      </c>
    </row>
    <row r="93" spans="1:27">
      <c r="A93" t="s">
        <v>201</v>
      </c>
      <c r="B93" s="18">
        <v>2038</v>
      </c>
      <c r="C93" t="s">
        <v>201</v>
      </c>
      <c r="D93" s="20" t="s">
        <v>345</v>
      </c>
      <c r="E93" s="20" t="s">
        <v>346</v>
      </c>
      <c r="F93" s="20" t="s">
        <v>207</v>
      </c>
      <c r="G93" s="20" t="s">
        <v>336</v>
      </c>
      <c r="H93" s="20" t="s">
        <v>338</v>
      </c>
      <c r="I93" s="29">
        <v>1</v>
      </c>
      <c r="J93" s="30">
        <v>1</v>
      </c>
      <c r="K93" s="31">
        <v>4.0000000000000001E-3</v>
      </c>
      <c r="L93" s="9">
        <v>311231614.46089</v>
      </c>
      <c r="M93" s="9">
        <v>311445837.13462502</v>
      </c>
      <c r="N93" s="32">
        <f>MIN(MAX((B93-Calculation_Assumptions!$B$5+1)/Calculation_Assumptions!$B$7,0),1)</f>
        <v>1</v>
      </c>
      <c r="O93" s="21">
        <f t="shared" si="8"/>
        <v>311231614.46089</v>
      </c>
      <c r="P93" s="21">
        <f t="shared" si="9"/>
        <v>311445837.13462502</v>
      </c>
      <c r="Q93" s="21">
        <f>P93*Calculation_Assumptions!$B$14*J93*K93</f>
        <v>0</v>
      </c>
      <c r="R93" s="21">
        <f t="shared" si="10"/>
        <v>1244926.45784356</v>
      </c>
      <c r="S93" s="21">
        <f t="shared" si="11"/>
        <v>1244926.45784356</v>
      </c>
      <c r="T93" s="32">
        <f>1/(1+Calculation_Assumptions!$B$8)^(B93-Calculation_Assumptions!$B$2)</f>
        <v>0.68095133999317792</v>
      </c>
      <c r="U93" s="21">
        <f t="shared" si="12"/>
        <v>0</v>
      </c>
      <c r="V93" s="21">
        <f t="shared" si="13"/>
        <v>847734.33966153266</v>
      </c>
      <c r="W93" s="21">
        <f t="shared" si="14"/>
        <v>847734.33966153266</v>
      </c>
      <c r="X93">
        <v>0</v>
      </c>
      <c r="Y93" s="18">
        <v>2017</v>
      </c>
      <c r="Z93" t="s">
        <v>264</v>
      </c>
      <c r="AA93" s="21">
        <f t="shared" si="15"/>
        <v>1</v>
      </c>
    </row>
    <row r="94" spans="1:27">
      <c r="A94" t="s">
        <v>201</v>
      </c>
      <c r="B94" s="18">
        <v>2039</v>
      </c>
      <c r="C94" t="s">
        <v>201</v>
      </c>
      <c r="D94" s="20" t="s">
        <v>345</v>
      </c>
      <c r="E94" s="20" t="s">
        <v>346</v>
      </c>
      <c r="F94" s="20" t="s">
        <v>207</v>
      </c>
      <c r="G94" s="20" t="s">
        <v>336</v>
      </c>
      <c r="H94" s="20" t="s">
        <v>338</v>
      </c>
      <c r="I94" s="29">
        <v>1</v>
      </c>
      <c r="J94" s="30">
        <v>1</v>
      </c>
      <c r="K94" s="31">
        <v>4.0000000000000001E-3</v>
      </c>
      <c r="L94" s="9">
        <v>312603869.36523098</v>
      </c>
      <c r="M94" s="9">
        <v>312806989.71568501</v>
      </c>
      <c r="N94" s="32">
        <f>MIN(MAX((B94-Calculation_Assumptions!$B$5+1)/Calculation_Assumptions!$B$7,0),1)</f>
        <v>1</v>
      </c>
      <c r="O94" s="21">
        <f t="shared" si="8"/>
        <v>312603869.36523098</v>
      </c>
      <c r="P94" s="21">
        <f t="shared" si="9"/>
        <v>312806989.71568501</v>
      </c>
      <c r="Q94" s="21">
        <f>P94*Calculation_Assumptions!$B$14*J94*K94</f>
        <v>0</v>
      </c>
      <c r="R94" s="21">
        <f t="shared" si="10"/>
        <v>1250415.4774609238</v>
      </c>
      <c r="S94" s="21">
        <f t="shared" si="11"/>
        <v>1250415.4774609238</v>
      </c>
      <c r="T94" s="32">
        <f>1/(1+Calculation_Assumptions!$B$8)^(B94-Calculation_Assumptions!$B$2)</f>
        <v>0.66111780581861923</v>
      </c>
      <c r="U94" s="21">
        <f t="shared" si="12"/>
        <v>0</v>
      </c>
      <c r="V94" s="21">
        <f t="shared" si="13"/>
        <v>826671.93682060705</v>
      </c>
      <c r="W94" s="21">
        <f t="shared" si="14"/>
        <v>826671.93682060705</v>
      </c>
      <c r="X94">
        <v>0</v>
      </c>
      <c r="Y94" s="18">
        <v>2017</v>
      </c>
      <c r="Z94" t="s">
        <v>264</v>
      </c>
      <c r="AA94" s="21">
        <f t="shared" si="15"/>
        <v>1</v>
      </c>
    </row>
    <row r="95" spans="1:27">
      <c r="A95" t="s">
        <v>201</v>
      </c>
      <c r="B95" s="18">
        <v>2040</v>
      </c>
      <c r="C95" t="s">
        <v>201</v>
      </c>
      <c r="D95" s="20" t="s">
        <v>345</v>
      </c>
      <c r="E95" s="20" t="s">
        <v>346</v>
      </c>
      <c r="F95" s="20" t="s">
        <v>207</v>
      </c>
      <c r="G95" s="20" t="s">
        <v>336</v>
      </c>
      <c r="H95" s="20" t="s">
        <v>338</v>
      </c>
      <c r="I95" s="29">
        <v>1</v>
      </c>
      <c r="J95" s="30">
        <v>1</v>
      </c>
      <c r="K95" s="31">
        <v>4.0000000000000001E-3</v>
      </c>
      <c r="L95" s="9">
        <v>313915614.50402498</v>
      </c>
      <c r="M95" s="9">
        <v>314109251.58264899</v>
      </c>
      <c r="N95" s="32">
        <f>MIN(MAX((B95-Calculation_Assumptions!$B$5+1)/Calculation_Assumptions!$B$7,0),1)</f>
        <v>1</v>
      </c>
      <c r="O95" s="21">
        <f t="shared" si="8"/>
        <v>313915614.50402498</v>
      </c>
      <c r="P95" s="21">
        <f t="shared" si="9"/>
        <v>314109251.58264899</v>
      </c>
      <c r="Q95" s="21">
        <f>P95*Calculation_Assumptions!$B$14*J95*K95</f>
        <v>0</v>
      </c>
      <c r="R95" s="21">
        <f t="shared" si="10"/>
        <v>1255662.4580160999</v>
      </c>
      <c r="S95" s="21">
        <f t="shared" si="11"/>
        <v>1255662.4580160999</v>
      </c>
      <c r="T95" s="32">
        <f>1/(1+Calculation_Assumptions!$B$8)^(B95-Calculation_Assumptions!$B$2)</f>
        <v>0.64186194739671765</v>
      </c>
      <c r="U95" s="21">
        <f t="shared" si="12"/>
        <v>0</v>
      </c>
      <c r="V95" s="21">
        <f t="shared" si="13"/>
        <v>805961.95057516312</v>
      </c>
      <c r="W95" s="21">
        <f t="shared" si="14"/>
        <v>805961.95057516312</v>
      </c>
      <c r="X95">
        <v>0</v>
      </c>
      <c r="Y95" s="18">
        <v>2017</v>
      </c>
      <c r="Z95" t="s">
        <v>264</v>
      </c>
      <c r="AA95" s="21">
        <f t="shared" si="15"/>
        <v>1</v>
      </c>
    </row>
    <row r="96" spans="1:27">
      <c r="A96" t="s">
        <v>201</v>
      </c>
      <c r="B96" s="18">
        <v>2041</v>
      </c>
      <c r="C96" t="s">
        <v>201</v>
      </c>
      <c r="D96" s="20" t="s">
        <v>345</v>
      </c>
      <c r="E96" s="20" t="s">
        <v>346</v>
      </c>
      <c r="F96" s="20" t="s">
        <v>207</v>
      </c>
      <c r="G96" s="20" t="s">
        <v>336</v>
      </c>
      <c r="H96" s="20" t="s">
        <v>338</v>
      </c>
      <c r="I96" s="29">
        <v>1</v>
      </c>
      <c r="J96" s="30">
        <v>1</v>
      </c>
      <c r="K96" s="31">
        <v>4.0000000000000001E-3</v>
      </c>
      <c r="L96" s="9">
        <v>315167606.26923698</v>
      </c>
      <c r="M96" s="9">
        <v>315352079.81242299</v>
      </c>
      <c r="N96" s="32">
        <f>MIN(MAX((B96-Calculation_Assumptions!$B$5+1)/Calculation_Assumptions!$B$7,0),1)</f>
        <v>1</v>
      </c>
      <c r="O96" s="21">
        <f t="shared" si="8"/>
        <v>315167606.26923698</v>
      </c>
      <c r="P96" s="21">
        <f t="shared" si="9"/>
        <v>315352079.81242299</v>
      </c>
      <c r="Q96" s="21">
        <f>P96*Calculation_Assumptions!$B$14*J96*K96</f>
        <v>0</v>
      </c>
      <c r="R96" s="21">
        <f t="shared" si="10"/>
        <v>1260670.425076948</v>
      </c>
      <c r="S96" s="21">
        <f t="shared" si="11"/>
        <v>1260670.425076948</v>
      </c>
      <c r="T96" s="32">
        <f>1/(1+Calculation_Assumptions!$B$8)^(B96-Calculation_Assumptions!$B$2)</f>
        <v>0.62316693922011435</v>
      </c>
      <c r="U96" s="21">
        <f t="shared" si="12"/>
        <v>0</v>
      </c>
      <c r="V96" s="21">
        <f t="shared" si="13"/>
        <v>785608.13016052218</v>
      </c>
      <c r="W96" s="21">
        <f t="shared" si="14"/>
        <v>785608.13016052218</v>
      </c>
      <c r="X96">
        <v>0</v>
      </c>
      <c r="Y96" s="18">
        <v>2017</v>
      </c>
      <c r="Z96" t="s">
        <v>264</v>
      </c>
      <c r="AA96" s="21">
        <f t="shared" si="15"/>
        <v>1</v>
      </c>
    </row>
    <row r="97" spans="1:27">
      <c r="A97" t="s">
        <v>201</v>
      </c>
      <c r="B97" s="18">
        <v>2042</v>
      </c>
      <c r="C97" t="s">
        <v>201</v>
      </c>
      <c r="D97" s="20" t="s">
        <v>345</v>
      </c>
      <c r="E97" s="20" t="s">
        <v>346</v>
      </c>
      <c r="F97" s="20" t="s">
        <v>207</v>
      </c>
      <c r="G97" s="20" t="s">
        <v>336</v>
      </c>
      <c r="H97" s="20" t="s">
        <v>338</v>
      </c>
      <c r="I97" s="29">
        <v>1</v>
      </c>
      <c r="J97" s="30">
        <v>1</v>
      </c>
      <c r="K97" s="31">
        <v>4.0000000000000001E-3</v>
      </c>
      <c r="L97" s="9">
        <v>316360314.94658202</v>
      </c>
      <c r="M97" s="9">
        <v>316395286.31201601</v>
      </c>
      <c r="N97" s="32">
        <f>MIN(MAX((B97-Calculation_Assumptions!$B$5+1)/Calculation_Assumptions!$B$7,0),1)</f>
        <v>1</v>
      </c>
      <c r="O97" s="21">
        <f t="shared" si="8"/>
        <v>316360314.94658202</v>
      </c>
      <c r="P97" s="21">
        <f t="shared" si="9"/>
        <v>316395286.31201601</v>
      </c>
      <c r="Q97" s="21">
        <f>P97*Calculation_Assumptions!$B$14*J97*K97</f>
        <v>0</v>
      </c>
      <c r="R97" s="21">
        <f t="shared" si="10"/>
        <v>1265441.2597863281</v>
      </c>
      <c r="S97" s="21">
        <f t="shared" si="11"/>
        <v>1265441.2597863281</v>
      </c>
      <c r="T97" s="32">
        <f>1/(1+Calculation_Assumptions!$B$8)^(B97-Calculation_Assumptions!$B$2)</f>
        <v>0.60501644584477121</v>
      </c>
      <c r="U97" s="21">
        <f t="shared" si="12"/>
        <v>0</v>
      </c>
      <c r="V97" s="21">
        <f t="shared" si="13"/>
        <v>765612.77342125401</v>
      </c>
      <c r="W97" s="21">
        <f t="shared" si="14"/>
        <v>765612.77342125401</v>
      </c>
      <c r="X97">
        <v>0</v>
      </c>
      <c r="Y97" s="18">
        <v>2017</v>
      </c>
      <c r="Z97" t="s">
        <v>264</v>
      </c>
      <c r="AA97" s="21">
        <f t="shared" si="15"/>
        <v>1</v>
      </c>
    </row>
    <row r="98" spans="1:27">
      <c r="A98" t="s">
        <v>201</v>
      </c>
      <c r="B98" s="18">
        <v>2043</v>
      </c>
      <c r="C98" t="s">
        <v>201</v>
      </c>
      <c r="D98" s="20" t="s">
        <v>345</v>
      </c>
      <c r="E98" s="20" t="s">
        <v>346</v>
      </c>
      <c r="F98" s="20" t="s">
        <v>207</v>
      </c>
      <c r="G98" s="20" t="s">
        <v>336</v>
      </c>
      <c r="H98" s="20" t="s">
        <v>338</v>
      </c>
      <c r="I98" s="29">
        <v>1</v>
      </c>
      <c r="J98" s="30">
        <v>1</v>
      </c>
      <c r="K98" s="31">
        <v>4.0000000000000001E-3</v>
      </c>
      <c r="L98" s="9">
        <v>317494019.21349299</v>
      </c>
      <c r="M98" s="9">
        <v>317619735.68828899</v>
      </c>
      <c r="N98" s="32">
        <f>MIN(MAX((B98-Calculation_Assumptions!$B$5+1)/Calculation_Assumptions!$B$7,0),1)</f>
        <v>1</v>
      </c>
      <c r="O98" s="21">
        <f t="shared" si="8"/>
        <v>317494019.21349299</v>
      </c>
      <c r="P98" s="21">
        <f t="shared" si="9"/>
        <v>317619735.68828899</v>
      </c>
      <c r="Q98" s="21">
        <f>P98*Calculation_Assumptions!$B$14*J98*K98</f>
        <v>0</v>
      </c>
      <c r="R98" s="21">
        <f t="shared" si="10"/>
        <v>1269976.0768539719</v>
      </c>
      <c r="S98" s="21">
        <f t="shared" si="11"/>
        <v>1269976.0768539719</v>
      </c>
      <c r="T98" s="32">
        <f>1/(1+Calculation_Assumptions!$B$8)^(B98-Calculation_Assumptions!$B$2)</f>
        <v>0.5873946076162827</v>
      </c>
      <c r="U98" s="21">
        <f t="shared" si="12"/>
        <v>0</v>
      </c>
      <c r="V98" s="21">
        <f t="shared" si="13"/>
        <v>745977.09934570489</v>
      </c>
      <c r="W98" s="21">
        <f t="shared" si="14"/>
        <v>745977.09934570489</v>
      </c>
      <c r="X98">
        <v>0</v>
      </c>
      <c r="Y98" s="18">
        <v>2017</v>
      </c>
      <c r="Z98" t="s">
        <v>264</v>
      </c>
      <c r="AA98" s="21">
        <f t="shared" si="15"/>
        <v>1</v>
      </c>
    </row>
    <row r="99" spans="1:27">
      <c r="A99" t="s">
        <v>201</v>
      </c>
      <c r="B99" s="18">
        <v>2044</v>
      </c>
      <c r="C99" t="s">
        <v>201</v>
      </c>
      <c r="D99" s="20" t="s">
        <v>345</v>
      </c>
      <c r="E99" s="20" t="s">
        <v>346</v>
      </c>
      <c r="F99" s="20" t="s">
        <v>207</v>
      </c>
      <c r="G99" s="20" t="s">
        <v>336</v>
      </c>
      <c r="H99" s="20" t="s">
        <v>338</v>
      </c>
      <c r="I99" s="29">
        <v>1</v>
      </c>
      <c r="J99" s="30">
        <v>1</v>
      </c>
      <c r="K99" s="31">
        <v>4.0000000000000001E-3</v>
      </c>
      <c r="L99" s="9">
        <v>318569318.43273401</v>
      </c>
      <c r="M99" s="9">
        <v>318697135.86365199</v>
      </c>
      <c r="N99" s="32">
        <f>MIN(MAX((B99-Calculation_Assumptions!$B$5+1)/Calculation_Assumptions!$B$7,0),1)</f>
        <v>1</v>
      </c>
      <c r="O99" s="21">
        <f t="shared" si="8"/>
        <v>318569318.43273401</v>
      </c>
      <c r="P99" s="21">
        <f t="shared" si="9"/>
        <v>318697135.86365199</v>
      </c>
      <c r="Q99" s="21">
        <f>P99*Calculation_Assumptions!$B$14*J99*K99</f>
        <v>0</v>
      </c>
      <c r="R99" s="21">
        <f t="shared" si="10"/>
        <v>1274277.273730936</v>
      </c>
      <c r="S99" s="21">
        <f t="shared" si="11"/>
        <v>1274277.273730936</v>
      </c>
      <c r="T99" s="32">
        <f>1/(1+Calculation_Assumptions!$B$8)^(B99-Calculation_Assumptions!$B$2)</f>
        <v>0.57028602681192497</v>
      </c>
      <c r="U99" s="21">
        <f t="shared" si="12"/>
        <v>0</v>
      </c>
      <c r="V99" s="21">
        <f t="shared" si="13"/>
        <v>726702.52349274722</v>
      </c>
      <c r="W99" s="21">
        <f t="shared" si="14"/>
        <v>726702.52349274722</v>
      </c>
      <c r="X99">
        <v>0</v>
      </c>
      <c r="Y99" s="18">
        <v>2017</v>
      </c>
      <c r="Z99" t="s">
        <v>264</v>
      </c>
      <c r="AA99" s="21">
        <f t="shared" si="15"/>
        <v>1</v>
      </c>
    </row>
    <row r="100" spans="1:27">
      <c r="A100" t="s">
        <v>201</v>
      </c>
      <c r="B100" s="18">
        <v>2045</v>
      </c>
      <c r="C100" t="s">
        <v>201</v>
      </c>
      <c r="D100" s="20" t="s">
        <v>345</v>
      </c>
      <c r="E100" s="20" t="s">
        <v>346</v>
      </c>
      <c r="F100" s="20" t="s">
        <v>207</v>
      </c>
      <c r="G100" s="20" t="s">
        <v>336</v>
      </c>
      <c r="H100" s="20" t="s">
        <v>338</v>
      </c>
      <c r="I100" s="29">
        <v>1</v>
      </c>
      <c r="J100" s="30">
        <v>1</v>
      </c>
      <c r="K100" s="31">
        <v>4.0000000000000001E-3</v>
      </c>
      <c r="L100" s="9">
        <v>319587045.79545403</v>
      </c>
      <c r="M100" s="9">
        <v>319717840.85179001</v>
      </c>
      <c r="N100" s="32">
        <f>MIN(MAX((B100-Calculation_Assumptions!$B$5+1)/Calculation_Assumptions!$B$7,0),1)</f>
        <v>1</v>
      </c>
      <c r="O100" s="21">
        <f t="shared" si="8"/>
        <v>319587045.79545403</v>
      </c>
      <c r="P100" s="21">
        <f t="shared" si="9"/>
        <v>319717840.85179001</v>
      </c>
      <c r="Q100" s="21">
        <f>P100*Calculation_Assumptions!$B$14*J100*K100</f>
        <v>0</v>
      </c>
      <c r="R100" s="21">
        <f t="shared" si="10"/>
        <v>1278348.183181816</v>
      </c>
      <c r="S100" s="21">
        <f t="shared" si="11"/>
        <v>1278348.183181816</v>
      </c>
      <c r="T100" s="32">
        <f>1/(1+Calculation_Assumptions!$B$8)^(B100-Calculation_Assumptions!$B$2)</f>
        <v>0.55367575418633497</v>
      </c>
      <c r="U100" s="21">
        <f t="shared" si="12"/>
        <v>0</v>
      </c>
      <c r="V100" s="21">
        <f t="shared" si="13"/>
        <v>707790.39443592308</v>
      </c>
      <c r="W100" s="21">
        <f t="shared" si="14"/>
        <v>707790.39443592308</v>
      </c>
      <c r="X100">
        <v>0</v>
      </c>
      <c r="Y100" s="18">
        <v>2017</v>
      </c>
      <c r="Z100" t="s">
        <v>264</v>
      </c>
      <c r="AA100" s="21">
        <f t="shared" si="15"/>
        <v>1</v>
      </c>
    </row>
    <row r="101" spans="1:27">
      <c r="A101" t="s">
        <v>201</v>
      </c>
      <c r="B101" s="18">
        <v>2046</v>
      </c>
      <c r="C101" t="s">
        <v>201</v>
      </c>
      <c r="D101" s="20" t="s">
        <v>345</v>
      </c>
      <c r="E101" s="20" t="s">
        <v>346</v>
      </c>
      <c r="F101" s="20" t="s">
        <v>207</v>
      </c>
      <c r="G101" s="20" t="s">
        <v>336</v>
      </c>
      <c r="H101" s="20" t="s">
        <v>338</v>
      </c>
      <c r="I101" s="29">
        <v>1</v>
      </c>
      <c r="J101" s="30">
        <v>1</v>
      </c>
      <c r="K101" s="31">
        <v>4.0000000000000001E-3</v>
      </c>
      <c r="L101" s="9">
        <v>320548135.91989702</v>
      </c>
      <c r="M101" s="9">
        <v>320683879.80627602</v>
      </c>
      <c r="N101" s="32">
        <f>MIN(MAX((B101-Calculation_Assumptions!$B$5+1)/Calculation_Assumptions!$B$7,0),1)</f>
        <v>1</v>
      </c>
      <c r="O101" s="21">
        <f t="shared" si="8"/>
        <v>320548135.91989702</v>
      </c>
      <c r="P101" s="21">
        <f t="shared" si="9"/>
        <v>320683879.80627602</v>
      </c>
      <c r="Q101" s="21">
        <f>P101*Calculation_Assumptions!$B$14*J101*K101</f>
        <v>0</v>
      </c>
      <c r="R101" s="21">
        <f t="shared" si="10"/>
        <v>1282192.543679588</v>
      </c>
      <c r="S101" s="21">
        <f t="shared" si="11"/>
        <v>1282192.543679588</v>
      </c>
      <c r="T101" s="32">
        <f>1/(1+Calculation_Assumptions!$B$8)^(B101-Calculation_Assumptions!$B$2)</f>
        <v>0.5375492759090631</v>
      </c>
      <c r="U101" s="21">
        <f t="shared" si="12"/>
        <v>0</v>
      </c>
      <c r="V101" s="21">
        <f t="shared" si="13"/>
        <v>689241.67343096226</v>
      </c>
      <c r="W101" s="21">
        <f t="shared" si="14"/>
        <v>689241.67343096226</v>
      </c>
      <c r="X101">
        <v>0</v>
      </c>
      <c r="Y101" s="18">
        <v>2017</v>
      </c>
      <c r="Z101" t="s">
        <v>264</v>
      </c>
      <c r="AA101" s="21">
        <f t="shared" si="15"/>
        <v>1</v>
      </c>
    </row>
    <row r="102" spans="1:27">
      <c r="A102" t="s">
        <v>201</v>
      </c>
      <c r="B102" s="18">
        <v>2047</v>
      </c>
      <c r="C102" t="s">
        <v>201</v>
      </c>
      <c r="D102" s="20" t="s">
        <v>345</v>
      </c>
      <c r="E102" s="20" t="s">
        <v>346</v>
      </c>
      <c r="F102" s="20" t="s">
        <v>207</v>
      </c>
      <c r="G102" s="20" t="s">
        <v>336</v>
      </c>
      <c r="H102" s="20" t="s">
        <v>338</v>
      </c>
      <c r="I102" s="29">
        <v>1</v>
      </c>
      <c r="J102" s="30">
        <v>1</v>
      </c>
      <c r="K102" s="31">
        <v>4.0000000000000001E-3</v>
      </c>
      <c r="L102" s="9">
        <v>321453592.03905201</v>
      </c>
      <c r="M102" s="9">
        <v>321595541.38952601</v>
      </c>
      <c r="N102" s="32">
        <f>MIN(MAX((B102-Calculation_Assumptions!$B$5+1)/Calculation_Assumptions!$B$7,0),1)</f>
        <v>1</v>
      </c>
      <c r="O102" s="21">
        <f t="shared" si="8"/>
        <v>321453592.03905201</v>
      </c>
      <c r="P102" s="21">
        <f t="shared" si="9"/>
        <v>321595541.38952601</v>
      </c>
      <c r="Q102" s="21">
        <f>P102*Calculation_Assumptions!$B$14*J102*K102</f>
        <v>0</v>
      </c>
      <c r="R102" s="21">
        <f t="shared" si="10"/>
        <v>1285814.368156208</v>
      </c>
      <c r="S102" s="21">
        <f t="shared" si="11"/>
        <v>1285814.368156208</v>
      </c>
      <c r="T102" s="32">
        <f>1/(1+Calculation_Assumptions!$B$8)^(B102-Calculation_Assumptions!$B$2)</f>
        <v>0.52189250088258554</v>
      </c>
      <c r="U102" s="21">
        <f t="shared" si="12"/>
        <v>0</v>
      </c>
      <c r="V102" s="21">
        <f t="shared" si="13"/>
        <v>671056.87626780488</v>
      </c>
      <c r="W102" s="21">
        <f t="shared" si="14"/>
        <v>671056.87626780488</v>
      </c>
      <c r="X102">
        <v>0</v>
      </c>
      <c r="Y102" s="18">
        <v>2017</v>
      </c>
      <c r="Z102" t="s">
        <v>264</v>
      </c>
      <c r="AA102" s="21">
        <f t="shared" si="15"/>
        <v>1</v>
      </c>
    </row>
    <row r="103" spans="1:27">
      <c r="A103" t="s">
        <v>201</v>
      </c>
      <c r="B103" s="18">
        <v>2048</v>
      </c>
      <c r="C103" t="s">
        <v>201</v>
      </c>
      <c r="D103" s="20" t="s">
        <v>345</v>
      </c>
      <c r="E103" s="20" t="s">
        <v>346</v>
      </c>
      <c r="F103" s="20" t="s">
        <v>207</v>
      </c>
      <c r="G103" s="20" t="s">
        <v>336</v>
      </c>
      <c r="H103" s="20" t="s">
        <v>338</v>
      </c>
      <c r="I103" s="29">
        <v>1</v>
      </c>
      <c r="J103" s="30">
        <v>1</v>
      </c>
      <c r="K103" s="31">
        <v>4.0000000000000001E-3</v>
      </c>
      <c r="L103" s="9">
        <v>322304491.31480098</v>
      </c>
      <c r="M103" s="9">
        <v>322453622.66946399</v>
      </c>
      <c r="N103" s="32">
        <f>MIN(MAX((B103-Calculation_Assumptions!$B$5+1)/Calculation_Assumptions!$B$7,0),1)</f>
        <v>1</v>
      </c>
      <c r="O103" s="21">
        <f t="shared" si="8"/>
        <v>322304491.31480098</v>
      </c>
      <c r="P103" s="21">
        <f t="shared" si="9"/>
        <v>322453622.66946399</v>
      </c>
      <c r="Q103" s="21">
        <f>P103*Calculation_Assumptions!$B$14*J103*K103</f>
        <v>0</v>
      </c>
      <c r="R103" s="21">
        <f t="shared" si="10"/>
        <v>1289217.9652592039</v>
      </c>
      <c r="S103" s="21">
        <f t="shared" si="11"/>
        <v>1289217.9652592039</v>
      </c>
      <c r="T103" s="32">
        <f>1/(1+Calculation_Assumptions!$B$8)^(B103-Calculation_Assumptions!$B$2)</f>
        <v>0.50669174842969467</v>
      </c>
      <c r="U103" s="21">
        <f t="shared" si="12"/>
        <v>0</v>
      </c>
      <c r="V103" s="21">
        <f t="shared" si="13"/>
        <v>653236.10492415936</v>
      </c>
      <c r="W103" s="21">
        <f t="shared" si="14"/>
        <v>653236.10492415936</v>
      </c>
      <c r="X103">
        <v>0</v>
      </c>
      <c r="Y103" s="18">
        <v>2017</v>
      </c>
      <c r="Z103" t="s">
        <v>264</v>
      </c>
      <c r="AA103" s="21">
        <f t="shared" si="15"/>
        <v>1</v>
      </c>
    </row>
    <row r="104" spans="1:27">
      <c r="A104" t="s">
        <v>201</v>
      </c>
      <c r="B104" s="18">
        <v>2049</v>
      </c>
      <c r="C104" t="s">
        <v>201</v>
      </c>
      <c r="D104" s="20" t="s">
        <v>345</v>
      </c>
      <c r="E104" s="20" t="s">
        <v>346</v>
      </c>
      <c r="F104" s="20" t="s">
        <v>207</v>
      </c>
      <c r="G104" s="20" t="s">
        <v>336</v>
      </c>
      <c r="H104" s="20" t="s">
        <v>338</v>
      </c>
      <c r="I104" s="29">
        <v>1</v>
      </c>
      <c r="J104" s="30">
        <v>1</v>
      </c>
      <c r="K104" s="31">
        <v>4.0000000000000001E-3</v>
      </c>
      <c r="L104" s="9">
        <v>323102073.21120501</v>
      </c>
      <c r="M104" s="9">
        <v>323259246.71671897</v>
      </c>
      <c r="N104" s="32">
        <f>MIN(MAX((B104-Calculation_Assumptions!$B$5+1)/Calculation_Assumptions!$B$7,0),1)</f>
        <v>1</v>
      </c>
      <c r="O104" s="21">
        <f t="shared" si="8"/>
        <v>323102073.21120501</v>
      </c>
      <c r="P104" s="21">
        <f t="shared" si="9"/>
        <v>323259246.71671897</v>
      </c>
      <c r="Q104" s="21">
        <f>P104*Calculation_Assumptions!$B$14*J104*K104</f>
        <v>0</v>
      </c>
      <c r="R104" s="21">
        <f t="shared" si="10"/>
        <v>1292408.2928448201</v>
      </c>
      <c r="S104" s="21">
        <f t="shared" si="11"/>
        <v>1292408.2928448201</v>
      </c>
      <c r="T104" s="32">
        <f>1/(1+Calculation_Assumptions!$B$8)^(B104-Calculation_Assumptions!$B$2)</f>
        <v>0.49193373633950943</v>
      </c>
      <c r="U104" s="21">
        <f t="shared" si="12"/>
        <v>0</v>
      </c>
      <c r="V104" s="21">
        <f t="shared" si="13"/>
        <v>635779.24037531926</v>
      </c>
      <c r="W104" s="21">
        <f t="shared" si="14"/>
        <v>635779.24037531926</v>
      </c>
      <c r="X104">
        <v>0</v>
      </c>
      <c r="Y104" s="18">
        <v>2017</v>
      </c>
      <c r="Z104" t="s">
        <v>264</v>
      </c>
      <c r="AA104" s="21">
        <f t="shared" si="15"/>
        <v>1</v>
      </c>
    </row>
    <row r="105" spans="1:27">
      <c r="A105" t="s">
        <v>201</v>
      </c>
      <c r="B105" s="18">
        <v>2050</v>
      </c>
      <c r="C105" t="s">
        <v>201</v>
      </c>
      <c r="D105" s="20" t="s">
        <v>345</v>
      </c>
      <c r="E105" s="20" t="s">
        <v>346</v>
      </c>
      <c r="F105" s="20" t="s">
        <v>207</v>
      </c>
      <c r="G105" s="20" t="s">
        <v>336</v>
      </c>
      <c r="H105" s="20" t="s">
        <v>338</v>
      </c>
      <c r="I105" s="29">
        <v>1</v>
      </c>
      <c r="J105" s="30">
        <v>1</v>
      </c>
      <c r="K105" s="31">
        <v>4.0000000000000001E-3</v>
      </c>
      <c r="L105" s="9">
        <v>323847783.41789699</v>
      </c>
      <c r="M105" s="9">
        <v>324013738.18247902</v>
      </c>
      <c r="N105" s="32">
        <f>MIN(MAX((B105-Calculation_Assumptions!$B$5+1)/Calculation_Assumptions!$B$7,0),1)</f>
        <v>1</v>
      </c>
      <c r="O105" s="21">
        <f t="shared" si="8"/>
        <v>323847783.41789699</v>
      </c>
      <c r="P105" s="21">
        <f t="shared" si="9"/>
        <v>324013738.18247902</v>
      </c>
      <c r="Q105" s="21">
        <f>P105*Calculation_Assumptions!$B$14*J105*K105</f>
        <v>0</v>
      </c>
      <c r="R105" s="21">
        <f t="shared" si="10"/>
        <v>1295391.133671588</v>
      </c>
      <c r="S105" s="21">
        <f t="shared" si="11"/>
        <v>1295391.133671588</v>
      </c>
      <c r="T105" s="32">
        <f>1/(1+Calculation_Assumptions!$B$8)^(B105-Calculation_Assumptions!$B$2)</f>
        <v>0.47760556926165965</v>
      </c>
      <c r="U105" s="21">
        <f t="shared" si="12"/>
        <v>0</v>
      </c>
      <c r="V105" s="21">
        <f t="shared" si="13"/>
        <v>618686.01981372549</v>
      </c>
      <c r="W105" s="21">
        <f t="shared" si="14"/>
        <v>618686.01981372549</v>
      </c>
      <c r="X105">
        <v>0</v>
      </c>
      <c r="Y105" s="18">
        <v>2017</v>
      </c>
      <c r="Z105" t="s">
        <v>264</v>
      </c>
      <c r="AA105" s="21">
        <f t="shared" si="15"/>
        <v>1</v>
      </c>
    </row>
    <row r="106" spans="1:27">
      <c r="A106" t="s">
        <v>212</v>
      </c>
      <c r="B106" s="18">
        <v>2025</v>
      </c>
      <c r="C106" t="s">
        <v>212</v>
      </c>
      <c r="D106" s="20" t="s">
        <v>352</v>
      </c>
      <c r="E106" s="20" t="s">
        <v>353</v>
      </c>
      <c r="F106" s="20" t="s">
        <v>218</v>
      </c>
      <c r="G106" s="20" t="s">
        <v>336</v>
      </c>
      <c r="H106" s="20" t="s">
        <v>338</v>
      </c>
      <c r="I106" s="29">
        <v>1</v>
      </c>
      <c r="J106" s="30">
        <v>1</v>
      </c>
      <c r="K106" s="31">
        <v>2.3099999999999999E-2</v>
      </c>
      <c r="L106" s="9">
        <v>288000821.106462</v>
      </c>
      <c r="M106" s="9">
        <v>288000821.106462</v>
      </c>
      <c r="N106" s="32">
        <f>MIN(MAX((B106-Calculation_Assumptions!$B$5+1)/Calculation_Assumptions!$B$7,0),1)</f>
        <v>0</v>
      </c>
      <c r="O106" s="21">
        <f t="shared" si="8"/>
        <v>288000821.106462</v>
      </c>
      <c r="P106" s="21">
        <f t="shared" si="9"/>
        <v>288000821.106462</v>
      </c>
      <c r="Q106" s="21">
        <f>P106*Calculation_Assumptions!$B$14*J106*K106</f>
        <v>0</v>
      </c>
      <c r="R106" s="21">
        <f t="shared" si="10"/>
        <v>0</v>
      </c>
      <c r="S106" s="21">
        <f t="shared" si="11"/>
        <v>0</v>
      </c>
      <c r="T106" s="32">
        <f>1/(1+Calculation_Assumptions!$B$8)^(B106-Calculation_Assumptions!$B$2)</f>
        <v>1</v>
      </c>
      <c r="U106" s="21">
        <f t="shared" si="12"/>
        <v>0</v>
      </c>
      <c r="V106" s="21">
        <f t="shared" si="13"/>
        <v>0</v>
      </c>
      <c r="W106" s="21">
        <f t="shared" si="14"/>
        <v>0</v>
      </c>
      <c r="X106">
        <v>0</v>
      </c>
      <c r="Y106" s="18">
        <v>2017</v>
      </c>
      <c r="Z106" t="s">
        <v>264</v>
      </c>
      <c r="AA106" s="21">
        <f t="shared" si="15"/>
        <v>1</v>
      </c>
    </row>
    <row r="107" spans="1:27">
      <c r="A107" t="s">
        <v>212</v>
      </c>
      <c r="B107" s="18">
        <v>2026</v>
      </c>
      <c r="C107" t="s">
        <v>212</v>
      </c>
      <c r="D107" s="20" t="s">
        <v>352</v>
      </c>
      <c r="E107" s="20" t="s">
        <v>353</v>
      </c>
      <c r="F107" s="20" t="s">
        <v>218</v>
      </c>
      <c r="G107" s="20" t="s">
        <v>336</v>
      </c>
      <c r="H107" s="20" t="s">
        <v>338</v>
      </c>
      <c r="I107" s="29">
        <v>1</v>
      </c>
      <c r="J107" s="30">
        <v>1</v>
      </c>
      <c r="K107" s="31">
        <v>2.3099999999999999E-2</v>
      </c>
      <c r="L107" s="9">
        <v>290123496.10321897</v>
      </c>
      <c r="M107" s="9">
        <v>290123496.10321897</v>
      </c>
      <c r="N107" s="32">
        <f>MIN(MAX((B107-Calculation_Assumptions!$B$5+1)/Calculation_Assumptions!$B$7,0),1)</f>
        <v>0.33333333333333331</v>
      </c>
      <c r="O107" s="21">
        <f t="shared" si="8"/>
        <v>290123496.10321897</v>
      </c>
      <c r="P107" s="21">
        <f t="shared" si="9"/>
        <v>290123496.10321897</v>
      </c>
      <c r="Q107" s="21">
        <f>P107*Calculation_Assumptions!$B$14*J107*K107</f>
        <v>0</v>
      </c>
      <c r="R107" s="21">
        <f t="shared" si="10"/>
        <v>2233950.9199947859</v>
      </c>
      <c r="S107" s="21">
        <f t="shared" si="11"/>
        <v>2233950.9199947859</v>
      </c>
      <c r="T107" s="32">
        <f>1/(1+Calculation_Assumptions!$B$8)^(B107-Calculation_Assumptions!$B$2)</f>
        <v>0.970873786407767</v>
      </c>
      <c r="U107" s="21">
        <f t="shared" si="12"/>
        <v>0</v>
      </c>
      <c r="V107" s="21">
        <f t="shared" si="13"/>
        <v>2168884.3883444523</v>
      </c>
      <c r="W107" s="21">
        <f t="shared" si="14"/>
        <v>2168884.3883444523</v>
      </c>
      <c r="X107">
        <v>0</v>
      </c>
      <c r="Y107" s="18">
        <v>2017</v>
      </c>
      <c r="Z107" t="s">
        <v>264</v>
      </c>
      <c r="AA107" s="21">
        <f t="shared" si="15"/>
        <v>1</v>
      </c>
    </row>
    <row r="108" spans="1:27">
      <c r="A108" t="s">
        <v>212</v>
      </c>
      <c r="B108" s="18">
        <v>2027</v>
      </c>
      <c r="C108" t="s">
        <v>212</v>
      </c>
      <c r="D108" s="20" t="s">
        <v>352</v>
      </c>
      <c r="E108" s="20" t="s">
        <v>353</v>
      </c>
      <c r="F108" s="20" t="s">
        <v>218</v>
      </c>
      <c r="G108" s="20" t="s">
        <v>336</v>
      </c>
      <c r="H108" s="20" t="s">
        <v>338</v>
      </c>
      <c r="I108" s="29">
        <v>1</v>
      </c>
      <c r="J108" s="30">
        <v>1</v>
      </c>
      <c r="K108" s="31">
        <v>2.3099999999999999E-2</v>
      </c>
      <c r="L108" s="9">
        <v>292252895.09695601</v>
      </c>
      <c r="M108" s="9">
        <v>292252895.09695601</v>
      </c>
      <c r="N108" s="32">
        <f>MIN(MAX((B108-Calculation_Assumptions!$B$5+1)/Calculation_Assumptions!$B$7,0),1)</f>
        <v>0.66666666666666663</v>
      </c>
      <c r="O108" s="21">
        <f t="shared" si="8"/>
        <v>292252895.09695601</v>
      </c>
      <c r="P108" s="21">
        <f t="shared" si="9"/>
        <v>292252895.09695601</v>
      </c>
      <c r="Q108" s="21">
        <f>P108*Calculation_Assumptions!$B$14*J108*K108</f>
        <v>0</v>
      </c>
      <c r="R108" s="21">
        <f t="shared" si="10"/>
        <v>4500694.5844931221</v>
      </c>
      <c r="S108" s="21">
        <f t="shared" si="11"/>
        <v>4500694.5844931221</v>
      </c>
      <c r="T108" s="32">
        <f>1/(1+Calculation_Assumptions!$B$8)^(B108-Calculation_Assumptions!$B$2)</f>
        <v>0.94259590913375435</v>
      </c>
      <c r="U108" s="21">
        <f t="shared" si="12"/>
        <v>0</v>
      </c>
      <c r="V108" s="21">
        <f t="shared" si="13"/>
        <v>4242336.3036036594</v>
      </c>
      <c r="W108" s="21">
        <f t="shared" si="14"/>
        <v>4242336.3036036594</v>
      </c>
      <c r="X108">
        <v>0</v>
      </c>
      <c r="Y108" s="18">
        <v>2017</v>
      </c>
      <c r="Z108" t="s">
        <v>264</v>
      </c>
      <c r="AA108" s="21">
        <f t="shared" si="15"/>
        <v>1</v>
      </c>
    </row>
    <row r="109" spans="1:27">
      <c r="A109" t="s">
        <v>212</v>
      </c>
      <c r="B109" s="18">
        <v>2028</v>
      </c>
      <c r="C109" t="s">
        <v>212</v>
      </c>
      <c r="D109" s="20" t="s">
        <v>352</v>
      </c>
      <c r="E109" s="20" t="s">
        <v>353</v>
      </c>
      <c r="F109" s="20" t="s">
        <v>218</v>
      </c>
      <c r="G109" s="20" t="s">
        <v>336</v>
      </c>
      <c r="H109" s="20" t="s">
        <v>338</v>
      </c>
      <c r="I109" s="29">
        <v>1</v>
      </c>
      <c r="J109" s="30">
        <v>1</v>
      </c>
      <c r="K109" s="31">
        <v>2.3099999999999999E-2</v>
      </c>
      <c r="L109" s="9">
        <v>294314895.30546498</v>
      </c>
      <c r="M109" s="9">
        <v>294314895.30546498</v>
      </c>
      <c r="N109" s="32">
        <f>MIN(MAX((B109-Calculation_Assumptions!$B$5+1)/Calculation_Assumptions!$B$7,0),1)</f>
        <v>1</v>
      </c>
      <c r="O109" s="21">
        <f t="shared" si="8"/>
        <v>294314895.30546498</v>
      </c>
      <c r="P109" s="21">
        <f t="shared" si="9"/>
        <v>294314895.30546498</v>
      </c>
      <c r="Q109" s="21">
        <f>P109*Calculation_Assumptions!$B$14*J109*K109</f>
        <v>0</v>
      </c>
      <c r="R109" s="21">
        <f t="shared" si="10"/>
        <v>6798674.081556241</v>
      </c>
      <c r="S109" s="21">
        <f t="shared" si="11"/>
        <v>6798674.081556241</v>
      </c>
      <c r="T109" s="32">
        <f>1/(1+Calculation_Assumptions!$B$8)^(B109-Calculation_Assumptions!$B$2)</f>
        <v>0.91514165935315961</v>
      </c>
      <c r="U109" s="21">
        <f t="shared" si="12"/>
        <v>0</v>
      </c>
      <c r="V109" s="21">
        <f t="shared" si="13"/>
        <v>6221749.8803966967</v>
      </c>
      <c r="W109" s="21">
        <f t="shared" si="14"/>
        <v>6221749.8803966967</v>
      </c>
      <c r="X109">
        <v>0</v>
      </c>
      <c r="Y109" s="18">
        <v>2017</v>
      </c>
      <c r="Z109" t="s">
        <v>264</v>
      </c>
      <c r="AA109" s="21">
        <f t="shared" si="15"/>
        <v>1</v>
      </c>
    </row>
    <row r="110" spans="1:27">
      <c r="A110" t="s">
        <v>212</v>
      </c>
      <c r="B110" s="18">
        <v>2029</v>
      </c>
      <c r="C110" t="s">
        <v>212</v>
      </c>
      <c r="D110" s="20" t="s">
        <v>352</v>
      </c>
      <c r="E110" s="20" t="s">
        <v>353</v>
      </c>
      <c r="F110" s="20" t="s">
        <v>218</v>
      </c>
      <c r="G110" s="20" t="s">
        <v>336</v>
      </c>
      <c r="H110" s="20" t="s">
        <v>338</v>
      </c>
      <c r="I110" s="29">
        <v>1</v>
      </c>
      <c r="J110" s="30">
        <v>1</v>
      </c>
      <c r="K110" s="31">
        <v>2.3099999999999999E-2</v>
      </c>
      <c r="L110" s="9">
        <v>296341292.47732103</v>
      </c>
      <c r="M110" s="9">
        <v>296341062.542853</v>
      </c>
      <c r="N110" s="32">
        <f>MIN(MAX((B110-Calculation_Assumptions!$B$5+1)/Calculation_Assumptions!$B$7,0),1)</f>
        <v>1</v>
      </c>
      <c r="O110" s="21">
        <f t="shared" si="8"/>
        <v>296341292.47732103</v>
      </c>
      <c r="P110" s="21">
        <f t="shared" si="9"/>
        <v>296341062.542853</v>
      </c>
      <c r="Q110" s="21">
        <f>P110*Calculation_Assumptions!$B$14*J110*K110</f>
        <v>0</v>
      </c>
      <c r="R110" s="21">
        <f t="shared" si="10"/>
        <v>6845483.8562261155</v>
      </c>
      <c r="S110" s="21">
        <f t="shared" si="11"/>
        <v>6845483.8562261155</v>
      </c>
      <c r="T110" s="32">
        <f>1/(1+Calculation_Assumptions!$B$8)^(B110-Calculation_Assumptions!$B$2)</f>
        <v>0.888487047915689</v>
      </c>
      <c r="U110" s="21">
        <f t="shared" si="12"/>
        <v>0</v>
      </c>
      <c r="V110" s="21">
        <f t="shared" si="13"/>
        <v>6082123.742972848</v>
      </c>
      <c r="W110" s="21">
        <f t="shared" si="14"/>
        <v>6082123.742972848</v>
      </c>
      <c r="X110">
        <v>0</v>
      </c>
      <c r="Y110" s="18">
        <v>2017</v>
      </c>
      <c r="Z110" t="s">
        <v>264</v>
      </c>
      <c r="AA110" s="21">
        <f t="shared" si="15"/>
        <v>1</v>
      </c>
    </row>
    <row r="111" spans="1:27">
      <c r="A111" t="s">
        <v>212</v>
      </c>
      <c r="B111" s="18">
        <v>2030</v>
      </c>
      <c r="C111" t="s">
        <v>212</v>
      </c>
      <c r="D111" s="20" t="s">
        <v>352</v>
      </c>
      <c r="E111" s="20" t="s">
        <v>353</v>
      </c>
      <c r="F111" s="20" t="s">
        <v>218</v>
      </c>
      <c r="G111" s="20" t="s">
        <v>336</v>
      </c>
      <c r="H111" s="20" t="s">
        <v>338</v>
      </c>
      <c r="I111" s="29">
        <v>1</v>
      </c>
      <c r="J111" s="30">
        <v>1</v>
      </c>
      <c r="K111" s="31">
        <v>2.3099999999999999E-2</v>
      </c>
      <c r="L111" s="9">
        <v>298281123.67891997</v>
      </c>
      <c r="M111" s="9">
        <v>298280286.05726302</v>
      </c>
      <c r="N111" s="32">
        <f>MIN(MAX((B111-Calculation_Assumptions!$B$5+1)/Calculation_Assumptions!$B$7,0),1)</f>
        <v>1</v>
      </c>
      <c r="O111" s="21">
        <f t="shared" si="8"/>
        <v>298281123.67891997</v>
      </c>
      <c r="P111" s="21">
        <f t="shared" si="9"/>
        <v>298280286.05726302</v>
      </c>
      <c r="Q111" s="21">
        <f>P111*Calculation_Assumptions!$B$14*J111*K111</f>
        <v>0</v>
      </c>
      <c r="R111" s="21">
        <f t="shared" si="10"/>
        <v>6890293.9569830513</v>
      </c>
      <c r="S111" s="21">
        <f t="shared" si="11"/>
        <v>6890293.9569830513</v>
      </c>
      <c r="T111" s="32">
        <f>1/(1+Calculation_Assumptions!$B$8)^(B111-Calculation_Assumptions!$B$2)</f>
        <v>0.86260878438416411</v>
      </c>
      <c r="U111" s="21">
        <f t="shared" si="12"/>
        <v>0</v>
      </c>
      <c r="V111" s="21">
        <f t="shared" si="13"/>
        <v>5943628.0942827016</v>
      </c>
      <c r="W111" s="21">
        <f t="shared" si="14"/>
        <v>5943628.0942827016</v>
      </c>
      <c r="X111">
        <v>0</v>
      </c>
      <c r="Y111" s="18">
        <v>2017</v>
      </c>
      <c r="Z111" t="s">
        <v>264</v>
      </c>
      <c r="AA111" s="21">
        <f t="shared" si="15"/>
        <v>1</v>
      </c>
    </row>
    <row r="112" spans="1:27">
      <c r="A112" t="s">
        <v>212</v>
      </c>
      <c r="B112" s="18">
        <v>2031</v>
      </c>
      <c r="C112" t="s">
        <v>212</v>
      </c>
      <c r="D112" s="20" t="s">
        <v>352</v>
      </c>
      <c r="E112" s="20" t="s">
        <v>353</v>
      </c>
      <c r="F112" s="20" t="s">
        <v>218</v>
      </c>
      <c r="G112" s="20" t="s">
        <v>336</v>
      </c>
      <c r="H112" s="20" t="s">
        <v>338</v>
      </c>
      <c r="I112" s="29">
        <v>1</v>
      </c>
      <c r="J112" s="30">
        <v>1</v>
      </c>
      <c r="K112" s="31">
        <v>2.3099999999999999E-2</v>
      </c>
      <c r="L112" s="9">
        <v>300154539.09870702</v>
      </c>
      <c r="M112" s="9">
        <v>300152603.25478202</v>
      </c>
      <c r="N112" s="32">
        <f>MIN(MAX((B112-Calculation_Assumptions!$B$5+1)/Calculation_Assumptions!$B$7,0),1)</f>
        <v>1</v>
      </c>
      <c r="O112" s="21">
        <f t="shared" si="8"/>
        <v>300154539.09870702</v>
      </c>
      <c r="P112" s="21">
        <f t="shared" si="9"/>
        <v>300152603.25478202</v>
      </c>
      <c r="Q112" s="21">
        <f>P112*Calculation_Assumptions!$B$14*J112*K112</f>
        <v>0</v>
      </c>
      <c r="R112" s="21">
        <f t="shared" si="10"/>
        <v>6933569.8531801319</v>
      </c>
      <c r="S112" s="21">
        <f t="shared" si="11"/>
        <v>6933569.8531801319</v>
      </c>
      <c r="T112" s="32">
        <f>1/(1+Calculation_Assumptions!$B$8)^(B112-Calculation_Assumptions!$B$2)</f>
        <v>0.83748425668365445</v>
      </c>
      <c r="U112" s="21">
        <f t="shared" si="12"/>
        <v>0</v>
      </c>
      <c r="V112" s="21">
        <f t="shared" si="13"/>
        <v>5806755.5946547575</v>
      </c>
      <c r="W112" s="21">
        <f t="shared" si="14"/>
        <v>5806755.5946547575</v>
      </c>
      <c r="X112">
        <v>0</v>
      </c>
      <c r="Y112" s="18">
        <v>2017</v>
      </c>
      <c r="Z112" t="s">
        <v>264</v>
      </c>
      <c r="AA112" s="21">
        <f t="shared" si="15"/>
        <v>1</v>
      </c>
    </row>
    <row r="113" spans="1:27">
      <c r="A113" t="s">
        <v>212</v>
      </c>
      <c r="B113" s="18">
        <v>2032</v>
      </c>
      <c r="C113" t="s">
        <v>212</v>
      </c>
      <c r="D113" s="20" t="s">
        <v>352</v>
      </c>
      <c r="E113" s="20" t="s">
        <v>353</v>
      </c>
      <c r="F113" s="20" t="s">
        <v>218</v>
      </c>
      <c r="G113" s="20" t="s">
        <v>336</v>
      </c>
      <c r="H113" s="20" t="s">
        <v>338</v>
      </c>
      <c r="I113" s="29">
        <v>1</v>
      </c>
      <c r="J113" s="30">
        <v>1</v>
      </c>
      <c r="K113" s="31">
        <v>2.3099999999999999E-2</v>
      </c>
      <c r="L113" s="9">
        <v>301963010.65878999</v>
      </c>
      <c r="M113" s="9">
        <v>301959399.63388801</v>
      </c>
      <c r="N113" s="32">
        <f>MIN(MAX((B113-Calculation_Assumptions!$B$5+1)/Calculation_Assumptions!$B$7,0),1)</f>
        <v>1</v>
      </c>
      <c r="O113" s="21">
        <f t="shared" si="8"/>
        <v>301963010.65878999</v>
      </c>
      <c r="P113" s="21">
        <f t="shared" si="9"/>
        <v>301959399.63388801</v>
      </c>
      <c r="Q113" s="21">
        <f>P113*Calculation_Assumptions!$B$14*J113*K113</f>
        <v>0</v>
      </c>
      <c r="R113" s="21">
        <f t="shared" si="10"/>
        <v>6975345.5462180488</v>
      </c>
      <c r="S113" s="21">
        <f t="shared" si="11"/>
        <v>6975345.5462180488</v>
      </c>
      <c r="T113" s="32">
        <f>1/(1+Calculation_Assumptions!$B$8)^(B113-Calculation_Assumptions!$B$2)</f>
        <v>0.81309151134335378</v>
      </c>
      <c r="U113" s="21">
        <f t="shared" si="12"/>
        <v>0</v>
      </c>
      <c r="V113" s="21">
        <f t="shared" si="13"/>
        <v>5671594.2523165653</v>
      </c>
      <c r="W113" s="21">
        <f t="shared" si="14"/>
        <v>5671594.2523165653</v>
      </c>
      <c r="X113">
        <v>0</v>
      </c>
      <c r="Y113" s="18">
        <v>2017</v>
      </c>
      <c r="Z113" t="s">
        <v>264</v>
      </c>
      <c r="AA113" s="21">
        <f t="shared" si="15"/>
        <v>1</v>
      </c>
    </row>
    <row r="114" spans="1:27">
      <c r="A114" t="s">
        <v>212</v>
      </c>
      <c r="B114" s="18">
        <v>2033</v>
      </c>
      <c r="C114" t="s">
        <v>212</v>
      </c>
      <c r="D114" s="20" t="s">
        <v>352</v>
      </c>
      <c r="E114" s="20" t="s">
        <v>353</v>
      </c>
      <c r="F114" s="20" t="s">
        <v>218</v>
      </c>
      <c r="G114" s="20" t="s">
        <v>336</v>
      </c>
      <c r="H114" s="20" t="s">
        <v>338</v>
      </c>
      <c r="I114" s="29">
        <v>1</v>
      </c>
      <c r="J114" s="30">
        <v>1</v>
      </c>
      <c r="K114" s="31">
        <v>2.3099999999999999E-2</v>
      </c>
      <c r="L114" s="9">
        <v>303625369.00098997</v>
      </c>
      <c r="M114" s="9">
        <v>303701035.20205098</v>
      </c>
      <c r="N114" s="32">
        <f>MIN(MAX((B114-Calculation_Assumptions!$B$5+1)/Calculation_Assumptions!$B$7,0),1)</f>
        <v>1</v>
      </c>
      <c r="O114" s="21">
        <f t="shared" si="8"/>
        <v>303625369.00098997</v>
      </c>
      <c r="P114" s="21">
        <f t="shared" si="9"/>
        <v>303701035.20205098</v>
      </c>
      <c r="Q114" s="21">
        <f>P114*Calculation_Assumptions!$B$14*J114*K114</f>
        <v>0</v>
      </c>
      <c r="R114" s="21">
        <f t="shared" si="10"/>
        <v>7013746.0239228681</v>
      </c>
      <c r="S114" s="21">
        <f t="shared" si="11"/>
        <v>7013746.0239228681</v>
      </c>
      <c r="T114" s="32">
        <f>1/(1+Calculation_Assumptions!$B$8)^(B114-Calculation_Assumptions!$B$2)</f>
        <v>0.78940923431393573</v>
      </c>
      <c r="U114" s="21">
        <f t="shared" si="12"/>
        <v>0</v>
      </c>
      <c r="V114" s="21">
        <f t="shared" si="13"/>
        <v>5536715.8784173625</v>
      </c>
      <c r="W114" s="21">
        <f t="shared" si="14"/>
        <v>5536715.8784173625</v>
      </c>
      <c r="X114">
        <v>0</v>
      </c>
      <c r="Y114" s="18">
        <v>2017</v>
      </c>
      <c r="Z114" t="s">
        <v>264</v>
      </c>
      <c r="AA114" s="21">
        <f t="shared" si="15"/>
        <v>1</v>
      </c>
    </row>
    <row r="115" spans="1:27">
      <c r="A115" t="s">
        <v>212</v>
      </c>
      <c r="B115" s="18">
        <v>2034</v>
      </c>
      <c r="C115" t="s">
        <v>212</v>
      </c>
      <c r="D115" s="20" t="s">
        <v>352</v>
      </c>
      <c r="E115" s="20" t="s">
        <v>353</v>
      </c>
      <c r="F115" s="20" t="s">
        <v>218</v>
      </c>
      <c r="G115" s="20" t="s">
        <v>336</v>
      </c>
      <c r="H115" s="20" t="s">
        <v>338</v>
      </c>
      <c r="I115" s="29">
        <v>1</v>
      </c>
      <c r="J115" s="30">
        <v>1</v>
      </c>
      <c r="K115" s="31">
        <v>2.3099999999999999E-2</v>
      </c>
      <c r="L115" s="9">
        <v>305296820.691935</v>
      </c>
      <c r="M115" s="9">
        <v>305377998.093319</v>
      </c>
      <c r="N115" s="32">
        <f>MIN(MAX((B115-Calculation_Assumptions!$B$5+1)/Calculation_Assumptions!$B$7,0),1)</f>
        <v>1</v>
      </c>
      <c r="O115" s="21">
        <f t="shared" si="8"/>
        <v>305296820.691935</v>
      </c>
      <c r="P115" s="21">
        <f t="shared" si="9"/>
        <v>305377998.093319</v>
      </c>
      <c r="Q115" s="21">
        <f>P115*Calculation_Assumptions!$B$14*J115*K115</f>
        <v>0</v>
      </c>
      <c r="R115" s="21">
        <f t="shared" si="10"/>
        <v>7052356.5579836983</v>
      </c>
      <c r="S115" s="21">
        <f t="shared" si="11"/>
        <v>7052356.5579836983</v>
      </c>
      <c r="T115" s="32">
        <f>1/(1+Calculation_Assumptions!$B$8)^(B115-Calculation_Assumptions!$B$2)</f>
        <v>0.76641673234362695</v>
      </c>
      <c r="U115" s="21">
        <f t="shared" si="12"/>
        <v>0</v>
      </c>
      <c r="V115" s="21">
        <f t="shared" si="13"/>
        <v>5405044.068492014</v>
      </c>
      <c r="W115" s="21">
        <f t="shared" si="14"/>
        <v>5405044.068492014</v>
      </c>
      <c r="X115">
        <v>0</v>
      </c>
      <c r="Y115" s="18">
        <v>2017</v>
      </c>
      <c r="Z115" t="s">
        <v>264</v>
      </c>
      <c r="AA115" s="21">
        <f t="shared" si="15"/>
        <v>1</v>
      </c>
    </row>
    <row r="116" spans="1:27">
      <c r="A116" t="s">
        <v>212</v>
      </c>
      <c r="B116" s="18">
        <v>2035</v>
      </c>
      <c r="C116" t="s">
        <v>212</v>
      </c>
      <c r="D116" s="20" t="s">
        <v>352</v>
      </c>
      <c r="E116" s="20" t="s">
        <v>353</v>
      </c>
      <c r="F116" s="20" t="s">
        <v>218</v>
      </c>
      <c r="G116" s="20" t="s">
        <v>336</v>
      </c>
      <c r="H116" s="20" t="s">
        <v>338</v>
      </c>
      <c r="I116" s="29">
        <v>1</v>
      </c>
      <c r="J116" s="30">
        <v>1</v>
      </c>
      <c r="K116" s="31">
        <v>2.3099999999999999E-2</v>
      </c>
      <c r="L116" s="9">
        <v>306903369.58522397</v>
      </c>
      <c r="M116" s="9">
        <v>306989258.29407001</v>
      </c>
      <c r="N116" s="32">
        <f>MIN(MAX((B116-Calculation_Assumptions!$B$5+1)/Calculation_Assumptions!$B$7,0),1)</f>
        <v>1</v>
      </c>
      <c r="O116" s="21">
        <f t="shared" si="8"/>
        <v>306903369.58522397</v>
      </c>
      <c r="P116" s="21">
        <f t="shared" si="9"/>
        <v>306989258.29407001</v>
      </c>
      <c r="Q116" s="21">
        <f>P116*Calculation_Assumptions!$B$14*J116*K116</f>
        <v>0</v>
      </c>
      <c r="R116" s="21">
        <f t="shared" si="10"/>
        <v>7089467.8374186736</v>
      </c>
      <c r="S116" s="21">
        <f t="shared" si="11"/>
        <v>7089467.8374186736</v>
      </c>
      <c r="T116" s="32">
        <f>1/(1+Calculation_Assumptions!$B$8)^(B116-Calculation_Assumptions!$B$2)</f>
        <v>0.74409391489672516</v>
      </c>
      <c r="U116" s="21">
        <f t="shared" si="12"/>
        <v>0</v>
      </c>
      <c r="V116" s="21">
        <f t="shared" si="13"/>
        <v>5275229.8776792809</v>
      </c>
      <c r="W116" s="21">
        <f t="shared" si="14"/>
        <v>5275229.8776792809</v>
      </c>
      <c r="X116">
        <v>0</v>
      </c>
      <c r="Y116" s="18">
        <v>2017</v>
      </c>
      <c r="Z116" t="s">
        <v>264</v>
      </c>
      <c r="AA116" s="21">
        <f t="shared" si="15"/>
        <v>1</v>
      </c>
    </row>
    <row r="117" spans="1:27">
      <c r="A117" t="s">
        <v>212</v>
      </c>
      <c r="B117" s="18">
        <v>2036</v>
      </c>
      <c r="C117" t="s">
        <v>212</v>
      </c>
      <c r="D117" s="20" t="s">
        <v>352</v>
      </c>
      <c r="E117" s="20" t="s">
        <v>353</v>
      </c>
      <c r="F117" s="20" t="s">
        <v>218</v>
      </c>
      <c r="G117" s="20" t="s">
        <v>336</v>
      </c>
      <c r="H117" s="20" t="s">
        <v>338</v>
      </c>
      <c r="I117" s="29">
        <v>1</v>
      </c>
      <c r="J117" s="30">
        <v>1</v>
      </c>
      <c r="K117" s="31">
        <v>2.3099999999999999E-2</v>
      </c>
      <c r="L117" s="9">
        <v>308447875.89236301</v>
      </c>
      <c r="M117" s="9">
        <v>308537399.67209399</v>
      </c>
      <c r="N117" s="32">
        <f>MIN(MAX((B117-Calculation_Assumptions!$B$5+1)/Calculation_Assumptions!$B$7,0),1)</f>
        <v>1</v>
      </c>
      <c r="O117" s="21">
        <f t="shared" si="8"/>
        <v>308447875.89236301</v>
      </c>
      <c r="P117" s="21">
        <f t="shared" si="9"/>
        <v>308537399.67209399</v>
      </c>
      <c r="Q117" s="21">
        <f>P117*Calculation_Assumptions!$B$14*J117*K117</f>
        <v>0</v>
      </c>
      <c r="R117" s="21">
        <f t="shared" si="10"/>
        <v>7125145.9331135852</v>
      </c>
      <c r="S117" s="21">
        <f t="shared" si="11"/>
        <v>7125145.9331135852</v>
      </c>
      <c r="T117" s="32">
        <f>1/(1+Calculation_Assumptions!$B$8)^(B117-Calculation_Assumptions!$B$2)</f>
        <v>0.72242127659876232</v>
      </c>
      <c r="U117" s="21">
        <f t="shared" si="12"/>
        <v>0</v>
      </c>
      <c r="V117" s="21">
        <f t="shared" si="13"/>
        <v>5147357.0209523961</v>
      </c>
      <c r="W117" s="21">
        <f t="shared" si="14"/>
        <v>5147357.0209523961</v>
      </c>
      <c r="X117">
        <v>0</v>
      </c>
      <c r="Y117" s="18">
        <v>2017</v>
      </c>
      <c r="Z117" t="s">
        <v>264</v>
      </c>
      <c r="AA117" s="21">
        <f t="shared" si="15"/>
        <v>1</v>
      </c>
    </row>
    <row r="118" spans="1:27">
      <c r="A118" t="s">
        <v>212</v>
      </c>
      <c r="B118" s="18">
        <v>2037</v>
      </c>
      <c r="C118" t="s">
        <v>212</v>
      </c>
      <c r="D118" s="20" t="s">
        <v>352</v>
      </c>
      <c r="E118" s="20" t="s">
        <v>353</v>
      </c>
      <c r="F118" s="20" t="s">
        <v>218</v>
      </c>
      <c r="G118" s="20" t="s">
        <v>336</v>
      </c>
      <c r="H118" s="20" t="s">
        <v>338</v>
      </c>
      <c r="I118" s="29">
        <v>1</v>
      </c>
      <c r="J118" s="30">
        <v>1</v>
      </c>
      <c r="K118" s="31">
        <v>2.3099999999999999E-2</v>
      </c>
      <c r="L118" s="9">
        <v>309931138.903207</v>
      </c>
      <c r="M118" s="9">
        <v>310023120.39347202</v>
      </c>
      <c r="N118" s="32">
        <f>MIN(MAX((B118-Calculation_Assumptions!$B$5+1)/Calculation_Assumptions!$B$7,0),1)</f>
        <v>1</v>
      </c>
      <c r="O118" s="21">
        <f t="shared" si="8"/>
        <v>309931138.903207</v>
      </c>
      <c r="P118" s="21">
        <f t="shared" si="9"/>
        <v>310023120.39347202</v>
      </c>
      <c r="Q118" s="21">
        <f>P118*Calculation_Assumptions!$B$14*J118*K118</f>
        <v>0</v>
      </c>
      <c r="R118" s="21">
        <f t="shared" si="10"/>
        <v>7159409.3086640816</v>
      </c>
      <c r="S118" s="21">
        <f t="shared" si="11"/>
        <v>7159409.3086640816</v>
      </c>
      <c r="T118" s="32">
        <f>1/(1+Calculation_Assumptions!$B$8)^(B118-Calculation_Assumptions!$B$2)</f>
        <v>0.70137988019297326</v>
      </c>
      <c r="U118" s="21">
        <f t="shared" si="12"/>
        <v>0</v>
      </c>
      <c r="V118" s="21">
        <f t="shared" si="13"/>
        <v>5021465.6431632712</v>
      </c>
      <c r="W118" s="21">
        <f t="shared" si="14"/>
        <v>5021465.6431632712</v>
      </c>
      <c r="X118">
        <v>0</v>
      </c>
      <c r="Y118" s="18">
        <v>2017</v>
      </c>
      <c r="Z118" t="s">
        <v>264</v>
      </c>
      <c r="AA118" s="21">
        <f t="shared" si="15"/>
        <v>1</v>
      </c>
    </row>
    <row r="119" spans="1:27">
      <c r="A119" t="s">
        <v>212</v>
      </c>
      <c r="B119" s="18">
        <v>2038</v>
      </c>
      <c r="C119" t="s">
        <v>212</v>
      </c>
      <c r="D119" s="20" t="s">
        <v>352</v>
      </c>
      <c r="E119" s="20" t="s">
        <v>353</v>
      </c>
      <c r="F119" s="20" t="s">
        <v>218</v>
      </c>
      <c r="G119" s="20" t="s">
        <v>336</v>
      </c>
      <c r="H119" s="20" t="s">
        <v>338</v>
      </c>
      <c r="I119" s="29">
        <v>1</v>
      </c>
      <c r="J119" s="30">
        <v>1</v>
      </c>
      <c r="K119" s="31">
        <v>2.3099999999999999E-2</v>
      </c>
      <c r="L119" s="9">
        <v>311353244.29694802</v>
      </c>
      <c r="M119" s="9">
        <v>311445837.13462502</v>
      </c>
      <c r="N119" s="32">
        <f>MIN(MAX((B119-Calculation_Assumptions!$B$5+1)/Calculation_Assumptions!$B$7,0),1)</f>
        <v>1</v>
      </c>
      <c r="O119" s="21">
        <f t="shared" si="8"/>
        <v>311353244.29694802</v>
      </c>
      <c r="P119" s="21">
        <f t="shared" si="9"/>
        <v>311445837.13462502</v>
      </c>
      <c r="Q119" s="21">
        <f>P119*Calculation_Assumptions!$B$14*J119*K119</f>
        <v>0</v>
      </c>
      <c r="R119" s="21">
        <f t="shared" si="10"/>
        <v>7192259.943259499</v>
      </c>
      <c r="S119" s="21">
        <f t="shared" si="11"/>
        <v>7192259.943259499</v>
      </c>
      <c r="T119" s="32">
        <f>1/(1+Calculation_Assumptions!$B$8)^(B119-Calculation_Assumptions!$B$2)</f>
        <v>0.68095133999317792</v>
      </c>
      <c r="U119" s="21">
        <f t="shared" si="12"/>
        <v>0</v>
      </c>
      <c r="V119" s="21">
        <f t="shared" si="13"/>
        <v>4897579.0459418138</v>
      </c>
      <c r="W119" s="21">
        <f t="shared" si="14"/>
        <v>4897579.0459418138</v>
      </c>
      <c r="X119">
        <v>0</v>
      </c>
      <c r="Y119" s="18">
        <v>2017</v>
      </c>
      <c r="Z119" t="s">
        <v>264</v>
      </c>
      <c r="AA119" s="21">
        <f t="shared" si="15"/>
        <v>1</v>
      </c>
    </row>
    <row r="120" spans="1:27">
      <c r="A120" t="s">
        <v>212</v>
      </c>
      <c r="B120" s="18">
        <v>2039</v>
      </c>
      <c r="C120" t="s">
        <v>212</v>
      </c>
      <c r="D120" s="20" t="s">
        <v>352</v>
      </c>
      <c r="E120" s="20" t="s">
        <v>353</v>
      </c>
      <c r="F120" s="20" t="s">
        <v>218</v>
      </c>
      <c r="G120" s="20" t="s">
        <v>336</v>
      </c>
      <c r="H120" s="20" t="s">
        <v>338</v>
      </c>
      <c r="I120" s="29">
        <v>1</v>
      </c>
      <c r="J120" s="30">
        <v>1</v>
      </c>
      <c r="K120" s="31">
        <v>2.3099999999999999E-2</v>
      </c>
      <c r="L120" s="9">
        <v>312715466.25073397</v>
      </c>
      <c r="M120" s="9">
        <v>312806989.71568501</v>
      </c>
      <c r="N120" s="32">
        <f>MIN(MAX((B120-Calculation_Assumptions!$B$5+1)/Calculation_Assumptions!$B$7,0),1)</f>
        <v>1</v>
      </c>
      <c r="O120" s="21">
        <f t="shared" si="8"/>
        <v>312715466.25073397</v>
      </c>
      <c r="P120" s="21">
        <f t="shared" si="9"/>
        <v>312806989.71568501</v>
      </c>
      <c r="Q120" s="21">
        <f>P120*Calculation_Assumptions!$B$14*J120*K120</f>
        <v>0</v>
      </c>
      <c r="R120" s="21">
        <f t="shared" si="10"/>
        <v>7223727.2703919541</v>
      </c>
      <c r="S120" s="21">
        <f t="shared" si="11"/>
        <v>7223727.2703919541</v>
      </c>
      <c r="T120" s="32">
        <f>1/(1+Calculation_Assumptions!$B$8)^(B120-Calculation_Assumptions!$B$2)</f>
        <v>0.66111780581861923</v>
      </c>
      <c r="U120" s="21">
        <f t="shared" si="12"/>
        <v>0</v>
      </c>
      <c r="V120" s="21">
        <f t="shared" si="13"/>
        <v>4775734.722833652</v>
      </c>
      <c r="W120" s="21">
        <f t="shared" si="14"/>
        <v>4775734.722833652</v>
      </c>
      <c r="X120">
        <v>0</v>
      </c>
      <c r="Y120" s="18">
        <v>2017</v>
      </c>
      <c r="Z120" t="s">
        <v>264</v>
      </c>
      <c r="AA120" s="21">
        <f t="shared" si="15"/>
        <v>1</v>
      </c>
    </row>
    <row r="121" spans="1:27">
      <c r="A121" t="s">
        <v>212</v>
      </c>
      <c r="B121" s="18">
        <v>2040</v>
      </c>
      <c r="C121" t="s">
        <v>212</v>
      </c>
      <c r="D121" s="20" t="s">
        <v>352</v>
      </c>
      <c r="E121" s="20" t="s">
        <v>353</v>
      </c>
      <c r="F121" s="20" t="s">
        <v>218</v>
      </c>
      <c r="G121" s="20" t="s">
        <v>336</v>
      </c>
      <c r="H121" s="20" t="s">
        <v>338</v>
      </c>
      <c r="I121" s="29">
        <v>1</v>
      </c>
      <c r="J121" s="30">
        <v>1</v>
      </c>
      <c r="K121" s="31">
        <v>2.3099999999999999E-2</v>
      </c>
      <c r="L121" s="9">
        <v>314020190.47350001</v>
      </c>
      <c r="M121" s="9">
        <v>314109251.58264899</v>
      </c>
      <c r="N121" s="32">
        <f>MIN(MAX((B121-Calculation_Assumptions!$B$5+1)/Calculation_Assumptions!$B$7,0),1)</f>
        <v>1</v>
      </c>
      <c r="O121" s="21">
        <f t="shared" si="8"/>
        <v>314020190.47350001</v>
      </c>
      <c r="P121" s="21">
        <f t="shared" si="9"/>
        <v>314109251.58264899</v>
      </c>
      <c r="Q121" s="21">
        <f>P121*Calculation_Assumptions!$B$14*J121*K121</f>
        <v>0</v>
      </c>
      <c r="R121" s="21">
        <f t="shared" si="10"/>
        <v>7253866.3999378504</v>
      </c>
      <c r="S121" s="21">
        <f t="shared" si="11"/>
        <v>7253866.3999378504</v>
      </c>
      <c r="T121" s="32">
        <f>1/(1+Calculation_Assumptions!$B$8)^(B121-Calculation_Assumptions!$B$2)</f>
        <v>0.64186194739671765</v>
      </c>
      <c r="U121" s="21">
        <f t="shared" si="12"/>
        <v>0</v>
      </c>
      <c r="V121" s="21">
        <f t="shared" si="13"/>
        <v>4655980.8136197263</v>
      </c>
      <c r="W121" s="21">
        <f t="shared" si="14"/>
        <v>4655980.8136197263</v>
      </c>
      <c r="X121">
        <v>0</v>
      </c>
      <c r="Y121" s="18">
        <v>2017</v>
      </c>
      <c r="Z121" t="s">
        <v>264</v>
      </c>
      <c r="AA121" s="21">
        <f t="shared" si="15"/>
        <v>1</v>
      </c>
    </row>
    <row r="122" spans="1:27">
      <c r="A122" t="s">
        <v>212</v>
      </c>
      <c r="B122" s="18">
        <v>2041</v>
      </c>
      <c r="C122" t="s">
        <v>212</v>
      </c>
      <c r="D122" s="20" t="s">
        <v>352</v>
      </c>
      <c r="E122" s="20" t="s">
        <v>353</v>
      </c>
      <c r="F122" s="20" t="s">
        <v>218</v>
      </c>
      <c r="G122" s="20" t="s">
        <v>336</v>
      </c>
      <c r="H122" s="20" t="s">
        <v>338</v>
      </c>
      <c r="I122" s="29">
        <v>1</v>
      </c>
      <c r="J122" s="30">
        <v>1</v>
      </c>
      <c r="K122" s="31">
        <v>2.3099999999999999E-2</v>
      </c>
      <c r="L122" s="9">
        <v>315266376.59595901</v>
      </c>
      <c r="M122" s="9">
        <v>315352079.81242299</v>
      </c>
      <c r="N122" s="32">
        <f>MIN(MAX((B122-Calculation_Assumptions!$B$5+1)/Calculation_Assumptions!$B$7,0),1)</f>
        <v>1</v>
      </c>
      <c r="O122" s="21">
        <f t="shared" si="8"/>
        <v>315266376.59595901</v>
      </c>
      <c r="P122" s="21">
        <f t="shared" si="9"/>
        <v>315352079.81242299</v>
      </c>
      <c r="Q122" s="21">
        <f>P122*Calculation_Assumptions!$B$14*J122*K122</f>
        <v>0</v>
      </c>
      <c r="R122" s="21">
        <f t="shared" si="10"/>
        <v>7282653.299366653</v>
      </c>
      <c r="S122" s="21">
        <f t="shared" si="11"/>
        <v>7282653.299366653</v>
      </c>
      <c r="T122" s="32">
        <f>1/(1+Calculation_Assumptions!$B$8)^(B122-Calculation_Assumptions!$B$2)</f>
        <v>0.62316693922011435</v>
      </c>
      <c r="U122" s="21">
        <f t="shared" si="12"/>
        <v>0</v>
      </c>
      <c r="V122" s="21">
        <f t="shared" si="13"/>
        <v>4538308.7659675842</v>
      </c>
      <c r="W122" s="21">
        <f t="shared" si="14"/>
        <v>4538308.7659675842</v>
      </c>
      <c r="X122">
        <v>0</v>
      </c>
      <c r="Y122" s="18">
        <v>2017</v>
      </c>
      <c r="Z122" t="s">
        <v>264</v>
      </c>
      <c r="AA122" s="21">
        <f t="shared" si="15"/>
        <v>1</v>
      </c>
    </row>
    <row r="123" spans="1:27">
      <c r="A123" t="s">
        <v>212</v>
      </c>
      <c r="B123" s="18">
        <v>2042</v>
      </c>
      <c r="C123" t="s">
        <v>212</v>
      </c>
      <c r="D123" s="20" t="s">
        <v>352</v>
      </c>
      <c r="E123" s="20" t="s">
        <v>353</v>
      </c>
      <c r="F123" s="20" t="s">
        <v>218</v>
      </c>
      <c r="G123" s="20" t="s">
        <v>336</v>
      </c>
      <c r="H123" s="20" t="s">
        <v>338</v>
      </c>
      <c r="I123" s="29">
        <v>1</v>
      </c>
      <c r="J123" s="30">
        <v>1</v>
      </c>
      <c r="K123" s="31">
        <v>2.3099999999999999E-2</v>
      </c>
      <c r="L123" s="9">
        <v>316454846.20852202</v>
      </c>
      <c r="M123" s="9">
        <v>316395286.31201601</v>
      </c>
      <c r="N123" s="32">
        <f>MIN(MAX((B123-Calculation_Assumptions!$B$5+1)/Calculation_Assumptions!$B$7,0),1)</f>
        <v>1</v>
      </c>
      <c r="O123" s="21">
        <f t="shared" si="8"/>
        <v>316454846.20852202</v>
      </c>
      <c r="P123" s="21">
        <f t="shared" si="9"/>
        <v>316395286.31201601</v>
      </c>
      <c r="Q123" s="21">
        <f>P123*Calculation_Assumptions!$B$14*J123*K123</f>
        <v>0</v>
      </c>
      <c r="R123" s="21">
        <f t="shared" si="10"/>
        <v>7310106.9474168587</v>
      </c>
      <c r="S123" s="21">
        <f t="shared" si="11"/>
        <v>7310106.9474168587</v>
      </c>
      <c r="T123" s="32">
        <f>1/(1+Calculation_Assumptions!$B$8)^(B123-Calculation_Assumptions!$B$2)</f>
        <v>0.60501644584477121</v>
      </c>
      <c r="U123" s="21">
        <f t="shared" si="12"/>
        <v>0</v>
      </c>
      <c r="V123" s="21">
        <f t="shared" si="13"/>
        <v>4422734.9240713175</v>
      </c>
      <c r="W123" s="21">
        <f t="shared" si="14"/>
        <v>4422734.9240713175</v>
      </c>
      <c r="X123">
        <v>0</v>
      </c>
      <c r="Y123" s="18">
        <v>2017</v>
      </c>
      <c r="Z123" t="s">
        <v>264</v>
      </c>
      <c r="AA123" s="21">
        <f t="shared" si="15"/>
        <v>1</v>
      </c>
    </row>
    <row r="124" spans="1:27">
      <c r="A124" t="s">
        <v>212</v>
      </c>
      <c r="B124" s="18">
        <v>2043</v>
      </c>
      <c r="C124" t="s">
        <v>212</v>
      </c>
      <c r="D124" s="20" t="s">
        <v>352</v>
      </c>
      <c r="E124" s="20" t="s">
        <v>353</v>
      </c>
      <c r="F124" s="20" t="s">
        <v>218</v>
      </c>
      <c r="G124" s="20" t="s">
        <v>336</v>
      </c>
      <c r="H124" s="20" t="s">
        <v>338</v>
      </c>
      <c r="I124" s="29">
        <v>1</v>
      </c>
      <c r="J124" s="30">
        <v>1</v>
      </c>
      <c r="K124" s="31">
        <v>2.3099999999999999E-2</v>
      </c>
      <c r="L124" s="9">
        <v>317690048.94118798</v>
      </c>
      <c r="M124" s="9">
        <v>317619735.68828899</v>
      </c>
      <c r="N124" s="32">
        <f>MIN(MAX((B124-Calculation_Assumptions!$B$5+1)/Calculation_Assumptions!$B$7,0),1)</f>
        <v>1</v>
      </c>
      <c r="O124" s="21">
        <f t="shared" si="8"/>
        <v>317690048.94118798</v>
      </c>
      <c r="P124" s="21">
        <f t="shared" si="9"/>
        <v>317619735.68828899</v>
      </c>
      <c r="Q124" s="21">
        <f>P124*Calculation_Assumptions!$B$14*J124*K124</f>
        <v>0</v>
      </c>
      <c r="R124" s="21">
        <f t="shared" si="10"/>
        <v>7338640.130541442</v>
      </c>
      <c r="S124" s="21">
        <f t="shared" si="11"/>
        <v>7338640.130541442</v>
      </c>
      <c r="T124" s="32">
        <f>1/(1+Calculation_Assumptions!$B$8)^(B124-Calculation_Assumptions!$B$2)</f>
        <v>0.5873946076162827</v>
      </c>
      <c r="U124" s="21">
        <f t="shared" si="12"/>
        <v>0</v>
      </c>
      <c r="V124" s="21">
        <f t="shared" si="13"/>
        <v>4310677.6399164964</v>
      </c>
      <c r="W124" s="21">
        <f t="shared" si="14"/>
        <v>4310677.6399164964</v>
      </c>
      <c r="X124">
        <v>0</v>
      </c>
      <c r="Y124" s="18">
        <v>2017</v>
      </c>
      <c r="Z124" t="s">
        <v>264</v>
      </c>
      <c r="AA124" s="21">
        <f t="shared" si="15"/>
        <v>1</v>
      </c>
    </row>
    <row r="125" spans="1:27">
      <c r="A125" t="s">
        <v>212</v>
      </c>
      <c r="B125" s="18">
        <v>2044</v>
      </c>
      <c r="C125" t="s">
        <v>212</v>
      </c>
      <c r="D125" s="20" t="s">
        <v>352</v>
      </c>
      <c r="E125" s="20" t="s">
        <v>353</v>
      </c>
      <c r="F125" s="20" t="s">
        <v>218</v>
      </c>
      <c r="G125" s="20" t="s">
        <v>336</v>
      </c>
      <c r="H125" s="20" t="s">
        <v>338</v>
      </c>
      <c r="I125" s="29">
        <v>1</v>
      </c>
      <c r="J125" s="30">
        <v>1</v>
      </c>
      <c r="K125" s="31">
        <v>2.3099999999999999E-2</v>
      </c>
      <c r="L125" s="9">
        <v>318777984.18341202</v>
      </c>
      <c r="M125" s="9">
        <v>318697135.86365199</v>
      </c>
      <c r="N125" s="32">
        <f>MIN(MAX((B125-Calculation_Assumptions!$B$5+1)/Calculation_Assumptions!$B$7,0),1)</f>
        <v>1</v>
      </c>
      <c r="O125" s="21">
        <f t="shared" si="8"/>
        <v>318777984.18341202</v>
      </c>
      <c r="P125" s="21">
        <f t="shared" si="9"/>
        <v>318697135.86365199</v>
      </c>
      <c r="Q125" s="21">
        <f>P125*Calculation_Assumptions!$B$14*J125*K125</f>
        <v>0</v>
      </c>
      <c r="R125" s="21">
        <f t="shared" si="10"/>
        <v>7363771.4346368173</v>
      </c>
      <c r="S125" s="21">
        <f t="shared" si="11"/>
        <v>7363771.4346368173</v>
      </c>
      <c r="T125" s="32">
        <f>1/(1+Calculation_Assumptions!$B$8)^(B125-Calculation_Assumptions!$B$2)</f>
        <v>0.57028602681192497</v>
      </c>
      <c r="U125" s="21">
        <f t="shared" si="12"/>
        <v>0</v>
      </c>
      <c r="V125" s="21">
        <f t="shared" si="13"/>
        <v>4199455.9538101796</v>
      </c>
      <c r="W125" s="21">
        <f t="shared" si="14"/>
        <v>4199455.9538101796</v>
      </c>
      <c r="X125">
        <v>0</v>
      </c>
      <c r="Y125" s="18">
        <v>2017</v>
      </c>
      <c r="Z125" t="s">
        <v>264</v>
      </c>
      <c r="AA125" s="21">
        <f t="shared" si="15"/>
        <v>1</v>
      </c>
    </row>
    <row r="126" spans="1:27">
      <c r="A126" t="s">
        <v>212</v>
      </c>
      <c r="B126" s="18">
        <v>2045</v>
      </c>
      <c r="C126" t="s">
        <v>212</v>
      </c>
      <c r="D126" s="20" t="s">
        <v>352</v>
      </c>
      <c r="E126" s="20" t="s">
        <v>353</v>
      </c>
      <c r="F126" s="20" t="s">
        <v>218</v>
      </c>
      <c r="G126" s="20" t="s">
        <v>336</v>
      </c>
      <c r="H126" s="20" t="s">
        <v>338</v>
      </c>
      <c r="I126" s="29">
        <v>1</v>
      </c>
      <c r="J126" s="30">
        <v>1</v>
      </c>
      <c r="K126" s="31">
        <v>2.3099999999999999E-2</v>
      </c>
      <c r="L126" s="9">
        <v>319809890.24294001</v>
      </c>
      <c r="M126" s="9">
        <v>319717840.85179001</v>
      </c>
      <c r="N126" s="32">
        <f>MIN(MAX((B126-Calculation_Assumptions!$B$5+1)/Calculation_Assumptions!$B$7,0),1)</f>
        <v>1</v>
      </c>
      <c r="O126" s="21">
        <f t="shared" si="8"/>
        <v>319809890.24294001</v>
      </c>
      <c r="P126" s="21">
        <f t="shared" si="9"/>
        <v>319717840.85179001</v>
      </c>
      <c r="Q126" s="21">
        <f>P126*Calculation_Assumptions!$B$14*J126*K126</f>
        <v>0</v>
      </c>
      <c r="R126" s="21">
        <f t="shared" si="10"/>
        <v>7387608.464611914</v>
      </c>
      <c r="S126" s="21">
        <f t="shared" si="11"/>
        <v>7387608.464611914</v>
      </c>
      <c r="T126" s="32">
        <f>1/(1+Calculation_Assumptions!$B$8)^(B126-Calculation_Assumptions!$B$2)</f>
        <v>0.55367575418633497</v>
      </c>
      <c r="U126" s="21">
        <f t="shared" si="12"/>
        <v>0</v>
      </c>
      <c r="V126" s="21">
        <f t="shared" si="13"/>
        <v>4090339.6882773535</v>
      </c>
      <c r="W126" s="21">
        <f t="shared" si="14"/>
        <v>4090339.6882773535</v>
      </c>
      <c r="X126">
        <v>0</v>
      </c>
      <c r="Y126" s="18">
        <v>2017</v>
      </c>
      <c r="Z126" t="s">
        <v>264</v>
      </c>
      <c r="AA126" s="21">
        <f t="shared" si="15"/>
        <v>1</v>
      </c>
    </row>
    <row r="127" spans="1:27">
      <c r="A127" t="s">
        <v>212</v>
      </c>
      <c r="B127" s="18">
        <v>2046</v>
      </c>
      <c r="C127" t="s">
        <v>212</v>
      </c>
      <c r="D127" s="20" t="s">
        <v>352</v>
      </c>
      <c r="E127" s="20" t="s">
        <v>353</v>
      </c>
      <c r="F127" s="20" t="s">
        <v>218</v>
      </c>
      <c r="G127" s="20" t="s">
        <v>336</v>
      </c>
      <c r="H127" s="20" t="s">
        <v>338</v>
      </c>
      <c r="I127" s="29">
        <v>1</v>
      </c>
      <c r="J127" s="30">
        <v>1</v>
      </c>
      <c r="K127" s="31">
        <v>2.3099999999999999E-2</v>
      </c>
      <c r="L127" s="9">
        <v>320787767.95063001</v>
      </c>
      <c r="M127" s="9">
        <v>320683879.80627602</v>
      </c>
      <c r="N127" s="32">
        <f>MIN(MAX((B127-Calculation_Assumptions!$B$5+1)/Calculation_Assumptions!$B$7,0),1)</f>
        <v>1</v>
      </c>
      <c r="O127" s="21">
        <f t="shared" si="8"/>
        <v>320787767.95063001</v>
      </c>
      <c r="P127" s="21">
        <f t="shared" si="9"/>
        <v>320683879.80627602</v>
      </c>
      <c r="Q127" s="21">
        <f>P127*Calculation_Assumptions!$B$14*J127*K127</f>
        <v>0</v>
      </c>
      <c r="R127" s="21">
        <f t="shared" si="10"/>
        <v>7410197.4396595526</v>
      </c>
      <c r="S127" s="21">
        <f t="shared" si="11"/>
        <v>7410197.4396595526</v>
      </c>
      <c r="T127" s="32">
        <f>1/(1+Calculation_Assumptions!$B$8)^(B127-Calculation_Assumptions!$B$2)</f>
        <v>0.5375492759090631</v>
      </c>
      <c r="U127" s="21">
        <f t="shared" si="12"/>
        <v>0</v>
      </c>
      <c r="V127" s="21">
        <f t="shared" si="13"/>
        <v>3983346.2680321857</v>
      </c>
      <c r="W127" s="21">
        <f t="shared" si="14"/>
        <v>3983346.2680321857</v>
      </c>
      <c r="X127">
        <v>0</v>
      </c>
      <c r="Y127" s="18">
        <v>2017</v>
      </c>
      <c r="Z127" t="s">
        <v>264</v>
      </c>
      <c r="AA127" s="21">
        <f t="shared" si="15"/>
        <v>1</v>
      </c>
    </row>
    <row r="128" spans="1:27">
      <c r="A128" t="s">
        <v>212</v>
      </c>
      <c r="B128" s="18">
        <v>2047</v>
      </c>
      <c r="C128" t="s">
        <v>212</v>
      </c>
      <c r="D128" s="20" t="s">
        <v>352</v>
      </c>
      <c r="E128" s="20" t="s">
        <v>353</v>
      </c>
      <c r="F128" s="20" t="s">
        <v>218</v>
      </c>
      <c r="G128" s="20" t="s">
        <v>336</v>
      </c>
      <c r="H128" s="20" t="s">
        <v>338</v>
      </c>
      <c r="I128" s="29">
        <v>1</v>
      </c>
      <c r="J128" s="30">
        <v>1</v>
      </c>
      <c r="K128" s="31">
        <v>2.3099999999999999E-2</v>
      </c>
      <c r="L128" s="9">
        <v>321711863.59140903</v>
      </c>
      <c r="M128" s="9">
        <v>321595541.38952601</v>
      </c>
      <c r="N128" s="32">
        <f>MIN(MAX((B128-Calculation_Assumptions!$B$5+1)/Calculation_Assumptions!$B$7,0),1)</f>
        <v>1</v>
      </c>
      <c r="O128" s="21">
        <f t="shared" si="8"/>
        <v>321711863.59140903</v>
      </c>
      <c r="P128" s="21">
        <f t="shared" si="9"/>
        <v>321595541.38952601</v>
      </c>
      <c r="Q128" s="21">
        <f>P128*Calculation_Assumptions!$B$14*J128*K128</f>
        <v>0</v>
      </c>
      <c r="R128" s="21">
        <f t="shared" si="10"/>
        <v>7431544.0489615481</v>
      </c>
      <c r="S128" s="21">
        <f t="shared" si="11"/>
        <v>7431544.0489615481</v>
      </c>
      <c r="T128" s="32">
        <f>1/(1+Calculation_Assumptions!$B$8)^(B128-Calculation_Assumptions!$B$2)</f>
        <v>0.52189250088258554</v>
      </c>
      <c r="U128" s="21">
        <f t="shared" si="12"/>
        <v>0</v>
      </c>
      <c r="V128" s="21">
        <f t="shared" si="13"/>
        <v>3878467.109131638</v>
      </c>
      <c r="W128" s="21">
        <f t="shared" si="14"/>
        <v>3878467.109131638</v>
      </c>
      <c r="X128">
        <v>0</v>
      </c>
      <c r="Y128" s="18">
        <v>2017</v>
      </c>
      <c r="Z128" t="s">
        <v>264</v>
      </c>
      <c r="AA128" s="21">
        <f t="shared" si="15"/>
        <v>1</v>
      </c>
    </row>
    <row r="129" spans="1:27">
      <c r="A129" t="s">
        <v>212</v>
      </c>
      <c r="B129" s="18">
        <v>2048</v>
      </c>
      <c r="C129" t="s">
        <v>212</v>
      </c>
      <c r="D129" s="20" t="s">
        <v>352</v>
      </c>
      <c r="E129" s="20" t="s">
        <v>353</v>
      </c>
      <c r="F129" s="20" t="s">
        <v>218</v>
      </c>
      <c r="G129" s="20" t="s">
        <v>336</v>
      </c>
      <c r="H129" s="20" t="s">
        <v>338</v>
      </c>
      <c r="I129" s="29">
        <v>1</v>
      </c>
      <c r="J129" s="30">
        <v>1</v>
      </c>
      <c r="K129" s="31">
        <v>2.3099999999999999E-2</v>
      </c>
      <c r="L129" s="9">
        <v>322402062.10723501</v>
      </c>
      <c r="M129" s="9">
        <v>322453622.66946399</v>
      </c>
      <c r="N129" s="32">
        <f>MIN(MAX((B129-Calculation_Assumptions!$B$5+1)/Calculation_Assumptions!$B$7,0),1)</f>
        <v>1</v>
      </c>
      <c r="O129" s="21">
        <f t="shared" si="8"/>
        <v>322402062.10723501</v>
      </c>
      <c r="P129" s="21">
        <f t="shared" si="9"/>
        <v>322453622.66946399</v>
      </c>
      <c r="Q129" s="21">
        <f>P129*Calculation_Assumptions!$B$14*J129*K129</f>
        <v>0</v>
      </c>
      <c r="R129" s="21">
        <f t="shared" si="10"/>
        <v>7447487.6346771289</v>
      </c>
      <c r="S129" s="21">
        <f t="shared" si="11"/>
        <v>7447487.6346771289</v>
      </c>
      <c r="T129" s="32">
        <f>1/(1+Calculation_Assumptions!$B$8)^(B129-Calculation_Assumptions!$B$2)</f>
        <v>0.50669174842969467</v>
      </c>
      <c r="U129" s="21">
        <f t="shared" si="12"/>
        <v>0</v>
      </c>
      <c r="V129" s="21">
        <f t="shared" si="13"/>
        <v>3773580.5310230856</v>
      </c>
      <c r="W129" s="21">
        <f t="shared" si="14"/>
        <v>3773580.5310230856</v>
      </c>
      <c r="X129">
        <v>0</v>
      </c>
      <c r="Y129" s="18">
        <v>2017</v>
      </c>
      <c r="Z129" t="s">
        <v>264</v>
      </c>
      <c r="AA129" s="21">
        <f t="shared" si="15"/>
        <v>1</v>
      </c>
    </row>
    <row r="130" spans="1:27">
      <c r="A130" t="s">
        <v>212</v>
      </c>
      <c r="B130" s="18">
        <v>2049</v>
      </c>
      <c r="C130" t="s">
        <v>212</v>
      </c>
      <c r="D130" s="20" t="s">
        <v>352</v>
      </c>
      <c r="E130" s="20" t="s">
        <v>353</v>
      </c>
      <c r="F130" s="20" t="s">
        <v>218</v>
      </c>
      <c r="G130" s="20" t="s">
        <v>336</v>
      </c>
      <c r="H130" s="20" t="s">
        <v>338</v>
      </c>
      <c r="I130" s="29">
        <v>1</v>
      </c>
      <c r="J130" s="30">
        <v>1</v>
      </c>
      <c r="K130" s="31">
        <v>2.3099999999999999E-2</v>
      </c>
      <c r="L130" s="9">
        <v>323210909.71924001</v>
      </c>
      <c r="M130" s="9">
        <v>323259246.71671897</v>
      </c>
      <c r="N130" s="32">
        <f>MIN(MAX((B130-Calculation_Assumptions!$B$5+1)/Calculation_Assumptions!$B$7,0),1)</f>
        <v>1</v>
      </c>
      <c r="O130" s="21">
        <f t="shared" ref="O130:O193" si="16">L130*I130</f>
        <v>323210909.71924001</v>
      </c>
      <c r="P130" s="21">
        <f t="shared" ref="P130:P193" si="17">M130*I130</f>
        <v>323259246.71671897</v>
      </c>
      <c r="Q130" s="21">
        <f>P130*Calculation_Assumptions!$B$14*J130*K130</f>
        <v>0</v>
      </c>
      <c r="R130" s="21">
        <f t="shared" ref="R130:R193" si="18">O130*N130*J130*K130</f>
        <v>7466172.0145144435</v>
      </c>
      <c r="S130" s="21">
        <f t="shared" ref="S130:S193" si="19">R130-Q130</f>
        <v>7466172.0145144435</v>
      </c>
      <c r="T130" s="32">
        <f>1/(1+Calculation_Assumptions!$B$8)^(B130-Calculation_Assumptions!$B$2)</f>
        <v>0.49193373633950943</v>
      </c>
      <c r="U130" s="21">
        <f t="shared" ref="U130:U193" si="20">Q130*T130</f>
        <v>0</v>
      </c>
      <c r="V130" s="21">
        <f t="shared" ref="V130:V193" si="21">R130*T130</f>
        <v>3672861.8952535721</v>
      </c>
      <c r="W130" s="21">
        <f t="shared" ref="W130:W193" si="22">S130*T130</f>
        <v>3672861.8952535721</v>
      </c>
      <c r="X130">
        <v>0</v>
      </c>
      <c r="Y130" s="18">
        <v>2017</v>
      </c>
      <c r="Z130" t="s">
        <v>264</v>
      </c>
      <c r="AA130" s="21">
        <f t="shared" ref="AA130:AA193" si="23">IF(G130="shared-count-once",COUNTIFS($A$2:$A$313,A130,$B$2:$B$313,B130,$D$2:$D$313,D130),1)</f>
        <v>1</v>
      </c>
    </row>
    <row r="131" spans="1:27">
      <c r="A131" t="s">
        <v>212</v>
      </c>
      <c r="B131" s="18">
        <v>2050</v>
      </c>
      <c r="C131" t="s">
        <v>212</v>
      </c>
      <c r="D131" s="20" t="s">
        <v>352</v>
      </c>
      <c r="E131" s="20" t="s">
        <v>353</v>
      </c>
      <c r="F131" s="20" t="s">
        <v>218</v>
      </c>
      <c r="G131" s="20" t="s">
        <v>336</v>
      </c>
      <c r="H131" s="20" t="s">
        <v>338</v>
      </c>
      <c r="I131" s="29">
        <v>1</v>
      </c>
      <c r="J131" s="30">
        <v>1</v>
      </c>
      <c r="K131" s="31">
        <v>2.3099999999999999E-2</v>
      </c>
      <c r="L131" s="9">
        <v>323968326.00662303</v>
      </c>
      <c r="M131" s="9">
        <v>324013738.18247902</v>
      </c>
      <c r="N131" s="32">
        <f>MIN(MAX((B131-Calculation_Assumptions!$B$5+1)/Calculation_Assumptions!$B$7,0),1)</f>
        <v>1</v>
      </c>
      <c r="O131" s="21">
        <f t="shared" si="16"/>
        <v>323968326.00662303</v>
      </c>
      <c r="P131" s="21">
        <f t="shared" si="17"/>
        <v>324013738.18247902</v>
      </c>
      <c r="Q131" s="21">
        <f>P131*Calculation_Assumptions!$B$14*J131*K131</f>
        <v>0</v>
      </c>
      <c r="R131" s="21">
        <f t="shared" si="18"/>
        <v>7483668.3307529921</v>
      </c>
      <c r="S131" s="21">
        <f t="shared" si="19"/>
        <v>7483668.3307529921</v>
      </c>
      <c r="T131" s="32">
        <f>1/(1+Calculation_Assumptions!$B$8)^(B131-Calculation_Assumptions!$B$2)</f>
        <v>0.47760556926165965</v>
      </c>
      <c r="U131" s="21">
        <f t="shared" si="20"/>
        <v>0</v>
      </c>
      <c r="V131" s="21">
        <f t="shared" si="21"/>
        <v>3574241.6732747369</v>
      </c>
      <c r="W131" s="21">
        <f t="shared" si="22"/>
        <v>3574241.6732747369</v>
      </c>
      <c r="X131">
        <v>0</v>
      </c>
      <c r="Y131" s="18">
        <v>2017</v>
      </c>
      <c r="Z131" t="s">
        <v>264</v>
      </c>
      <c r="AA131" s="21">
        <f t="shared" si="23"/>
        <v>1</v>
      </c>
    </row>
    <row r="132" spans="1:27">
      <c r="A132" t="s">
        <v>223</v>
      </c>
      <c r="B132" s="18">
        <v>2025</v>
      </c>
      <c r="C132" t="s">
        <v>223</v>
      </c>
      <c r="D132" s="20" t="s">
        <v>354</v>
      </c>
      <c r="E132" s="20" t="s">
        <v>355</v>
      </c>
      <c r="F132" s="20" t="s">
        <v>226</v>
      </c>
      <c r="G132" s="20" t="s">
        <v>336</v>
      </c>
      <c r="H132" s="20" t="s">
        <v>338</v>
      </c>
      <c r="I132" s="29">
        <v>1</v>
      </c>
      <c r="J132" s="30">
        <v>1</v>
      </c>
      <c r="K132" s="31">
        <v>4.0000000000000001E-3</v>
      </c>
      <c r="L132" s="9">
        <v>288000821.106462</v>
      </c>
      <c r="M132" s="9">
        <v>288000821.106462</v>
      </c>
      <c r="N132" s="32">
        <f>MIN(MAX((B132-Calculation_Assumptions!$B$5+1)/Calculation_Assumptions!$B$7,0),1)</f>
        <v>0</v>
      </c>
      <c r="O132" s="21">
        <f t="shared" si="16"/>
        <v>288000821.106462</v>
      </c>
      <c r="P132" s="21">
        <f t="shared" si="17"/>
        <v>288000821.106462</v>
      </c>
      <c r="Q132" s="21">
        <f>P132*Calculation_Assumptions!$B$14*J132*K132</f>
        <v>0</v>
      </c>
      <c r="R132" s="21">
        <f t="shared" si="18"/>
        <v>0</v>
      </c>
      <c r="S132" s="21">
        <f t="shared" si="19"/>
        <v>0</v>
      </c>
      <c r="T132" s="32">
        <f>1/(1+Calculation_Assumptions!$B$8)^(B132-Calculation_Assumptions!$B$2)</f>
        <v>1</v>
      </c>
      <c r="U132" s="21">
        <f t="shared" si="20"/>
        <v>0</v>
      </c>
      <c r="V132" s="21">
        <f t="shared" si="21"/>
        <v>0</v>
      </c>
      <c r="W132" s="21">
        <f t="shared" si="22"/>
        <v>0</v>
      </c>
      <c r="X132">
        <v>0</v>
      </c>
      <c r="Y132" s="18">
        <v>2017</v>
      </c>
      <c r="Z132" t="s">
        <v>264</v>
      </c>
      <c r="AA132" s="21">
        <f t="shared" si="23"/>
        <v>1</v>
      </c>
    </row>
    <row r="133" spans="1:27">
      <c r="A133" t="s">
        <v>223</v>
      </c>
      <c r="B133" s="18">
        <v>2026</v>
      </c>
      <c r="C133" t="s">
        <v>223</v>
      </c>
      <c r="D133" s="20" t="s">
        <v>354</v>
      </c>
      <c r="E133" s="20" t="s">
        <v>355</v>
      </c>
      <c r="F133" s="20" t="s">
        <v>226</v>
      </c>
      <c r="G133" s="20" t="s">
        <v>336</v>
      </c>
      <c r="H133" s="20" t="s">
        <v>338</v>
      </c>
      <c r="I133" s="29">
        <v>1</v>
      </c>
      <c r="J133" s="30">
        <v>1</v>
      </c>
      <c r="K133" s="31">
        <v>4.0000000000000001E-3</v>
      </c>
      <c r="L133" s="9">
        <v>290123496.10321897</v>
      </c>
      <c r="M133" s="9">
        <v>290123496.10321897</v>
      </c>
      <c r="N133" s="32">
        <f>MIN(MAX((B133-Calculation_Assumptions!$B$5+1)/Calculation_Assumptions!$B$7,0),1)</f>
        <v>0.33333333333333331</v>
      </c>
      <c r="O133" s="21">
        <f t="shared" si="16"/>
        <v>290123496.10321897</v>
      </c>
      <c r="P133" s="21">
        <f t="shared" si="17"/>
        <v>290123496.10321897</v>
      </c>
      <c r="Q133" s="21">
        <f>P133*Calculation_Assumptions!$B$14*J133*K133</f>
        <v>0</v>
      </c>
      <c r="R133" s="21">
        <f t="shared" si="18"/>
        <v>386831.3281376253</v>
      </c>
      <c r="S133" s="21">
        <f t="shared" si="19"/>
        <v>386831.3281376253</v>
      </c>
      <c r="T133" s="32">
        <f>1/(1+Calculation_Assumptions!$B$8)^(B133-Calculation_Assumptions!$B$2)</f>
        <v>0.970873786407767</v>
      </c>
      <c r="U133" s="21">
        <f t="shared" si="20"/>
        <v>0</v>
      </c>
      <c r="V133" s="21">
        <f t="shared" si="21"/>
        <v>375564.39625012164</v>
      </c>
      <c r="W133" s="21">
        <f t="shared" si="22"/>
        <v>375564.39625012164</v>
      </c>
      <c r="X133">
        <v>0</v>
      </c>
      <c r="Y133" s="18">
        <v>2017</v>
      </c>
      <c r="Z133" t="s">
        <v>264</v>
      </c>
      <c r="AA133" s="21">
        <f t="shared" si="23"/>
        <v>1</v>
      </c>
    </row>
    <row r="134" spans="1:27">
      <c r="A134" t="s">
        <v>223</v>
      </c>
      <c r="B134" s="18">
        <v>2027</v>
      </c>
      <c r="C134" t="s">
        <v>223</v>
      </c>
      <c r="D134" s="20" t="s">
        <v>354</v>
      </c>
      <c r="E134" s="20" t="s">
        <v>355</v>
      </c>
      <c r="F134" s="20" t="s">
        <v>226</v>
      </c>
      <c r="G134" s="20" t="s">
        <v>336</v>
      </c>
      <c r="H134" s="20" t="s">
        <v>338</v>
      </c>
      <c r="I134" s="29">
        <v>1</v>
      </c>
      <c r="J134" s="30">
        <v>1</v>
      </c>
      <c r="K134" s="31">
        <v>4.0000000000000001E-3</v>
      </c>
      <c r="L134" s="9">
        <v>292252895.09695601</v>
      </c>
      <c r="M134" s="9">
        <v>292252895.09695601</v>
      </c>
      <c r="N134" s="32">
        <f>MIN(MAX((B134-Calculation_Assumptions!$B$5+1)/Calculation_Assumptions!$B$7,0),1)</f>
        <v>0.66666666666666663</v>
      </c>
      <c r="O134" s="21">
        <f t="shared" si="16"/>
        <v>292252895.09695601</v>
      </c>
      <c r="P134" s="21">
        <f t="shared" si="17"/>
        <v>292252895.09695601</v>
      </c>
      <c r="Q134" s="21">
        <f>P134*Calculation_Assumptions!$B$14*J134*K134</f>
        <v>0</v>
      </c>
      <c r="R134" s="21">
        <f t="shared" si="18"/>
        <v>779341.05359188269</v>
      </c>
      <c r="S134" s="21">
        <f t="shared" si="19"/>
        <v>779341.05359188269</v>
      </c>
      <c r="T134" s="32">
        <f>1/(1+Calculation_Assumptions!$B$8)^(B134-Calculation_Assumptions!$B$2)</f>
        <v>0.94259590913375435</v>
      </c>
      <c r="U134" s="21">
        <f t="shared" si="20"/>
        <v>0</v>
      </c>
      <c r="V134" s="21">
        <f t="shared" si="21"/>
        <v>734603.68893569859</v>
      </c>
      <c r="W134" s="21">
        <f t="shared" si="22"/>
        <v>734603.68893569859</v>
      </c>
      <c r="X134">
        <v>0</v>
      </c>
      <c r="Y134" s="18">
        <v>2017</v>
      </c>
      <c r="Z134" t="s">
        <v>264</v>
      </c>
      <c r="AA134" s="21">
        <f t="shared" si="23"/>
        <v>1</v>
      </c>
    </row>
    <row r="135" spans="1:27">
      <c r="A135" t="s">
        <v>223</v>
      </c>
      <c r="B135" s="18">
        <v>2028</v>
      </c>
      <c r="C135" t="s">
        <v>223</v>
      </c>
      <c r="D135" s="20" t="s">
        <v>354</v>
      </c>
      <c r="E135" s="20" t="s">
        <v>355</v>
      </c>
      <c r="F135" s="20" t="s">
        <v>226</v>
      </c>
      <c r="G135" s="20" t="s">
        <v>336</v>
      </c>
      <c r="H135" s="20" t="s">
        <v>338</v>
      </c>
      <c r="I135" s="29">
        <v>1</v>
      </c>
      <c r="J135" s="30">
        <v>1</v>
      </c>
      <c r="K135" s="31">
        <v>4.0000000000000001E-3</v>
      </c>
      <c r="L135" s="9">
        <v>294314895.30546498</v>
      </c>
      <c r="M135" s="9">
        <v>294314895.30546498</v>
      </c>
      <c r="N135" s="32">
        <f>MIN(MAX((B135-Calculation_Assumptions!$B$5+1)/Calculation_Assumptions!$B$7,0),1)</f>
        <v>1</v>
      </c>
      <c r="O135" s="21">
        <f t="shared" si="16"/>
        <v>294314895.30546498</v>
      </c>
      <c r="P135" s="21">
        <f t="shared" si="17"/>
        <v>294314895.30546498</v>
      </c>
      <c r="Q135" s="21">
        <f>P135*Calculation_Assumptions!$B$14*J135*K135</f>
        <v>0</v>
      </c>
      <c r="R135" s="21">
        <f t="shared" si="18"/>
        <v>1177259.5812218599</v>
      </c>
      <c r="S135" s="21">
        <f t="shared" si="19"/>
        <v>1177259.5812218599</v>
      </c>
      <c r="T135" s="32">
        <f>1/(1+Calculation_Assumptions!$B$8)^(B135-Calculation_Assumptions!$B$2)</f>
        <v>0.91514165935315961</v>
      </c>
      <c r="U135" s="21">
        <f t="shared" si="20"/>
        <v>0</v>
      </c>
      <c r="V135" s="21">
        <f t="shared" si="21"/>
        <v>1077359.2866487787</v>
      </c>
      <c r="W135" s="21">
        <f t="shared" si="22"/>
        <v>1077359.2866487787</v>
      </c>
      <c r="X135">
        <v>0</v>
      </c>
      <c r="Y135" s="18">
        <v>2017</v>
      </c>
      <c r="Z135" t="s">
        <v>264</v>
      </c>
      <c r="AA135" s="21">
        <f t="shared" si="23"/>
        <v>1</v>
      </c>
    </row>
    <row r="136" spans="1:27">
      <c r="A136" t="s">
        <v>223</v>
      </c>
      <c r="B136" s="18">
        <v>2029</v>
      </c>
      <c r="C136" t="s">
        <v>223</v>
      </c>
      <c r="D136" s="20" t="s">
        <v>354</v>
      </c>
      <c r="E136" s="20" t="s">
        <v>355</v>
      </c>
      <c r="F136" s="20" t="s">
        <v>226</v>
      </c>
      <c r="G136" s="20" t="s">
        <v>336</v>
      </c>
      <c r="H136" s="20" t="s">
        <v>338</v>
      </c>
      <c r="I136" s="29">
        <v>1</v>
      </c>
      <c r="J136" s="30">
        <v>1</v>
      </c>
      <c r="K136" s="31">
        <v>4.0000000000000001E-3</v>
      </c>
      <c r="L136" s="9">
        <v>296029748.47864699</v>
      </c>
      <c r="M136" s="9">
        <v>296341062.542853</v>
      </c>
      <c r="N136" s="32">
        <f>MIN(MAX((B136-Calculation_Assumptions!$B$5+1)/Calculation_Assumptions!$B$7,0),1)</f>
        <v>1</v>
      </c>
      <c r="O136" s="21">
        <f t="shared" si="16"/>
        <v>296029748.47864699</v>
      </c>
      <c r="P136" s="21">
        <f t="shared" si="17"/>
        <v>296341062.542853</v>
      </c>
      <c r="Q136" s="21">
        <f>P136*Calculation_Assumptions!$B$14*J136*K136</f>
        <v>0</v>
      </c>
      <c r="R136" s="21">
        <f t="shared" si="18"/>
        <v>1184118.9939145879</v>
      </c>
      <c r="S136" s="21">
        <f t="shared" si="19"/>
        <v>1184118.9939145879</v>
      </c>
      <c r="T136" s="32">
        <f>1/(1+Calculation_Assumptions!$B$8)^(B136-Calculation_Assumptions!$B$2)</f>
        <v>0.888487047915689</v>
      </c>
      <c r="U136" s="21">
        <f t="shared" si="20"/>
        <v>0</v>
      </c>
      <c r="V136" s="21">
        <f t="shared" si="21"/>
        <v>1052074.3892840678</v>
      </c>
      <c r="W136" s="21">
        <f t="shared" si="22"/>
        <v>1052074.3892840678</v>
      </c>
      <c r="X136">
        <v>0</v>
      </c>
      <c r="Y136" s="18">
        <v>2017</v>
      </c>
      <c r="Z136" t="s">
        <v>264</v>
      </c>
      <c r="AA136" s="21">
        <f t="shared" si="23"/>
        <v>1</v>
      </c>
    </row>
    <row r="137" spans="1:27">
      <c r="A137" t="s">
        <v>223</v>
      </c>
      <c r="B137" s="18">
        <v>2030</v>
      </c>
      <c r="C137" t="s">
        <v>223</v>
      </c>
      <c r="D137" s="20" t="s">
        <v>354</v>
      </c>
      <c r="E137" s="20" t="s">
        <v>355</v>
      </c>
      <c r="F137" s="20" t="s">
        <v>226</v>
      </c>
      <c r="G137" s="20" t="s">
        <v>336</v>
      </c>
      <c r="H137" s="20" t="s">
        <v>338</v>
      </c>
      <c r="I137" s="29">
        <v>1</v>
      </c>
      <c r="J137" s="30">
        <v>1</v>
      </c>
      <c r="K137" s="31">
        <v>4.0000000000000001E-3</v>
      </c>
      <c r="L137" s="9">
        <v>297983107.77660799</v>
      </c>
      <c r="M137" s="9">
        <v>298280286.05726302</v>
      </c>
      <c r="N137" s="32">
        <f>MIN(MAX((B137-Calculation_Assumptions!$B$5+1)/Calculation_Assumptions!$B$7,0),1)</f>
        <v>1</v>
      </c>
      <c r="O137" s="21">
        <f t="shared" si="16"/>
        <v>297983107.77660799</v>
      </c>
      <c r="P137" s="21">
        <f t="shared" si="17"/>
        <v>298280286.05726302</v>
      </c>
      <c r="Q137" s="21">
        <f>P137*Calculation_Assumptions!$B$14*J137*K137</f>
        <v>0</v>
      </c>
      <c r="R137" s="21">
        <f t="shared" si="18"/>
        <v>1191932.4311064319</v>
      </c>
      <c r="S137" s="21">
        <f t="shared" si="19"/>
        <v>1191932.4311064319</v>
      </c>
      <c r="T137" s="32">
        <f>1/(1+Calculation_Assumptions!$B$8)^(B137-Calculation_Assumptions!$B$2)</f>
        <v>0.86260878438416411</v>
      </c>
      <c r="U137" s="21">
        <f t="shared" si="20"/>
        <v>0</v>
      </c>
      <c r="V137" s="21">
        <f t="shared" si="21"/>
        <v>1028171.3854647806</v>
      </c>
      <c r="W137" s="21">
        <f t="shared" si="22"/>
        <v>1028171.3854647806</v>
      </c>
      <c r="X137">
        <v>0</v>
      </c>
      <c r="Y137" s="18">
        <v>2017</v>
      </c>
      <c r="Z137" t="s">
        <v>264</v>
      </c>
      <c r="AA137" s="21">
        <f t="shared" si="23"/>
        <v>1</v>
      </c>
    </row>
    <row r="138" spans="1:27">
      <c r="A138" t="s">
        <v>223</v>
      </c>
      <c r="B138" s="18">
        <v>2031</v>
      </c>
      <c r="C138" t="s">
        <v>223</v>
      </c>
      <c r="D138" s="20" t="s">
        <v>354</v>
      </c>
      <c r="E138" s="20" t="s">
        <v>355</v>
      </c>
      <c r="F138" s="20" t="s">
        <v>226</v>
      </c>
      <c r="G138" s="20" t="s">
        <v>336</v>
      </c>
      <c r="H138" s="20" t="s">
        <v>338</v>
      </c>
      <c r="I138" s="29">
        <v>1</v>
      </c>
      <c r="J138" s="30">
        <v>1</v>
      </c>
      <c r="K138" s="31">
        <v>4.0000000000000001E-3</v>
      </c>
      <c r="L138" s="9">
        <v>299871903.78458703</v>
      </c>
      <c r="M138" s="9">
        <v>300152603.25478202</v>
      </c>
      <c r="N138" s="32">
        <f>MIN(MAX((B138-Calculation_Assumptions!$B$5+1)/Calculation_Assumptions!$B$7,0),1)</f>
        <v>1</v>
      </c>
      <c r="O138" s="21">
        <f t="shared" si="16"/>
        <v>299871903.78458703</v>
      </c>
      <c r="P138" s="21">
        <f t="shared" si="17"/>
        <v>300152603.25478202</v>
      </c>
      <c r="Q138" s="21">
        <f>P138*Calculation_Assumptions!$B$14*J138*K138</f>
        <v>0</v>
      </c>
      <c r="R138" s="21">
        <f t="shared" si="18"/>
        <v>1199487.6151383482</v>
      </c>
      <c r="S138" s="21">
        <f t="shared" si="19"/>
        <v>1199487.6151383482</v>
      </c>
      <c r="T138" s="32">
        <f>1/(1+Calculation_Assumptions!$B$8)^(B138-Calculation_Assumptions!$B$2)</f>
        <v>0.83748425668365445</v>
      </c>
      <c r="U138" s="21">
        <f t="shared" si="20"/>
        <v>0</v>
      </c>
      <c r="V138" s="21">
        <f t="shared" si="21"/>
        <v>1004551.993765389</v>
      </c>
      <c r="W138" s="21">
        <f t="shared" si="22"/>
        <v>1004551.993765389</v>
      </c>
      <c r="X138">
        <v>0</v>
      </c>
      <c r="Y138" s="18">
        <v>2017</v>
      </c>
      <c r="Z138" t="s">
        <v>264</v>
      </c>
      <c r="AA138" s="21">
        <f t="shared" si="23"/>
        <v>1</v>
      </c>
    </row>
    <row r="139" spans="1:27">
      <c r="A139" t="s">
        <v>223</v>
      </c>
      <c r="B139" s="18">
        <v>2032</v>
      </c>
      <c r="C139" t="s">
        <v>223</v>
      </c>
      <c r="D139" s="20" t="s">
        <v>354</v>
      </c>
      <c r="E139" s="20" t="s">
        <v>355</v>
      </c>
      <c r="F139" s="20" t="s">
        <v>226</v>
      </c>
      <c r="G139" s="20" t="s">
        <v>336</v>
      </c>
      <c r="H139" s="20" t="s">
        <v>338</v>
      </c>
      <c r="I139" s="29">
        <v>1</v>
      </c>
      <c r="J139" s="30">
        <v>1</v>
      </c>
      <c r="K139" s="31">
        <v>4.0000000000000001E-3</v>
      </c>
      <c r="L139" s="9">
        <v>301697069.58163202</v>
      </c>
      <c r="M139" s="9">
        <v>301959399.63388801</v>
      </c>
      <c r="N139" s="32">
        <f>MIN(MAX((B139-Calculation_Assumptions!$B$5+1)/Calculation_Assumptions!$B$7,0),1)</f>
        <v>1</v>
      </c>
      <c r="O139" s="21">
        <f t="shared" si="16"/>
        <v>301697069.58163202</v>
      </c>
      <c r="P139" s="21">
        <f t="shared" si="17"/>
        <v>301959399.63388801</v>
      </c>
      <c r="Q139" s="21">
        <f>P139*Calculation_Assumptions!$B$14*J139*K139</f>
        <v>0</v>
      </c>
      <c r="R139" s="21">
        <f t="shared" si="18"/>
        <v>1206788.2783265281</v>
      </c>
      <c r="S139" s="21">
        <f t="shared" si="19"/>
        <v>1206788.2783265281</v>
      </c>
      <c r="T139" s="32">
        <f>1/(1+Calculation_Assumptions!$B$8)^(B139-Calculation_Assumptions!$B$2)</f>
        <v>0.81309151134335378</v>
      </c>
      <c r="U139" s="21">
        <f t="shared" si="20"/>
        <v>0</v>
      </c>
      <c r="V139" s="21">
        <f t="shared" si="21"/>
        <v>981229.30509596062</v>
      </c>
      <c r="W139" s="21">
        <f t="shared" si="22"/>
        <v>981229.30509596062</v>
      </c>
      <c r="X139">
        <v>0</v>
      </c>
      <c r="Y139" s="18">
        <v>2017</v>
      </c>
      <c r="Z139" t="s">
        <v>264</v>
      </c>
      <c r="AA139" s="21">
        <f t="shared" si="23"/>
        <v>1</v>
      </c>
    </row>
    <row r="140" spans="1:27">
      <c r="A140" t="s">
        <v>223</v>
      </c>
      <c r="B140" s="18">
        <v>2033</v>
      </c>
      <c r="C140" t="s">
        <v>223</v>
      </c>
      <c r="D140" s="20" t="s">
        <v>354</v>
      </c>
      <c r="E140" s="20" t="s">
        <v>355</v>
      </c>
      <c r="F140" s="20" t="s">
        <v>226</v>
      </c>
      <c r="G140" s="20" t="s">
        <v>336</v>
      </c>
      <c r="H140" s="20" t="s">
        <v>338</v>
      </c>
      <c r="I140" s="29">
        <v>1</v>
      </c>
      <c r="J140" s="30">
        <v>1</v>
      </c>
      <c r="K140" s="31">
        <v>4.0000000000000001E-3</v>
      </c>
      <c r="L140" s="9">
        <v>303459460.43790603</v>
      </c>
      <c r="M140" s="9">
        <v>303701035.20205098</v>
      </c>
      <c r="N140" s="32">
        <f>MIN(MAX((B140-Calculation_Assumptions!$B$5+1)/Calculation_Assumptions!$B$7,0),1)</f>
        <v>1</v>
      </c>
      <c r="O140" s="21">
        <f t="shared" si="16"/>
        <v>303459460.43790603</v>
      </c>
      <c r="P140" s="21">
        <f t="shared" si="17"/>
        <v>303701035.20205098</v>
      </c>
      <c r="Q140" s="21">
        <f>P140*Calculation_Assumptions!$B$14*J140*K140</f>
        <v>0</v>
      </c>
      <c r="R140" s="21">
        <f t="shared" si="18"/>
        <v>1213837.8417516241</v>
      </c>
      <c r="S140" s="21">
        <f t="shared" si="19"/>
        <v>1213837.8417516241</v>
      </c>
      <c r="T140" s="32">
        <f>1/(1+Calculation_Assumptions!$B$8)^(B140-Calculation_Assumptions!$B$2)</f>
        <v>0.78940923431393573</v>
      </c>
      <c r="U140" s="21">
        <f t="shared" si="20"/>
        <v>0</v>
      </c>
      <c r="V140" s="21">
        <f t="shared" si="21"/>
        <v>958214.80123842985</v>
      </c>
      <c r="W140" s="21">
        <f t="shared" si="22"/>
        <v>958214.80123842985</v>
      </c>
      <c r="X140">
        <v>0</v>
      </c>
      <c r="Y140" s="18">
        <v>2017</v>
      </c>
      <c r="Z140" t="s">
        <v>264</v>
      </c>
      <c r="AA140" s="21">
        <f t="shared" si="23"/>
        <v>1</v>
      </c>
    </row>
    <row r="141" spans="1:27">
      <c r="A141" t="s">
        <v>223</v>
      </c>
      <c r="B141" s="18">
        <v>2034</v>
      </c>
      <c r="C141" t="s">
        <v>223</v>
      </c>
      <c r="D141" s="20" t="s">
        <v>354</v>
      </c>
      <c r="E141" s="20" t="s">
        <v>355</v>
      </c>
      <c r="F141" s="20" t="s">
        <v>226</v>
      </c>
      <c r="G141" s="20" t="s">
        <v>336</v>
      </c>
      <c r="H141" s="20" t="s">
        <v>338</v>
      </c>
      <c r="I141" s="29">
        <v>1</v>
      </c>
      <c r="J141" s="30">
        <v>1</v>
      </c>
      <c r="K141" s="31">
        <v>4.0000000000000001E-3</v>
      </c>
      <c r="L141" s="9">
        <v>305159961.40048802</v>
      </c>
      <c r="M141" s="9">
        <v>305377998.093319</v>
      </c>
      <c r="N141" s="32">
        <f>MIN(MAX((B141-Calculation_Assumptions!$B$5+1)/Calculation_Assumptions!$B$7,0),1)</f>
        <v>1</v>
      </c>
      <c r="O141" s="21">
        <f t="shared" si="16"/>
        <v>305159961.40048802</v>
      </c>
      <c r="P141" s="21">
        <f t="shared" si="17"/>
        <v>305377998.093319</v>
      </c>
      <c r="Q141" s="21">
        <f>P141*Calculation_Assumptions!$B$14*J141*K141</f>
        <v>0</v>
      </c>
      <c r="R141" s="21">
        <f t="shared" si="18"/>
        <v>1220639.8456019522</v>
      </c>
      <c r="S141" s="21">
        <f t="shared" si="19"/>
        <v>1220639.8456019522</v>
      </c>
      <c r="T141" s="32">
        <f>1/(1+Calculation_Assumptions!$B$8)^(B141-Calculation_Assumptions!$B$2)</f>
        <v>0.76641673234362695</v>
      </c>
      <c r="U141" s="21">
        <f t="shared" si="20"/>
        <v>0</v>
      </c>
      <c r="V141" s="21">
        <f t="shared" si="21"/>
        <v>935518.80183467746</v>
      </c>
      <c r="W141" s="21">
        <f t="shared" si="22"/>
        <v>935518.80183467746</v>
      </c>
      <c r="X141">
        <v>0</v>
      </c>
      <c r="Y141" s="18">
        <v>2017</v>
      </c>
      <c r="Z141" t="s">
        <v>264</v>
      </c>
      <c r="AA141" s="21">
        <f t="shared" si="23"/>
        <v>1</v>
      </c>
    </row>
    <row r="142" spans="1:27">
      <c r="A142" t="s">
        <v>223</v>
      </c>
      <c r="B142" s="18">
        <v>2035</v>
      </c>
      <c r="C142" t="s">
        <v>223</v>
      </c>
      <c r="D142" s="20" t="s">
        <v>354</v>
      </c>
      <c r="E142" s="20" t="s">
        <v>355</v>
      </c>
      <c r="F142" s="20" t="s">
        <v>226</v>
      </c>
      <c r="G142" s="20" t="s">
        <v>336</v>
      </c>
      <c r="H142" s="20" t="s">
        <v>338</v>
      </c>
      <c r="I142" s="29">
        <v>1</v>
      </c>
      <c r="J142" s="30">
        <v>1</v>
      </c>
      <c r="K142" s="31">
        <v>4.0000000000000001E-3</v>
      </c>
      <c r="L142" s="9">
        <v>306799466.89522702</v>
      </c>
      <c r="M142" s="9">
        <v>306989258.29407001</v>
      </c>
      <c r="N142" s="32">
        <f>MIN(MAX((B142-Calculation_Assumptions!$B$5+1)/Calculation_Assumptions!$B$7,0),1)</f>
        <v>1</v>
      </c>
      <c r="O142" s="21">
        <f t="shared" si="16"/>
        <v>306799466.89522702</v>
      </c>
      <c r="P142" s="21">
        <f t="shared" si="17"/>
        <v>306989258.29407001</v>
      </c>
      <c r="Q142" s="21">
        <f>P142*Calculation_Assumptions!$B$14*J142*K142</f>
        <v>0</v>
      </c>
      <c r="R142" s="21">
        <f t="shared" si="18"/>
        <v>1227197.8675809081</v>
      </c>
      <c r="S142" s="21">
        <f t="shared" si="19"/>
        <v>1227197.8675809081</v>
      </c>
      <c r="T142" s="32">
        <f>1/(1+Calculation_Assumptions!$B$8)^(B142-Calculation_Assumptions!$B$2)</f>
        <v>0.74409391489672516</v>
      </c>
      <c r="U142" s="21">
        <f t="shared" si="20"/>
        <v>0</v>
      </c>
      <c r="V142" s="21">
        <f t="shared" si="21"/>
        <v>913150.46564119088</v>
      </c>
      <c r="W142" s="21">
        <f t="shared" si="22"/>
        <v>913150.46564119088</v>
      </c>
      <c r="X142">
        <v>0</v>
      </c>
      <c r="Y142" s="18">
        <v>2017</v>
      </c>
      <c r="Z142" t="s">
        <v>264</v>
      </c>
      <c r="AA142" s="21">
        <f t="shared" si="23"/>
        <v>1</v>
      </c>
    </row>
    <row r="143" spans="1:27">
      <c r="A143" t="s">
        <v>223</v>
      </c>
      <c r="B143" s="18">
        <v>2036</v>
      </c>
      <c r="C143" t="s">
        <v>223</v>
      </c>
      <c r="D143" s="20" t="s">
        <v>354</v>
      </c>
      <c r="E143" s="20" t="s">
        <v>355</v>
      </c>
      <c r="F143" s="20" t="s">
        <v>226</v>
      </c>
      <c r="G143" s="20" t="s">
        <v>336</v>
      </c>
      <c r="H143" s="20" t="s">
        <v>338</v>
      </c>
      <c r="I143" s="29">
        <v>1</v>
      </c>
      <c r="J143" s="30">
        <v>1</v>
      </c>
      <c r="K143" s="31">
        <v>4.0000000000000001E-3</v>
      </c>
      <c r="L143" s="9">
        <v>308378746.46820199</v>
      </c>
      <c r="M143" s="9">
        <v>308537399.67209399</v>
      </c>
      <c r="N143" s="32">
        <f>MIN(MAX((B143-Calculation_Assumptions!$B$5+1)/Calculation_Assumptions!$B$7,0),1)</f>
        <v>1</v>
      </c>
      <c r="O143" s="21">
        <f t="shared" si="16"/>
        <v>308378746.46820199</v>
      </c>
      <c r="P143" s="21">
        <f t="shared" si="17"/>
        <v>308537399.67209399</v>
      </c>
      <c r="Q143" s="21">
        <f>P143*Calculation_Assumptions!$B$14*J143*K143</f>
        <v>0</v>
      </c>
      <c r="R143" s="21">
        <f t="shared" si="18"/>
        <v>1233514.9858728079</v>
      </c>
      <c r="S143" s="21">
        <f t="shared" si="19"/>
        <v>1233514.9858728079</v>
      </c>
      <c r="T143" s="32">
        <f>1/(1+Calculation_Assumptions!$B$8)^(B143-Calculation_Assumptions!$B$2)</f>
        <v>0.72242127659876232</v>
      </c>
      <c r="U143" s="21">
        <f t="shared" si="20"/>
        <v>0</v>
      </c>
      <c r="V143" s="21">
        <f t="shared" si="21"/>
        <v>891117.47079793818</v>
      </c>
      <c r="W143" s="21">
        <f t="shared" si="22"/>
        <v>891117.47079793818</v>
      </c>
      <c r="X143">
        <v>0</v>
      </c>
      <c r="Y143" s="18">
        <v>2017</v>
      </c>
      <c r="Z143" t="s">
        <v>264</v>
      </c>
      <c r="AA143" s="21">
        <f t="shared" si="23"/>
        <v>1</v>
      </c>
    </row>
    <row r="144" spans="1:27">
      <c r="A144" t="s">
        <v>223</v>
      </c>
      <c r="B144" s="18">
        <v>2037</v>
      </c>
      <c r="C144" t="s">
        <v>223</v>
      </c>
      <c r="D144" s="20" t="s">
        <v>354</v>
      </c>
      <c r="E144" s="20" t="s">
        <v>355</v>
      </c>
      <c r="F144" s="20" t="s">
        <v>226</v>
      </c>
      <c r="G144" s="20" t="s">
        <v>336</v>
      </c>
      <c r="H144" s="20" t="s">
        <v>338</v>
      </c>
      <c r="I144" s="29">
        <v>1</v>
      </c>
      <c r="J144" s="30">
        <v>1</v>
      </c>
      <c r="K144" s="31">
        <v>4.0000000000000001E-3</v>
      </c>
      <c r="L144" s="9">
        <v>309898640.15514302</v>
      </c>
      <c r="M144" s="9">
        <v>310023120.39347202</v>
      </c>
      <c r="N144" s="32">
        <f>MIN(MAX((B144-Calculation_Assumptions!$B$5+1)/Calculation_Assumptions!$B$7,0),1)</f>
        <v>1</v>
      </c>
      <c r="O144" s="21">
        <f t="shared" si="16"/>
        <v>309898640.15514302</v>
      </c>
      <c r="P144" s="21">
        <f t="shared" si="17"/>
        <v>310023120.39347202</v>
      </c>
      <c r="Q144" s="21">
        <f>P144*Calculation_Assumptions!$B$14*J144*K144</f>
        <v>0</v>
      </c>
      <c r="R144" s="21">
        <f t="shared" si="18"/>
        <v>1239594.5606205722</v>
      </c>
      <c r="S144" s="21">
        <f t="shared" si="19"/>
        <v>1239594.5606205722</v>
      </c>
      <c r="T144" s="32">
        <f>1/(1+Calculation_Assumptions!$B$8)^(B144-Calculation_Assumptions!$B$2)</f>
        <v>0.70137988019297326</v>
      </c>
      <c r="U144" s="21">
        <f t="shared" si="20"/>
        <v>0</v>
      </c>
      <c r="V144" s="21">
        <f t="shared" si="21"/>
        <v>869426.68441591819</v>
      </c>
      <c r="W144" s="21">
        <f t="shared" si="22"/>
        <v>869426.68441591819</v>
      </c>
      <c r="X144">
        <v>0</v>
      </c>
      <c r="Y144" s="18">
        <v>2017</v>
      </c>
      <c r="Z144" t="s">
        <v>264</v>
      </c>
      <c r="AA144" s="21">
        <f t="shared" si="23"/>
        <v>1</v>
      </c>
    </row>
    <row r="145" spans="1:27">
      <c r="A145" t="s">
        <v>223</v>
      </c>
      <c r="B145" s="18">
        <v>2038</v>
      </c>
      <c r="C145" t="s">
        <v>223</v>
      </c>
      <c r="D145" s="20" t="s">
        <v>354</v>
      </c>
      <c r="E145" s="20" t="s">
        <v>355</v>
      </c>
      <c r="F145" s="20" t="s">
        <v>226</v>
      </c>
      <c r="G145" s="20" t="s">
        <v>336</v>
      </c>
      <c r="H145" s="20" t="s">
        <v>338</v>
      </c>
      <c r="I145" s="29">
        <v>1</v>
      </c>
      <c r="J145" s="30">
        <v>1</v>
      </c>
      <c r="K145" s="31">
        <v>4.0000000000000001E-3</v>
      </c>
      <c r="L145" s="9">
        <v>311360118.47855097</v>
      </c>
      <c r="M145" s="9">
        <v>311445837.13462502</v>
      </c>
      <c r="N145" s="32">
        <f>MIN(MAX((B145-Calculation_Assumptions!$B$5+1)/Calculation_Assumptions!$B$7,0),1)</f>
        <v>1</v>
      </c>
      <c r="O145" s="21">
        <f t="shared" si="16"/>
        <v>311360118.47855097</v>
      </c>
      <c r="P145" s="21">
        <f t="shared" si="17"/>
        <v>311445837.13462502</v>
      </c>
      <c r="Q145" s="21">
        <f>P145*Calculation_Assumptions!$B$14*J145*K145</f>
        <v>0</v>
      </c>
      <c r="R145" s="21">
        <f t="shared" si="18"/>
        <v>1245440.4739142039</v>
      </c>
      <c r="S145" s="21">
        <f t="shared" si="19"/>
        <v>1245440.4739142039</v>
      </c>
      <c r="T145" s="32">
        <f>1/(1+Calculation_Assumptions!$B$8)^(B145-Calculation_Assumptions!$B$2)</f>
        <v>0.68095133999317792</v>
      </c>
      <c r="U145" s="21">
        <f t="shared" si="20"/>
        <v>0</v>
      </c>
      <c r="V145" s="21">
        <f t="shared" si="21"/>
        <v>848084.35959361575</v>
      </c>
      <c r="W145" s="21">
        <f t="shared" si="22"/>
        <v>848084.35959361575</v>
      </c>
      <c r="X145">
        <v>0</v>
      </c>
      <c r="Y145" s="18">
        <v>2017</v>
      </c>
      <c r="Z145" t="s">
        <v>264</v>
      </c>
      <c r="AA145" s="21">
        <f t="shared" si="23"/>
        <v>1</v>
      </c>
    </row>
    <row r="146" spans="1:27">
      <c r="A146" t="s">
        <v>223</v>
      </c>
      <c r="B146" s="18">
        <v>2039</v>
      </c>
      <c r="C146" t="s">
        <v>223</v>
      </c>
      <c r="D146" s="20" t="s">
        <v>354</v>
      </c>
      <c r="E146" s="20" t="s">
        <v>355</v>
      </c>
      <c r="F146" s="20" t="s">
        <v>226</v>
      </c>
      <c r="G146" s="20" t="s">
        <v>336</v>
      </c>
      <c r="H146" s="20" t="s">
        <v>338</v>
      </c>
      <c r="I146" s="29">
        <v>1</v>
      </c>
      <c r="J146" s="30">
        <v>1</v>
      </c>
      <c r="K146" s="31">
        <v>4.0000000000000001E-3</v>
      </c>
      <c r="L146" s="9">
        <v>312764113.07941598</v>
      </c>
      <c r="M146" s="9">
        <v>312806989.71568501</v>
      </c>
      <c r="N146" s="32">
        <f>MIN(MAX((B146-Calculation_Assumptions!$B$5+1)/Calculation_Assumptions!$B$7,0),1)</f>
        <v>1</v>
      </c>
      <c r="O146" s="21">
        <f t="shared" si="16"/>
        <v>312764113.07941598</v>
      </c>
      <c r="P146" s="21">
        <f t="shared" si="17"/>
        <v>312806989.71568501</v>
      </c>
      <c r="Q146" s="21">
        <f>P146*Calculation_Assumptions!$B$14*J146*K146</f>
        <v>0</v>
      </c>
      <c r="R146" s="21">
        <f t="shared" si="18"/>
        <v>1251056.4523176639</v>
      </c>
      <c r="S146" s="21">
        <f t="shared" si="19"/>
        <v>1251056.4523176639</v>
      </c>
      <c r="T146" s="32">
        <f>1/(1+Calculation_Assumptions!$B$8)^(B146-Calculation_Assumptions!$B$2)</f>
        <v>0.66111780581861923</v>
      </c>
      <c r="U146" s="21">
        <f t="shared" si="20"/>
        <v>0</v>
      </c>
      <c r="V146" s="21">
        <f t="shared" si="21"/>
        <v>827095.69671148004</v>
      </c>
      <c r="W146" s="21">
        <f t="shared" si="22"/>
        <v>827095.69671148004</v>
      </c>
      <c r="X146">
        <v>0</v>
      </c>
      <c r="Y146" s="18">
        <v>2017</v>
      </c>
      <c r="Z146" t="s">
        <v>264</v>
      </c>
      <c r="AA146" s="21">
        <f t="shared" si="23"/>
        <v>1</v>
      </c>
    </row>
    <row r="147" spans="1:27">
      <c r="A147" t="s">
        <v>223</v>
      </c>
      <c r="B147" s="18">
        <v>2040</v>
      </c>
      <c r="C147" t="s">
        <v>223</v>
      </c>
      <c r="D147" s="20" t="s">
        <v>354</v>
      </c>
      <c r="E147" s="20" t="s">
        <v>355</v>
      </c>
      <c r="F147" s="20" t="s">
        <v>226</v>
      </c>
      <c r="G147" s="20" t="s">
        <v>336</v>
      </c>
      <c r="H147" s="20" t="s">
        <v>338</v>
      </c>
      <c r="I147" s="29">
        <v>1</v>
      </c>
      <c r="J147" s="30">
        <v>1</v>
      </c>
      <c r="K147" s="31">
        <v>4.0000000000000001E-3</v>
      </c>
      <c r="L147" s="9">
        <v>314111357.94477898</v>
      </c>
      <c r="M147" s="9">
        <v>314109251.58264899</v>
      </c>
      <c r="N147" s="32">
        <f>MIN(MAX((B147-Calculation_Assumptions!$B$5+1)/Calculation_Assumptions!$B$7,0),1)</f>
        <v>1</v>
      </c>
      <c r="O147" s="21">
        <f t="shared" si="16"/>
        <v>314111357.94477898</v>
      </c>
      <c r="P147" s="21">
        <f t="shared" si="17"/>
        <v>314109251.58264899</v>
      </c>
      <c r="Q147" s="21">
        <f>P147*Calculation_Assumptions!$B$14*J147*K147</f>
        <v>0</v>
      </c>
      <c r="R147" s="21">
        <f t="shared" si="18"/>
        <v>1256445.4317791159</v>
      </c>
      <c r="S147" s="21">
        <f t="shared" si="19"/>
        <v>1256445.4317791159</v>
      </c>
      <c r="T147" s="32">
        <f>1/(1+Calculation_Assumptions!$B$8)^(B147-Calculation_Assumptions!$B$2)</f>
        <v>0.64186194739671765</v>
      </c>
      <c r="U147" s="21">
        <f t="shared" si="20"/>
        <v>0</v>
      </c>
      <c r="V147" s="21">
        <f t="shared" si="21"/>
        <v>806464.51163945312</v>
      </c>
      <c r="W147" s="21">
        <f t="shared" si="22"/>
        <v>806464.51163945312</v>
      </c>
      <c r="X147">
        <v>0</v>
      </c>
      <c r="Y147" s="18">
        <v>2017</v>
      </c>
      <c r="Z147" t="s">
        <v>264</v>
      </c>
      <c r="AA147" s="21">
        <f t="shared" si="23"/>
        <v>1</v>
      </c>
    </row>
    <row r="148" spans="1:27">
      <c r="A148" t="s">
        <v>223</v>
      </c>
      <c r="B148" s="18">
        <v>2041</v>
      </c>
      <c r="C148" t="s">
        <v>223</v>
      </c>
      <c r="D148" s="20" t="s">
        <v>354</v>
      </c>
      <c r="E148" s="20" t="s">
        <v>355</v>
      </c>
      <c r="F148" s="20" t="s">
        <v>226</v>
      </c>
      <c r="G148" s="20" t="s">
        <v>336</v>
      </c>
      <c r="H148" s="20" t="s">
        <v>338</v>
      </c>
      <c r="I148" s="29">
        <v>1</v>
      </c>
      <c r="J148" s="30">
        <v>1</v>
      </c>
      <c r="K148" s="31">
        <v>4.0000000000000001E-3</v>
      </c>
      <c r="L148" s="9">
        <v>315402556.21595901</v>
      </c>
      <c r="M148" s="9">
        <v>315352079.81242299</v>
      </c>
      <c r="N148" s="32">
        <f>MIN(MAX((B148-Calculation_Assumptions!$B$5+1)/Calculation_Assumptions!$B$7,0),1)</f>
        <v>1</v>
      </c>
      <c r="O148" s="21">
        <f t="shared" si="16"/>
        <v>315402556.21595901</v>
      </c>
      <c r="P148" s="21">
        <f t="shared" si="17"/>
        <v>315352079.81242299</v>
      </c>
      <c r="Q148" s="21">
        <f>P148*Calculation_Assumptions!$B$14*J148*K148</f>
        <v>0</v>
      </c>
      <c r="R148" s="21">
        <f t="shared" si="18"/>
        <v>1261610.2248638361</v>
      </c>
      <c r="S148" s="21">
        <f t="shared" si="19"/>
        <v>1261610.2248638361</v>
      </c>
      <c r="T148" s="32">
        <f>1/(1+Calculation_Assumptions!$B$8)^(B148-Calculation_Assumptions!$B$2)</f>
        <v>0.62316693922011435</v>
      </c>
      <c r="U148" s="21">
        <f t="shared" si="20"/>
        <v>0</v>
      </c>
      <c r="V148" s="21">
        <f t="shared" si="21"/>
        <v>786193.78231719695</v>
      </c>
      <c r="W148" s="21">
        <f t="shared" si="22"/>
        <v>786193.78231719695</v>
      </c>
      <c r="X148">
        <v>0</v>
      </c>
      <c r="Y148" s="18">
        <v>2017</v>
      </c>
      <c r="Z148" t="s">
        <v>264</v>
      </c>
      <c r="AA148" s="21">
        <f t="shared" si="23"/>
        <v>1</v>
      </c>
    </row>
    <row r="149" spans="1:27">
      <c r="A149" t="s">
        <v>223</v>
      </c>
      <c r="B149" s="18">
        <v>2042</v>
      </c>
      <c r="C149" t="s">
        <v>223</v>
      </c>
      <c r="D149" s="20" t="s">
        <v>354</v>
      </c>
      <c r="E149" s="20" t="s">
        <v>355</v>
      </c>
      <c r="F149" s="20" t="s">
        <v>226</v>
      </c>
      <c r="G149" s="20" t="s">
        <v>336</v>
      </c>
      <c r="H149" s="20" t="s">
        <v>338</v>
      </c>
      <c r="I149" s="29">
        <v>1</v>
      </c>
      <c r="J149" s="30">
        <v>1</v>
      </c>
      <c r="K149" s="31">
        <v>4.0000000000000001E-3</v>
      </c>
      <c r="L149" s="9">
        <v>316638104.19519699</v>
      </c>
      <c r="M149" s="9">
        <v>316395286.31201601</v>
      </c>
      <c r="N149" s="32">
        <f>MIN(MAX((B149-Calculation_Assumptions!$B$5+1)/Calculation_Assumptions!$B$7,0),1)</f>
        <v>1</v>
      </c>
      <c r="O149" s="21">
        <f t="shared" si="16"/>
        <v>316638104.19519699</v>
      </c>
      <c r="P149" s="21">
        <f t="shared" si="17"/>
        <v>316395286.31201601</v>
      </c>
      <c r="Q149" s="21">
        <f>P149*Calculation_Assumptions!$B$14*J149*K149</f>
        <v>0</v>
      </c>
      <c r="R149" s="21">
        <f t="shared" si="18"/>
        <v>1266552.416780788</v>
      </c>
      <c r="S149" s="21">
        <f t="shared" si="19"/>
        <v>1266552.416780788</v>
      </c>
      <c r="T149" s="32">
        <f>1/(1+Calculation_Assumptions!$B$8)^(B149-Calculation_Assumptions!$B$2)</f>
        <v>0.60501644584477121</v>
      </c>
      <c r="U149" s="21">
        <f t="shared" si="20"/>
        <v>0</v>
      </c>
      <c r="V149" s="21">
        <f t="shared" si="21"/>
        <v>766285.04167681769</v>
      </c>
      <c r="W149" s="21">
        <f t="shared" si="22"/>
        <v>766285.04167681769</v>
      </c>
      <c r="X149">
        <v>0</v>
      </c>
      <c r="Y149" s="18">
        <v>2017</v>
      </c>
      <c r="Z149" t="s">
        <v>264</v>
      </c>
      <c r="AA149" s="21">
        <f t="shared" si="23"/>
        <v>1</v>
      </c>
    </row>
    <row r="150" spans="1:27">
      <c r="A150" t="s">
        <v>223</v>
      </c>
      <c r="B150" s="18">
        <v>2043</v>
      </c>
      <c r="C150" t="s">
        <v>223</v>
      </c>
      <c r="D150" s="20" t="s">
        <v>354</v>
      </c>
      <c r="E150" s="20" t="s">
        <v>355</v>
      </c>
      <c r="F150" s="20" t="s">
        <v>226</v>
      </c>
      <c r="G150" s="20" t="s">
        <v>336</v>
      </c>
      <c r="H150" s="20" t="s">
        <v>338</v>
      </c>
      <c r="I150" s="29">
        <v>1</v>
      </c>
      <c r="J150" s="30">
        <v>1</v>
      </c>
      <c r="K150" s="31">
        <v>4.0000000000000001E-3</v>
      </c>
      <c r="L150" s="9">
        <v>317818187.27893901</v>
      </c>
      <c r="M150" s="9">
        <v>317619735.68828899</v>
      </c>
      <c r="N150" s="32">
        <f>MIN(MAX((B150-Calculation_Assumptions!$B$5+1)/Calculation_Assumptions!$B$7,0),1)</f>
        <v>1</v>
      </c>
      <c r="O150" s="21">
        <f t="shared" si="16"/>
        <v>317818187.27893901</v>
      </c>
      <c r="P150" s="21">
        <f t="shared" si="17"/>
        <v>317619735.68828899</v>
      </c>
      <c r="Q150" s="21">
        <f>P150*Calculation_Assumptions!$B$14*J150*K150</f>
        <v>0</v>
      </c>
      <c r="R150" s="21">
        <f t="shared" si="18"/>
        <v>1271272.749115756</v>
      </c>
      <c r="S150" s="21">
        <f t="shared" si="19"/>
        <v>1271272.749115756</v>
      </c>
      <c r="T150" s="32">
        <f>1/(1+Calculation_Assumptions!$B$8)^(B150-Calculation_Assumptions!$B$2)</f>
        <v>0.5873946076162827</v>
      </c>
      <c r="U150" s="21">
        <f t="shared" si="20"/>
        <v>0</v>
      </c>
      <c r="V150" s="21">
        <f t="shared" si="21"/>
        <v>746738.75764012255</v>
      </c>
      <c r="W150" s="21">
        <f t="shared" si="22"/>
        <v>746738.75764012255</v>
      </c>
      <c r="X150">
        <v>0</v>
      </c>
      <c r="Y150" s="18">
        <v>2017</v>
      </c>
      <c r="Z150" t="s">
        <v>264</v>
      </c>
      <c r="AA150" s="21">
        <f t="shared" si="23"/>
        <v>1</v>
      </c>
    </row>
    <row r="151" spans="1:27">
      <c r="A151" t="s">
        <v>223</v>
      </c>
      <c r="B151" s="18">
        <v>2044</v>
      </c>
      <c r="C151" t="s">
        <v>223</v>
      </c>
      <c r="D151" s="20" t="s">
        <v>354</v>
      </c>
      <c r="E151" s="20" t="s">
        <v>355</v>
      </c>
      <c r="F151" s="20" t="s">
        <v>226</v>
      </c>
      <c r="G151" s="20" t="s">
        <v>336</v>
      </c>
      <c r="H151" s="20" t="s">
        <v>338</v>
      </c>
      <c r="I151" s="29">
        <v>1</v>
      </c>
      <c r="J151" s="30">
        <v>1</v>
      </c>
      <c r="K151" s="31">
        <v>4.0000000000000001E-3</v>
      </c>
      <c r="L151" s="9">
        <v>318943283.49080497</v>
      </c>
      <c r="M151" s="9">
        <v>318697135.86365199</v>
      </c>
      <c r="N151" s="32">
        <f>MIN(MAX((B151-Calculation_Assumptions!$B$5+1)/Calculation_Assumptions!$B$7,0),1)</f>
        <v>1</v>
      </c>
      <c r="O151" s="21">
        <f t="shared" si="16"/>
        <v>318943283.49080497</v>
      </c>
      <c r="P151" s="21">
        <f t="shared" si="17"/>
        <v>318697135.86365199</v>
      </c>
      <c r="Q151" s="21">
        <f>P151*Calculation_Assumptions!$B$14*J151*K151</f>
        <v>0</v>
      </c>
      <c r="R151" s="21">
        <f t="shared" si="18"/>
        <v>1275773.1339632198</v>
      </c>
      <c r="S151" s="21">
        <f t="shared" si="19"/>
        <v>1275773.1339632198</v>
      </c>
      <c r="T151" s="32">
        <f>1/(1+Calculation_Assumptions!$B$8)^(B151-Calculation_Assumptions!$B$2)</f>
        <v>0.57028602681192497</v>
      </c>
      <c r="U151" s="21">
        <f t="shared" si="20"/>
        <v>0</v>
      </c>
      <c r="V151" s="21">
        <f t="shared" si="21"/>
        <v>727555.59168128239</v>
      </c>
      <c r="W151" s="21">
        <f t="shared" si="22"/>
        <v>727555.59168128239</v>
      </c>
      <c r="X151">
        <v>0</v>
      </c>
      <c r="Y151" s="18">
        <v>2017</v>
      </c>
      <c r="Z151" t="s">
        <v>264</v>
      </c>
      <c r="AA151" s="21">
        <f t="shared" si="23"/>
        <v>1</v>
      </c>
    </row>
    <row r="152" spans="1:27">
      <c r="A152" t="s">
        <v>223</v>
      </c>
      <c r="B152" s="18">
        <v>2045</v>
      </c>
      <c r="C152" t="s">
        <v>223</v>
      </c>
      <c r="D152" s="20" t="s">
        <v>354</v>
      </c>
      <c r="E152" s="20" t="s">
        <v>355</v>
      </c>
      <c r="F152" s="20" t="s">
        <v>226</v>
      </c>
      <c r="G152" s="20" t="s">
        <v>336</v>
      </c>
      <c r="H152" s="20" t="s">
        <v>338</v>
      </c>
      <c r="I152" s="29">
        <v>1</v>
      </c>
      <c r="J152" s="30">
        <v>1</v>
      </c>
      <c r="K152" s="31">
        <v>4.0000000000000001E-3</v>
      </c>
      <c r="L152" s="9">
        <v>320014078.716317</v>
      </c>
      <c r="M152" s="9">
        <v>319717840.85179001</v>
      </c>
      <c r="N152" s="32">
        <f>MIN(MAX((B152-Calculation_Assumptions!$B$5+1)/Calculation_Assumptions!$B$7,0),1)</f>
        <v>1</v>
      </c>
      <c r="O152" s="21">
        <f t="shared" si="16"/>
        <v>320014078.716317</v>
      </c>
      <c r="P152" s="21">
        <f t="shared" si="17"/>
        <v>319717840.85179001</v>
      </c>
      <c r="Q152" s="21">
        <f>P152*Calculation_Assumptions!$B$14*J152*K152</f>
        <v>0</v>
      </c>
      <c r="R152" s="21">
        <f t="shared" si="18"/>
        <v>1280056.3148652681</v>
      </c>
      <c r="S152" s="21">
        <f t="shared" si="19"/>
        <v>1280056.3148652681</v>
      </c>
      <c r="T152" s="32">
        <f>1/(1+Calculation_Assumptions!$B$8)^(B152-Calculation_Assumptions!$B$2)</f>
        <v>0.55367575418633497</v>
      </c>
      <c r="U152" s="21">
        <f t="shared" si="20"/>
        <v>0</v>
      </c>
      <c r="V152" s="21">
        <f t="shared" si="21"/>
        <v>708736.14553400793</v>
      </c>
      <c r="W152" s="21">
        <f t="shared" si="22"/>
        <v>708736.14553400793</v>
      </c>
      <c r="X152">
        <v>0</v>
      </c>
      <c r="Y152" s="18">
        <v>2017</v>
      </c>
      <c r="Z152" t="s">
        <v>264</v>
      </c>
      <c r="AA152" s="21">
        <f t="shared" si="23"/>
        <v>1</v>
      </c>
    </row>
    <row r="153" spans="1:27">
      <c r="A153" t="s">
        <v>223</v>
      </c>
      <c r="B153" s="18">
        <v>2046</v>
      </c>
      <c r="C153" t="s">
        <v>223</v>
      </c>
      <c r="D153" s="20" t="s">
        <v>354</v>
      </c>
      <c r="E153" s="20" t="s">
        <v>355</v>
      </c>
      <c r="F153" s="20" t="s">
        <v>226</v>
      </c>
      <c r="G153" s="20" t="s">
        <v>336</v>
      </c>
      <c r="H153" s="20" t="s">
        <v>338</v>
      </c>
      <c r="I153" s="29">
        <v>1</v>
      </c>
      <c r="J153" s="30">
        <v>1</v>
      </c>
      <c r="K153" s="31">
        <v>4.0000000000000001E-3</v>
      </c>
      <c r="L153" s="9">
        <v>321031328.76911998</v>
      </c>
      <c r="M153" s="9">
        <v>320683879.80627602</v>
      </c>
      <c r="N153" s="32">
        <f>MIN(MAX((B153-Calculation_Assumptions!$B$5+1)/Calculation_Assumptions!$B$7,0),1)</f>
        <v>1</v>
      </c>
      <c r="O153" s="21">
        <f t="shared" si="16"/>
        <v>321031328.76911998</v>
      </c>
      <c r="P153" s="21">
        <f t="shared" si="17"/>
        <v>320683879.80627602</v>
      </c>
      <c r="Q153" s="21">
        <f>P153*Calculation_Assumptions!$B$14*J153*K153</f>
        <v>0</v>
      </c>
      <c r="R153" s="21">
        <f t="shared" si="18"/>
        <v>1284125.3150764799</v>
      </c>
      <c r="S153" s="21">
        <f t="shared" si="19"/>
        <v>1284125.3150764799</v>
      </c>
      <c r="T153" s="32">
        <f>1/(1+Calculation_Assumptions!$B$8)^(B153-Calculation_Assumptions!$B$2)</f>
        <v>0.5375492759090631</v>
      </c>
      <c r="U153" s="21">
        <f t="shared" si="20"/>
        <v>0</v>
      </c>
      <c r="V153" s="21">
        <f t="shared" si="21"/>
        <v>690280.63329585933</v>
      </c>
      <c r="W153" s="21">
        <f t="shared" si="22"/>
        <v>690280.63329585933</v>
      </c>
      <c r="X153">
        <v>0</v>
      </c>
      <c r="Y153" s="18">
        <v>2017</v>
      </c>
      <c r="Z153" t="s">
        <v>264</v>
      </c>
      <c r="AA153" s="21">
        <f t="shared" si="23"/>
        <v>1</v>
      </c>
    </row>
    <row r="154" spans="1:27">
      <c r="A154" t="s">
        <v>223</v>
      </c>
      <c r="B154" s="18">
        <v>2047</v>
      </c>
      <c r="C154" t="s">
        <v>223</v>
      </c>
      <c r="D154" s="20" t="s">
        <v>354</v>
      </c>
      <c r="E154" s="20" t="s">
        <v>355</v>
      </c>
      <c r="F154" s="20" t="s">
        <v>226</v>
      </c>
      <c r="G154" s="20" t="s">
        <v>336</v>
      </c>
      <c r="H154" s="20" t="s">
        <v>338</v>
      </c>
      <c r="I154" s="29">
        <v>1</v>
      </c>
      <c r="J154" s="30">
        <v>1</v>
      </c>
      <c r="K154" s="31">
        <v>4.0000000000000001E-3</v>
      </c>
      <c r="L154" s="9">
        <v>321995835.138605</v>
      </c>
      <c r="M154" s="9">
        <v>321595541.38952601</v>
      </c>
      <c r="N154" s="32">
        <f>MIN(MAX((B154-Calculation_Assumptions!$B$5+1)/Calculation_Assumptions!$B$7,0),1)</f>
        <v>1</v>
      </c>
      <c r="O154" s="21">
        <f t="shared" si="16"/>
        <v>321995835.138605</v>
      </c>
      <c r="P154" s="21">
        <f t="shared" si="17"/>
        <v>321595541.38952601</v>
      </c>
      <c r="Q154" s="21">
        <f>P154*Calculation_Assumptions!$B$14*J154*K154</f>
        <v>0</v>
      </c>
      <c r="R154" s="21">
        <f t="shared" si="18"/>
        <v>1287983.3405544199</v>
      </c>
      <c r="S154" s="21">
        <f t="shared" si="19"/>
        <v>1287983.3405544199</v>
      </c>
      <c r="T154" s="32">
        <f>1/(1+Calculation_Assumptions!$B$8)^(B154-Calculation_Assumptions!$B$2)</f>
        <v>0.52189250088258554</v>
      </c>
      <c r="U154" s="21">
        <f t="shared" si="20"/>
        <v>0</v>
      </c>
      <c r="V154" s="21">
        <f t="shared" si="21"/>
        <v>672188.84669705306</v>
      </c>
      <c r="W154" s="21">
        <f t="shared" si="22"/>
        <v>672188.84669705306</v>
      </c>
      <c r="X154">
        <v>0</v>
      </c>
      <c r="Y154" s="18">
        <v>2017</v>
      </c>
      <c r="Z154" t="s">
        <v>264</v>
      </c>
      <c r="AA154" s="21">
        <f t="shared" si="23"/>
        <v>1</v>
      </c>
    </row>
    <row r="155" spans="1:27">
      <c r="A155" t="s">
        <v>223</v>
      </c>
      <c r="B155" s="18">
        <v>2048</v>
      </c>
      <c r="C155" t="s">
        <v>223</v>
      </c>
      <c r="D155" s="20" t="s">
        <v>354</v>
      </c>
      <c r="E155" s="20" t="s">
        <v>355</v>
      </c>
      <c r="F155" s="20" t="s">
        <v>226</v>
      </c>
      <c r="G155" s="20" t="s">
        <v>336</v>
      </c>
      <c r="H155" s="20" t="s">
        <v>338</v>
      </c>
      <c r="I155" s="29">
        <v>1</v>
      </c>
      <c r="J155" s="30">
        <v>1</v>
      </c>
      <c r="K155" s="31">
        <v>4.0000000000000001E-3</v>
      </c>
      <c r="L155" s="9">
        <v>322908458.35948902</v>
      </c>
      <c r="M155" s="9">
        <v>322453622.66946399</v>
      </c>
      <c r="N155" s="32">
        <f>MIN(MAX((B155-Calculation_Assumptions!$B$5+1)/Calculation_Assumptions!$B$7,0),1)</f>
        <v>1</v>
      </c>
      <c r="O155" s="21">
        <f t="shared" si="16"/>
        <v>322908458.35948902</v>
      </c>
      <c r="P155" s="21">
        <f t="shared" si="17"/>
        <v>322453622.66946399</v>
      </c>
      <c r="Q155" s="21">
        <f>P155*Calculation_Assumptions!$B$14*J155*K155</f>
        <v>0</v>
      </c>
      <c r="R155" s="21">
        <f t="shared" si="18"/>
        <v>1291633.8334379562</v>
      </c>
      <c r="S155" s="21">
        <f t="shared" si="19"/>
        <v>1291633.8334379562</v>
      </c>
      <c r="T155" s="32">
        <f>1/(1+Calculation_Assumptions!$B$8)^(B155-Calculation_Assumptions!$B$2)</f>
        <v>0.50669174842969467</v>
      </c>
      <c r="U155" s="21">
        <f t="shared" si="20"/>
        <v>0</v>
      </c>
      <c r="V155" s="21">
        <f t="shared" si="21"/>
        <v>654460.20539562707</v>
      </c>
      <c r="W155" s="21">
        <f t="shared" si="22"/>
        <v>654460.20539562707</v>
      </c>
      <c r="X155">
        <v>0</v>
      </c>
      <c r="Y155" s="18">
        <v>2017</v>
      </c>
      <c r="Z155" t="s">
        <v>264</v>
      </c>
      <c r="AA155" s="21">
        <f t="shared" si="23"/>
        <v>1</v>
      </c>
    </row>
    <row r="156" spans="1:27">
      <c r="A156" t="s">
        <v>223</v>
      </c>
      <c r="B156" s="18">
        <v>2049</v>
      </c>
      <c r="C156" t="s">
        <v>223</v>
      </c>
      <c r="D156" s="20" t="s">
        <v>354</v>
      </c>
      <c r="E156" s="20" t="s">
        <v>355</v>
      </c>
      <c r="F156" s="20" t="s">
        <v>226</v>
      </c>
      <c r="G156" s="20" t="s">
        <v>336</v>
      </c>
      <c r="H156" s="20" t="s">
        <v>338</v>
      </c>
      <c r="I156" s="29">
        <v>1</v>
      </c>
      <c r="J156" s="30">
        <v>1</v>
      </c>
      <c r="K156" s="31">
        <v>4.0000000000000001E-3</v>
      </c>
      <c r="L156" s="9">
        <v>323770199.41506499</v>
      </c>
      <c r="M156" s="9">
        <v>323259246.71671897</v>
      </c>
      <c r="N156" s="32">
        <f>MIN(MAX((B156-Calculation_Assumptions!$B$5+1)/Calculation_Assumptions!$B$7,0),1)</f>
        <v>1</v>
      </c>
      <c r="O156" s="21">
        <f t="shared" si="16"/>
        <v>323770199.41506499</v>
      </c>
      <c r="P156" s="21">
        <f t="shared" si="17"/>
        <v>323259246.71671897</v>
      </c>
      <c r="Q156" s="21">
        <f>P156*Calculation_Assumptions!$B$14*J156*K156</f>
        <v>0</v>
      </c>
      <c r="R156" s="21">
        <f t="shared" si="18"/>
        <v>1295080.79766026</v>
      </c>
      <c r="S156" s="21">
        <f t="shared" si="19"/>
        <v>1295080.79766026</v>
      </c>
      <c r="T156" s="32">
        <f>1/(1+Calculation_Assumptions!$B$8)^(B156-Calculation_Assumptions!$B$2)</f>
        <v>0.49193373633950943</v>
      </c>
      <c r="U156" s="21">
        <f t="shared" si="20"/>
        <v>0</v>
      </c>
      <c r="V156" s="21">
        <f t="shared" si="21"/>
        <v>637093.93565456395</v>
      </c>
      <c r="W156" s="21">
        <f t="shared" si="22"/>
        <v>637093.93565456395</v>
      </c>
      <c r="X156">
        <v>0</v>
      </c>
      <c r="Y156" s="18">
        <v>2017</v>
      </c>
      <c r="Z156" t="s">
        <v>264</v>
      </c>
      <c r="AA156" s="21">
        <f t="shared" si="23"/>
        <v>1</v>
      </c>
    </row>
    <row r="157" spans="1:27">
      <c r="A157" t="s">
        <v>223</v>
      </c>
      <c r="B157" s="18">
        <v>2050</v>
      </c>
      <c r="C157" t="s">
        <v>223</v>
      </c>
      <c r="D157" s="20" t="s">
        <v>354</v>
      </c>
      <c r="E157" s="20" t="s">
        <v>355</v>
      </c>
      <c r="F157" s="20" t="s">
        <v>226</v>
      </c>
      <c r="G157" s="20" t="s">
        <v>336</v>
      </c>
      <c r="H157" s="20" t="s">
        <v>338</v>
      </c>
      <c r="I157" s="29">
        <v>1</v>
      </c>
      <c r="J157" s="30">
        <v>1</v>
      </c>
      <c r="K157" s="31">
        <v>4.0000000000000001E-3</v>
      </c>
      <c r="L157" s="9">
        <v>324582243.44664001</v>
      </c>
      <c r="M157" s="9">
        <v>324013738.18247902</v>
      </c>
      <c r="N157" s="32">
        <f>MIN(MAX((B157-Calculation_Assumptions!$B$5+1)/Calculation_Assumptions!$B$7,0),1)</f>
        <v>1</v>
      </c>
      <c r="O157" s="21">
        <f t="shared" si="16"/>
        <v>324582243.44664001</v>
      </c>
      <c r="P157" s="21">
        <f t="shared" si="17"/>
        <v>324013738.18247902</v>
      </c>
      <c r="Q157" s="21">
        <f>P157*Calculation_Assumptions!$B$14*J157*K157</f>
        <v>0</v>
      </c>
      <c r="R157" s="21">
        <f t="shared" si="18"/>
        <v>1298328.9737865601</v>
      </c>
      <c r="S157" s="21">
        <f t="shared" si="19"/>
        <v>1298328.9737865601</v>
      </c>
      <c r="T157" s="32">
        <f>1/(1+Calculation_Assumptions!$B$8)^(B157-Calculation_Assumptions!$B$2)</f>
        <v>0.47760556926165965</v>
      </c>
      <c r="U157" s="21">
        <f t="shared" si="20"/>
        <v>0</v>
      </c>
      <c r="V157" s="21">
        <f t="shared" si="21"/>
        <v>620089.14861423639</v>
      </c>
      <c r="W157" s="21">
        <f t="shared" si="22"/>
        <v>620089.14861423639</v>
      </c>
      <c r="X157">
        <v>0</v>
      </c>
      <c r="Y157" s="18">
        <v>2017</v>
      </c>
      <c r="Z157" t="s">
        <v>264</v>
      </c>
      <c r="AA157" s="21">
        <f t="shared" si="23"/>
        <v>1</v>
      </c>
    </row>
    <row r="158" spans="1:27">
      <c r="A158" t="s">
        <v>76</v>
      </c>
      <c r="B158" s="18">
        <v>2025</v>
      </c>
      <c r="C158" t="s">
        <v>162</v>
      </c>
      <c r="D158" s="20" t="s">
        <v>334</v>
      </c>
      <c r="E158" s="20" t="s">
        <v>335</v>
      </c>
      <c r="F158" s="20" t="s">
        <v>170</v>
      </c>
      <c r="G158" s="20" t="s">
        <v>336</v>
      </c>
      <c r="H158" s="20" t="s">
        <v>338</v>
      </c>
      <c r="I158" s="29">
        <v>1</v>
      </c>
      <c r="J158" s="30">
        <v>1</v>
      </c>
      <c r="K158" s="31">
        <v>5.5999999999999999E-3</v>
      </c>
      <c r="L158" s="9">
        <v>288000821.106462</v>
      </c>
      <c r="M158" s="9">
        <v>288000821.106462</v>
      </c>
      <c r="N158" s="32">
        <f>MIN(MAX((B158-Calculation_Assumptions!$B$5+1)/Calculation_Assumptions!$B$7,0),1)</f>
        <v>0</v>
      </c>
      <c r="O158" s="21">
        <f t="shared" si="16"/>
        <v>288000821.106462</v>
      </c>
      <c r="P158" s="21">
        <f t="shared" si="17"/>
        <v>288000821.106462</v>
      </c>
      <c r="Q158" s="21">
        <f>P158*Calculation_Assumptions!$B$14*J158*K158</f>
        <v>0</v>
      </c>
      <c r="R158" s="21">
        <f t="shared" si="18"/>
        <v>0</v>
      </c>
      <c r="S158" s="21">
        <f t="shared" si="19"/>
        <v>0</v>
      </c>
      <c r="T158" s="32">
        <f>1/(1+Calculation_Assumptions!$B$8)^(B158-Calculation_Assumptions!$B$2)</f>
        <v>1</v>
      </c>
      <c r="U158" s="21">
        <f t="shared" si="20"/>
        <v>0</v>
      </c>
      <c r="V158" s="21">
        <f t="shared" si="21"/>
        <v>0</v>
      </c>
      <c r="W158" s="21">
        <f t="shared" si="22"/>
        <v>0</v>
      </c>
      <c r="X158">
        <v>0</v>
      </c>
      <c r="Y158" s="18">
        <v>2017</v>
      </c>
      <c r="Z158" t="s">
        <v>264</v>
      </c>
      <c r="AA158" s="21">
        <f t="shared" si="23"/>
        <v>1</v>
      </c>
    </row>
    <row r="159" spans="1:27">
      <c r="A159" t="s">
        <v>76</v>
      </c>
      <c r="B159" s="18">
        <v>2026</v>
      </c>
      <c r="C159" t="s">
        <v>162</v>
      </c>
      <c r="D159" s="20" t="s">
        <v>334</v>
      </c>
      <c r="E159" s="20" t="s">
        <v>335</v>
      </c>
      <c r="F159" s="20" t="s">
        <v>170</v>
      </c>
      <c r="G159" s="20" t="s">
        <v>336</v>
      </c>
      <c r="H159" s="20" t="s">
        <v>338</v>
      </c>
      <c r="I159" s="29">
        <v>1</v>
      </c>
      <c r="J159" s="30">
        <v>1</v>
      </c>
      <c r="K159" s="31">
        <v>5.5999999999999999E-3</v>
      </c>
      <c r="L159" s="9">
        <v>290123496.10321897</v>
      </c>
      <c r="M159" s="9">
        <v>290123496.10321897</v>
      </c>
      <c r="N159" s="32">
        <f>MIN(MAX((B159-Calculation_Assumptions!$B$5+1)/Calculation_Assumptions!$B$7,0),1)</f>
        <v>0.33333333333333331</v>
      </c>
      <c r="O159" s="21">
        <f t="shared" si="16"/>
        <v>290123496.10321897</v>
      </c>
      <c r="P159" s="21">
        <f t="shared" si="17"/>
        <v>290123496.10321897</v>
      </c>
      <c r="Q159" s="21">
        <f>P159*Calculation_Assumptions!$B$14*J159*K159</f>
        <v>0</v>
      </c>
      <c r="R159" s="21">
        <f t="shared" si="18"/>
        <v>541563.85939267534</v>
      </c>
      <c r="S159" s="21">
        <f t="shared" si="19"/>
        <v>541563.85939267534</v>
      </c>
      <c r="T159" s="32">
        <f>1/(1+Calculation_Assumptions!$B$8)^(B159-Calculation_Assumptions!$B$2)</f>
        <v>0.970873786407767</v>
      </c>
      <c r="U159" s="21">
        <f t="shared" si="20"/>
        <v>0</v>
      </c>
      <c r="V159" s="21">
        <f t="shared" si="21"/>
        <v>525790.15475017019</v>
      </c>
      <c r="W159" s="21">
        <f t="shared" si="22"/>
        <v>525790.15475017019</v>
      </c>
      <c r="X159">
        <v>0</v>
      </c>
      <c r="Y159" s="18">
        <v>2017</v>
      </c>
      <c r="Z159" t="s">
        <v>264</v>
      </c>
      <c r="AA159" s="21">
        <f t="shared" si="23"/>
        <v>1</v>
      </c>
    </row>
    <row r="160" spans="1:27">
      <c r="A160" t="s">
        <v>76</v>
      </c>
      <c r="B160" s="18">
        <v>2027</v>
      </c>
      <c r="C160" t="s">
        <v>162</v>
      </c>
      <c r="D160" s="20" t="s">
        <v>334</v>
      </c>
      <c r="E160" s="20" t="s">
        <v>335</v>
      </c>
      <c r="F160" s="20" t="s">
        <v>170</v>
      </c>
      <c r="G160" s="20" t="s">
        <v>336</v>
      </c>
      <c r="H160" s="20" t="s">
        <v>338</v>
      </c>
      <c r="I160" s="29">
        <v>1</v>
      </c>
      <c r="J160" s="30">
        <v>1</v>
      </c>
      <c r="K160" s="31">
        <v>5.5999999999999999E-3</v>
      </c>
      <c r="L160" s="9">
        <v>292252895.09695601</v>
      </c>
      <c r="M160" s="9">
        <v>292252895.09695601</v>
      </c>
      <c r="N160" s="32">
        <f>MIN(MAX((B160-Calculation_Assumptions!$B$5+1)/Calculation_Assumptions!$B$7,0),1)</f>
        <v>0.66666666666666663</v>
      </c>
      <c r="O160" s="21">
        <f t="shared" si="16"/>
        <v>292252895.09695601</v>
      </c>
      <c r="P160" s="21">
        <f t="shared" si="17"/>
        <v>292252895.09695601</v>
      </c>
      <c r="Q160" s="21">
        <f>P160*Calculation_Assumptions!$B$14*J160*K160</f>
        <v>0</v>
      </c>
      <c r="R160" s="21">
        <f t="shared" si="18"/>
        <v>1091077.4750286357</v>
      </c>
      <c r="S160" s="21">
        <f t="shared" si="19"/>
        <v>1091077.4750286357</v>
      </c>
      <c r="T160" s="32">
        <f>1/(1+Calculation_Assumptions!$B$8)^(B160-Calculation_Assumptions!$B$2)</f>
        <v>0.94259590913375435</v>
      </c>
      <c r="U160" s="21">
        <f t="shared" si="20"/>
        <v>0</v>
      </c>
      <c r="V160" s="21">
        <f t="shared" si="21"/>
        <v>1028445.164509978</v>
      </c>
      <c r="W160" s="21">
        <f t="shared" si="22"/>
        <v>1028445.164509978</v>
      </c>
      <c r="X160">
        <v>0</v>
      </c>
      <c r="Y160" s="18">
        <v>2017</v>
      </c>
      <c r="Z160" t="s">
        <v>264</v>
      </c>
      <c r="AA160" s="21">
        <f t="shared" si="23"/>
        <v>1</v>
      </c>
    </row>
    <row r="161" spans="1:27">
      <c r="A161" t="s">
        <v>76</v>
      </c>
      <c r="B161" s="18">
        <v>2028</v>
      </c>
      <c r="C161" t="s">
        <v>162</v>
      </c>
      <c r="D161" s="20" t="s">
        <v>334</v>
      </c>
      <c r="E161" s="20" t="s">
        <v>335</v>
      </c>
      <c r="F161" s="20" t="s">
        <v>170</v>
      </c>
      <c r="G161" s="20" t="s">
        <v>336</v>
      </c>
      <c r="H161" s="20" t="s">
        <v>338</v>
      </c>
      <c r="I161" s="29">
        <v>1</v>
      </c>
      <c r="J161" s="30">
        <v>1</v>
      </c>
      <c r="K161" s="31">
        <v>5.5999999999999999E-3</v>
      </c>
      <c r="L161" s="9">
        <v>294318750.70606601</v>
      </c>
      <c r="M161" s="9">
        <v>294314895.30546498</v>
      </c>
      <c r="N161" s="32">
        <f>MIN(MAX((B161-Calculation_Assumptions!$B$5+1)/Calculation_Assumptions!$B$7,0),1)</f>
        <v>1</v>
      </c>
      <c r="O161" s="21">
        <f t="shared" si="16"/>
        <v>294318750.70606601</v>
      </c>
      <c r="P161" s="21">
        <f t="shared" si="17"/>
        <v>294314895.30546498</v>
      </c>
      <c r="Q161" s="21">
        <f>P161*Calculation_Assumptions!$B$14*J161*K161</f>
        <v>0</v>
      </c>
      <c r="R161" s="21">
        <f t="shared" si="18"/>
        <v>1648185.0039539696</v>
      </c>
      <c r="S161" s="21">
        <f t="shared" si="19"/>
        <v>1648185.0039539696</v>
      </c>
      <c r="T161" s="32">
        <f>1/(1+Calculation_Assumptions!$B$8)^(B161-Calculation_Assumptions!$B$2)</f>
        <v>0.91514165935315961</v>
      </c>
      <c r="U161" s="21">
        <f t="shared" si="20"/>
        <v>0</v>
      </c>
      <c r="V161" s="21">
        <f t="shared" si="21"/>
        <v>1508322.7594394297</v>
      </c>
      <c r="W161" s="21">
        <f t="shared" si="22"/>
        <v>1508322.7594394297</v>
      </c>
      <c r="X161">
        <v>0</v>
      </c>
      <c r="Y161" s="18">
        <v>2017</v>
      </c>
      <c r="Z161" t="s">
        <v>264</v>
      </c>
      <c r="AA161" s="21">
        <f t="shared" si="23"/>
        <v>1</v>
      </c>
    </row>
    <row r="162" spans="1:27">
      <c r="A162" t="s">
        <v>76</v>
      </c>
      <c r="B162" s="18">
        <v>2029</v>
      </c>
      <c r="C162" t="s">
        <v>162</v>
      </c>
      <c r="D162" s="20" t="s">
        <v>334</v>
      </c>
      <c r="E162" s="20" t="s">
        <v>335</v>
      </c>
      <c r="F162" s="20" t="s">
        <v>170</v>
      </c>
      <c r="G162" s="20" t="s">
        <v>336</v>
      </c>
      <c r="H162" s="20" t="s">
        <v>338</v>
      </c>
      <c r="I162" s="29">
        <v>1</v>
      </c>
      <c r="J162" s="30">
        <v>1</v>
      </c>
      <c r="K162" s="31">
        <v>5.5999999999999999E-3</v>
      </c>
      <c r="L162" s="9">
        <v>296356322.26615602</v>
      </c>
      <c r="M162" s="9">
        <v>296341062.542853</v>
      </c>
      <c r="N162" s="32">
        <f>MIN(MAX((B162-Calculation_Assumptions!$B$5+1)/Calculation_Assumptions!$B$7,0),1)</f>
        <v>1</v>
      </c>
      <c r="O162" s="21">
        <f t="shared" si="16"/>
        <v>296356322.26615602</v>
      </c>
      <c r="P162" s="21">
        <f t="shared" si="17"/>
        <v>296341062.542853</v>
      </c>
      <c r="Q162" s="21">
        <f>P162*Calculation_Assumptions!$B$14*J162*K162</f>
        <v>0</v>
      </c>
      <c r="R162" s="21">
        <f t="shared" si="18"/>
        <v>1659595.4046904736</v>
      </c>
      <c r="S162" s="21">
        <f t="shared" si="19"/>
        <v>1659595.4046904736</v>
      </c>
      <c r="T162" s="32">
        <f>1/(1+Calculation_Assumptions!$B$8)^(B162-Calculation_Assumptions!$B$2)</f>
        <v>0.888487047915689</v>
      </c>
      <c r="U162" s="21">
        <f t="shared" si="20"/>
        <v>0</v>
      </c>
      <c r="V162" s="21">
        <f t="shared" si="21"/>
        <v>1474529.0218478821</v>
      </c>
      <c r="W162" s="21">
        <f t="shared" si="22"/>
        <v>1474529.0218478821</v>
      </c>
      <c r="X162">
        <v>0</v>
      </c>
      <c r="Y162" s="18">
        <v>2017</v>
      </c>
      <c r="Z162" t="s">
        <v>264</v>
      </c>
      <c r="AA162" s="21">
        <f t="shared" si="23"/>
        <v>1</v>
      </c>
    </row>
    <row r="163" spans="1:27">
      <c r="A163" t="s">
        <v>76</v>
      </c>
      <c r="B163" s="18">
        <v>2030</v>
      </c>
      <c r="C163" t="s">
        <v>162</v>
      </c>
      <c r="D163" s="20" t="s">
        <v>334</v>
      </c>
      <c r="E163" s="20" t="s">
        <v>335</v>
      </c>
      <c r="F163" s="20" t="s">
        <v>170</v>
      </c>
      <c r="G163" s="20" t="s">
        <v>336</v>
      </c>
      <c r="H163" s="20" t="s">
        <v>338</v>
      </c>
      <c r="I163" s="29">
        <v>1</v>
      </c>
      <c r="J163" s="30">
        <v>1</v>
      </c>
      <c r="K163" s="31">
        <v>5.5999999999999999E-3</v>
      </c>
      <c r="L163" s="9">
        <v>298317004.67873597</v>
      </c>
      <c r="M163" s="9">
        <v>298280286.05726302</v>
      </c>
      <c r="N163" s="32">
        <f>MIN(MAX((B163-Calculation_Assumptions!$B$5+1)/Calculation_Assumptions!$B$7,0),1)</f>
        <v>1</v>
      </c>
      <c r="O163" s="21">
        <f t="shared" si="16"/>
        <v>298317004.67873597</v>
      </c>
      <c r="P163" s="21">
        <f t="shared" si="17"/>
        <v>298280286.05726302</v>
      </c>
      <c r="Q163" s="21">
        <f>P163*Calculation_Assumptions!$B$14*J163*K163</f>
        <v>0</v>
      </c>
      <c r="R163" s="21">
        <f t="shared" si="18"/>
        <v>1670575.2262009215</v>
      </c>
      <c r="S163" s="21">
        <f t="shared" si="19"/>
        <v>1670575.2262009215</v>
      </c>
      <c r="T163" s="32">
        <f>1/(1+Calculation_Assumptions!$B$8)^(B163-Calculation_Assumptions!$B$2)</f>
        <v>0.86260878438416411</v>
      </c>
      <c r="U163" s="21">
        <f t="shared" si="20"/>
        <v>0</v>
      </c>
      <c r="V163" s="21">
        <f t="shared" si="21"/>
        <v>1441052.8650954769</v>
      </c>
      <c r="W163" s="21">
        <f t="shared" si="22"/>
        <v>1441052.8650954769</v>
      </c>
      <c r="X163">
        <v>0</v>
      </c>
      <c r="Y163" s="18">
        <v>2017</v>
      </c>
      <c r="Z163" t="s">
        <v>264</v>
      </c>
      <c r="AA163" s="21">
        <f t="shared" si="23"/>
        <v>1</v>
      </c>
    </row>
    <row r="164" spans="1:27">
      <c r="A164" t="s">
        <v>76</v>
      </c>
      <c r="B164" s="18">
        <v>2031</v>
      </c>
      <c r="C164" t="s">
        <v>162</v>
      </c>
      <c r="D164" s="20" t="s">
        <v>334</v>
      </c>
      <c r="E164" s="20" t="s">
        <v>335</v>
      </c>
      <c r="F164" s="20" t="s">
        <v>170</v>
      </c>
      <c r="G164" s="20" t="s">
        <v>336</v>
      </c>
      <c r="H164" s="20" t="s">
        <v>338</v>
      </c>
      <c r="I164" s="29">
        <v>1</v>
      </c>
      <c r="J164" s="30">
        <v>1</v>
      </c>
      <c r="K164" s="31">
        <v>5.5999999999999999E-3</v>
      </c>
      <c r="L164" s="9">
        <v>300222863.16561598</v>
      </c>
      <c r="M164" s="9">
        <v>300152603.25478202</v>
      </c>
      <c r="N164" s="32">
        <f>MIN(MAX((B164-Calculation_Assumptions!$B$5+1)/Calculation_Assumptions!$B$7,0),1)</f>
        <v>1</v>
      </c>
      <c r="O164" s="21">
        <f t="shared" si="16"/>
        <v>300222863.16561598</v>
      </c>
      <c r="P164" s="21">
        <f t="shared" si="17"/>
        <v>300152603.25478202</v>
      </c>
      <c r="Q164" s="21">
        <f>P164*Calculation_Assumptions!$B$14*J164*K164</f>
        <v>0</v>
      </c>
      <c r="R164" s="21">
        <f t="shared" si="18"/>
        <v>1681248.0337274494</v>
      </c>
      <c r="S164" s="21">
        <f t="shared" si="19"/>
        <v>1681248.0337274494</v>
      </c>
      <c r="T164" s="32">
        <f>1/(1+Calculation_Assumptions!$B$8)^(B164-Calculation_Assumptions!$B$2)</f>
        <v>0.83748425668365445</v>
      </c>
      <c r="U164" s="21">
        <f t="shared" si="20"/>
        <v>0</v>
      </c>
      <c r="V164" s="21">
        <f t="shared" si="21"/>
        <v>1408018.7598270886</v>
      </c>
      <c r="W164" s="21">
        <f t="shared" si="22"/>
        <v>1408018.7598270886</v>
      </c>
      <c r="X164">
        <v>0</v>
      </c>
      <c r="Y164" s="18">
        <v>2017</v>
      </c>
      <c r="Z164" t="s">
        <v>264</v>
      </c>
      <c r="AA164" s="21">
        <f t="shared" si="23"/>
        <v>1</v>
      </c>
    </row>
    <row r="165" spans="1:27">
      <c r="A165" t="s">
        <v>76</v>
      </c>
      <c r="B165" s="18">
        <v>2032</v>
      </c>
      <c r="C165" t="s">
        <v>162</v>
      </c>
      <c r="D165" s="20" t="s">
        <v>334</v>
      </c>
      <c r="E165" s="20" t="s">
        <v>335</v>
      </c>
      <c r="F165" s="20" t="s">
        <v>170</v>
      </c>
      <c r="G165" s="20" t="s">
        <v>336</v>
      </c>
      <c r="H165" s="20" t="s">
        <v>338</v>
      </c>
      <c r="I165" s="29">
        <v>1</v>
      </c>
      <c r="J165" s="30">
        <v>1</v>
      </c>
      <c r="K165" s="31">
        <v>5.5999999999999999E-3</v>
      </c>
      <c r="L165" s="9">
        <v>302002258.96739</v>
      </c>
      <c r="M165" s="9">
        <v>301959399.63388801</v>
      </c>
      <c r="N165" s="32">
        <f>MIN(MAX((B165-Calculation_Assumptions!$B$5+1)/Calculation_Assumptions!$B$7,0),1)</f>
        <v>1</v>
      </c>
      <c r="O165" s="21">
        <f t="shared" si="16"/>
        <v>302002258.96739</v>
      </c>
      <c r="P165" s="21">
        <f t="shared" si="17"/>
        <v>301959399.63388801</v>
      </c>
      <c r="Q165" s="21">
        <f>P165*Calculation_Assumptions!$B$14*J165*K165</f>
        <v>0</v>
      </c>
      <c r="R165" s="21">
        <f t="shared" si="18"/>
        <v>1691212.6502173841</v>
      </c>
      <c r="S165" s="21">
        <f t="shared" si="19"/>
        <v>1691212.6502173841</v>
      </c>
      <c r="T165" s="32">
        <f>1/(1+Calculation_Assumptions!$B$8)^(B165-Calculation_Assumptions!$B$2)</f>
        <v>0.81309151134335378</v>
      </c>
      <c r="U165" s="21">
        <f t="shared" si="20"/>
        <v>0</v>
      </c>
      <c r="V165" s="21">
        <f t="shared" si="21"/>
        <v>1375110.6497682515</v>
      </c>
      <c r="W165" s="21">
        <f t="shared" si="22"/>
        <v>1375110.6497682515</v>
      </c>
      <c r="X165">
        <v>0</v>
      </c>
      <c r="Y165" s="18">
        <v>2017</v>
      </c>
      <c r="Z165" t="s">
        <v>264</v>
      </c>
      <c r="AA165" s="21">
        <f t="shared" si="23"/>
        <v>1</v>
      </c>
    </row>
    <row r="166" spans="1:27">
      <c r="A166" t="s">
        <v>76</v>
      </c>
      <c r="B166" s="18">
        <v>2033</v>
      </c>
      <c r="C166" t="s">
        <v>162</v>
      </c>
      <c r="D166" s="20" t="s">
        <v>334</v>
      </c>
      <c r="E166" s="20" t="s">
        <v>335</v>
      </c>
      <c r="F166" s="20" t="s">
        <v>170</v>
      </c>
      <c r="G166" s="20" t="s">
        <v>336</v>
      </c>
      <c r="H166" s="20" t="s">
        <v>338</v>
      </c>
      <c r="I166" s="29">
        <v>1</v>
      </c>
      <c r="J166" s="30">
        <v>1</v>
      </c>
      <c r="K166" s="31">
        <v>5.5999999999999999E-3</v>
      </c>
      <c r="L166" s="9">
        <v>303792531.13349903</v>
      </c>
      <c r="M166" s="9">
        <v>303701035.20205098</v>
      </c>
      <c r="N166" s="32">
        <f>MIN(MAX((B166-Calculation_Assumptions!$B$5+1)/Calculation_Assumptions!$B$7,0),1)</f>
        <v>1</v>
      </c>
      <c r="O166" s="21">
        <f t="shared" si="16"/>
        <v>303792531.13349903</v>
      </c>
      <c r="P166" s="21">
        <f t="shared" si="17"/>
        <v>303701035.20205098</v>
      </c>
      <c r="Q166" s="21">
        <f>P166*Calculation_Assumptions!$B$14*J166*K166</f>
        <v>0</v>
      </c>
      <c r="R166" s="21">
        <f t="shared" si="18"/>
        <v>1701238.1743475946</v>
      </c>
      <c r="S166" s="21">
        <f t="shared" si="19"/>
        <v>1701238.1743475946</v>
      </c>
      <c r="T166" s="32">
        <f>1/(1+Calculation_Assumptions!$B$8)^(B166-Calculation_Assumptions!$B$2)</f>
        <v>0.78940923431393573</v>
      </c>
      <c r="U166" s="21">
        <f t="shared" si="20"/>
        <v>0</v>
      </c>
      <c r="V166" s="21">
        <f t="shared" si="21"/>
        <v>1342973.1245973725</v>
      </c>
      <c r="W166" s="21">
        <f t="shared" si="22"/>
        <v>1342973.1245973725</v>
      </c>
      <c r="X166">
        <v>0</v>
      </c>
      <c r="Y166" s="18">
        <v>2017</v>
      </c>
      <c r="Z166" t="s">
        <v>264</v>
      </c>
      <c r="AA166" s="21">
        <f t="shared" si="23"/>
        <v>1</v>
      </c>
    </row>
    <row r="167" spans="1:27">
      <c r="A167" t="s">
        <v>76</v>
      </c>
      <c r="B167" s="18">
        <v>2034</v>
      </c>
      <c r="C167" t="s">
        <v>162</v>
      </c>
      <c r="D167" s="20" t="s">
        <v>334</v>
      </c>
      <c r="E167" s="20" t="s">
        <v>335</v>
      </c>
      <c r="F167" s="20" t="s">
        <v>170</v>
      </c>
      <c r="G167" s="20" t="s">
        <v>336</v>
      </c>
      <c r="H167" s="20" t="s">
        <v>338</v>
      </c>
      <c r="I167" s="29">
        <v>1</v>
      </c>
      <c r="J167" s="30">
        <v>1</v>
      </c>
      <c r="K167" s="31">
        <v>5.5999999999999999E-3</v>
      </c>
      <c r="L167" s="9">
        <v>305527186.92935503</v>
      </c>
      <c r="M167" s="9">
        <v>305377998.093319</v>
      </c>
      <c r="N167" s="32">
        <f>MIN(MAX((B167-Calculation_Assumptions!$B$5+1)/Calculation_Assumptions!$B$7,0),1)</f>
        <v>1</v>
      </c>
      <c r="O167" s="21">
        <f t="shared" si="16"/>
        <v>305527186.92935503</v>
      </c>
      <c r="P167" s="21">
        <f t="shared" si="17"/>
        <v>305377998.093319</v>
      </c>
      <c r="Q167" s="21">
        <f>P167*Calculation_Assumptions!$B$14*J167*K167</f>
        <v>0</v>
      </c>
      <c r="R167" s="21">
        <f t="shared" si="18"/>
        <v>1710952.2468043882</v>
      </c>
      <c r="S167" s="21">
        <f t="shared" si="19"/>
        <v>1710952.2468043882</v>
      </c>
      <c r="T167" s="32">
        <f>1/(1+Calculation_Assumptions!$B$8)^(B167-Calculation_Assumptions!$B$2)</f>
        <v>0.76641673234362695</v>
      </c>
      <c r="U167" s="21">
        <f t="shared" si="20"/>
        <v>0</v>
      </c>
      <c r="V167" s="21">
        <f t="shared" si="21"/>
        <v>1311302.4301918061</v>
      </c>
      <c r="W167" s="21">
        <f t="shared" si="22"/>
        <v>1311302.4301918061</v>
      </c>
      <c r="X167">
        <v>0</v>
      </c>
      <c r="Y167" s="18">
        <v>2017</v>
      </c>
      <c r="Z167" t="s">
        <v>264</v>
      </c>
      <c r="AA167" s="21">
        <f t="shared" si="23"/>
        <v>1</v>
      </c>
    </row>
    <row r="168" spans="1:27">
      <c r="A168" t="s">
        <v>76</v>
      </c>
      <c r="B168" s="18">
        <v>2035</v>
      </c>
      <c r="C168" t="s">
        <v>162</v>
      </c>
      <c r="D168" s="20" t="s">
        <v>334</v>
      </c>
      <c r="E168" s="20" t="s">
        <v>335</v>
      </c>
      <c r="F168" s="20" t="s">
        <v>170</v>
      </c>
      <c r="G168" s="20" t="s">
        <v>336</v>
      </c>
      <c r="H168" s="20" t="s">
        <v>338</v>
      </c>
      <c r="I168" s="29">
        <v>1</v>
      </c>
      <c r="J168" s="30">
        <v>1</v>
      </c>
      <c r="K168" s="31">
        <v>5.5999999999999999E-3</v>
      </c>
      <c r="L168" s="9">
        <v>307204550.86510098</v>
      </c>
      <c r="M168" s="9">
        <v>306989258.29407001</v>
      </c>
      <c r="N168" s="32">
        <f>MIN(MAX((B168-Calculation_Assumptions!$B$5+1)/Calculation_Assumptions!$B$7,0),1)</f>
        <v>1</v>
      </c>
      <c r="O168" s="21">
        <f t="shared" si="16"/>
        <v>307204550.86510098</v>
      </c>
      <c r="P168" s="21">
        <f t="shared" si="17"/>
        <v>306989258.29407001</v>
      </c>
      <c r="Q168" s="21">
        <f>P168*Calculation_Assumptions!$B$14*J168*K168</f>
        <v>0</v>
      </c>
      <c r="R168" s="21">
        <f t="shared" si="18"/>
        <v>1720345.4848445654</v>
      </c>
      <c r="S168" s="21">
        <f t="shared" si="19"/>
        <v>1720345.4848445654</v>
      </c>
      <c r="T168" s="32">
        <f>1/(1+Calculation_Assumptions!$B$8)^(B168-Calculation_Assumptions!$B$2)</f>
        <v>0.74409391489672516</v>
      </c>
      <c r="U168" s="21">
        <f t="shared" si="20"/>
        <v>0</v>
      </c>
      <c r="V168" s="21">
        <f t="shared" si="21"/>
        <v>1280098.6067928975</v>
      </c>
      <c r="W168" s="21">
        <f t="shared" si="22"/>
        <v>1280098.6067928975</v>
      </c>
      <c r="X168">
        <v>0</v>
      </c>
      <c r="Y168" s="18">
        <v>2017</v>
      </c>
      <c r="Z168" t="s">
        <v>264</v>
      </c>
      <c r="AA168" s="21">
        <f t="shared" si="23"/>
        <v>1</v>
      </c>
    </row>
    <row r="169" spans="1:27">
      <c r="A169" t="s">
        <v>76</v>
      </c>
      <c r="B169" s="18">
        <v>2036</v>
      </c>
      <c r="C169" t="s">
        <v>162</v>
      </c>
      <c r="D169" s="20" t="s">
        <v>334</v>
      </c>
      <c r="E169" s="20" t="s">
        <v>335</v>
      </c>
      <c r="F169" s="20" t="s">
        <v>170</v>
      </c>
      <c r="G169" s="20" t="s">
        <v>336</v>
      </c>
      <c r="H169" s="20" t="s">
        <v>338</v>
      </c>
      <c r="I169" s="29">
        <v>1</v>
      </c>
      <c r="J169" s="30">
        <v>1</v>
      </c>
      <c r="K169" s="31">
        <v>5.5999999999999999E-3</v>
      </c>
      <c r="L169" s="9">
        <v>308826793.60124999</v>
      </c>
      <c r="M169" s="9">
        <v>308537399.67209399</v>
      </c>
      <c r="N169" s="32">
        <f>MIN(MAX((B169-Calculation_Assumptions!$B$5+1)/Calculation_Assumptions!$B$7,0),1)</f>
        <v>1</v>
      </c>
      <c r="O169" s="21">
        <f t="shared" si="16"/>
        <v>308826793.60124999</v>
      </c>
      <c r="P169" s="21">
        <f t="shared" si="17"/>
        <v>308537399.67209399</v>
      </c>
      <c r="Q169" s="21">
        <f>P169*Calculation_Assumptions!$B$14*J169*K169</f>
        <v>0</v>
      </c>
      <c r="R169" s="21">
        <f t="shared" si="18"/>
        <v>1729430.0441669999</v>
      </c>
      <c r="S169" s="21">
        <f t="shared" si="19"/>
        <v>1729430.0441669999</v>
      </c>
      <c r="T169" s="32">
        <f>1/(1+Calculation_Assumptions!$B$8)^(B169-Calculation_Assumptions!$B$2)</f>
        <v>0.72242127659876232</v>
      </c>
      <c r="U169" s="21">
        <f t="shared" si="20"/>
        <v>0</v>
      </c>
      <c r="V169" s="21">
        <f t="shared" si="21"/>
        <v>1249377.0602953779</v>
      </c>
      <c r="W169" s="21">
        <f t="shared" si="22"/>
        <v>1249377.0602953779</v>
      </c>
      <c r="X169">
        <v>0</v>
      </c>
      <c r="Y169" s="18">
        <v>2017</v>
      </c>
      <c r="Z169" t="s">
        <v>264</v>
      </c>
      <c r="AA169" s="21">
        <f t="shared" si="23"/>
        <v>1</v>
      </c>
    </row>
    <row r="170" spans="1:27">
      <c r="A170" t="s">
        <v>76</v>
      </c>
      <c r="B170" s="18">
        <v>2037</v>
      </c>
      <c r="C170" t="s">
        <v>162</v>
      </c>
      <c r="D170" s="20" t="s">
        <v>334</v>
      </c>
      <c r="E170" s="20" t="s">
        <v>335</v>
      </c>
      <c r="F170" s="20" t="s">
        <v>170</v>
      </c>
      <c r="G170" s="20" t="s">
        <v>336</v>
      </c>
      <c r="H170" s="20" t="s">
        <v>338</v>
      </c>
      <c r="I170" s="29">
        <v>1</v>
      </c>
      <c r="J170" s="30">
        <v>1</v>
      </c>
      <c r="K170" s="31">
        <v>5.5999999999999999E-3</v>
      </c>
      <c r="L170" s="9">
        <v>310394148.51148498</v>
      </c>
      <c r="M170" s="9">
        <v>310023120.39347202</v>
      </c>
      <c r="N170" s="32">
        <f>MIN(MAX((B170-Calculation_Assumptions!$B$5+1)/Calculation_Assumptions!$B$7,0),1)</f>
        <v>1</v>
      </c>
      <c r="O170" s="21">
        <f t="shared" si="16"/>
        <v>310394148.51148498</v>
      </c>
      <c r="P170" s="21">
        <f t="shared" si="17"/>
        <v>310023120.39347202</v>
      </c>
      <c r="Q170" s="21">
        <f>P170*Calculation_Assumptions!$B$14*J170*K170</f>
        <v>0</v>
      </c>
      <c r="R170" s="21">
        <f t="shared" si="18"/>
        <v>1738207.2316643158</v>
      </c>
      <c r="S170" s="21">
        <f t="shared" si="19"/>
        <v>1738207.2316643158</v>
      </c>
      <c r="T170" s="32">
        <f>1/(1+Calculation_Assumptions!$B$8)^(B170-Calculation_Assumptions!$B$2)</f>
        <v>0.70137988019297326</v>
      </c>
      <c r="U170" s="21">
        <f t="shared" si="20"/>
        <v>0</v>
      </c>
      <c r="V170" s="21">
        <f t="shared" si="21"/>
        <v>1219143.5798952775</v>
      </c>
      <c r="W170" s="21">
        <f t="shared" si="22"/>
        <v>1219143.5798952775</v>
      </c>
      <c r="X170">
        <v>0</v>
      </c>
      <c r="Y170" s="18">
        <v>2017</v>
      </c>
      <c r="Z170" t="s">
        <v>264</v>
      </c>
      <c r="AA170" s="21">
        <f t="shared" si="23"/>
        <v>1</v>
      </c>
    </row>
    <row r="171" spans="1:27">
      <c r="A171" t="s">
        <v>76</v>
      </c>
      <c r="B171" s="18">
        <v>2038</v>
      </c>
      <c r="C171" t="s">
        <v>162</v>
      </c>
      <c r="D171" s="20" t="s">
        <v>334</v>
      </c>
      <c r="E171" s="20" t="s">
        <v>335</v>
      </c>
      <c r="F171" s="20" t="s">
        <v>170</v>
      </c>
      <c r="G171" s="20" t="s">
        <v>336</v>
      </c>
      <c r="H171" s="20" t="s">
        <v>338</v>
      </c>
      <c r="I171" s="29">
        <v>1</v>
      </c>
      <c r="J171" s="30">
        <v>1</v>
      </c>
      <c r="K171" s="31">
        <v>5.5999999999999999E-3</v>
      </c>
      <c r="L171" s="9">
        <v>311906222.57839799</v>
      </c>
      <c r="M171" s="9">
        <v>311445837.13462502</v>
      </c>
      <c r="N171" s="32">
        <f>MIN(MAX((B171-Calculation_Assumptions!$B$5+1)/Calculation_Assumptions!$B$7,0),1)</f>
        <v>1</v>
      </c>
      <c r="O171" s="21">
        <f t="shared" si="16"/>
        <v>311906222.57839799</v>
      </c>
      <c r="P171" s="21">
        <f t="shared" si="17"/>
        <v>311445837.13462502</v>
      </c>
      <c r="Q171" s="21">
        <f>P171*Calculation_Assumptions!$B$14*J171*K171</f>
        <v>0</v>
      </c>
      <c r="R171" s="21">
        <f t="shared" si="18"/>
        <v>1746674.8464390286</v>
      </c>
      <c r="S171" s="21">
        <f t="shared" si="19"/>
        <v>1746674.8464390286</v>
      </c>
      <c r="T171" s="32">
        <f>1/(1+Calculation_Assumptions!$B$8)^(B171-Calculation_Assumptions!$B$2)</f>
        <v>0.68095133999317792</v>
      </c>
      <c r="U171" s="21">
        <f t="shared" si="20"/>
        <v>0</v>
      </c>
      <c r="V171" s="21">
        <f t="shared" si="21"/>
        <v>1189400.5772150347</v>
      </c>
      <c r="W171" s="21">
        <f t="shared" si="22"/>
        <v>1189400.5772150347</v>
      </c>
      <c r="X171">
        <v>0</v>
      </c>
      <c r="Y171" s="18">
        <v>2017</v>
      </c>
      <c r="Z171" t="s">
        <v>264</v>
      </c>
      <c r="AA171" s="21">
        <f t="shared" si="23"/>
        <v>1</v>
      </c>
    </row>
    <row r="172" spans="1:27">
      <c r="A172" t="s">
        <v>76</v>
      </c>
      <c r="B172" s="18">
        <v>2039</v>
      </c>
      <c r="C172" t="s">
        <v>162</v>
      </c>
      <c r="D172" s="20" t="s">
        <v>334</v>
      </c>
      <c r="E172" s="20" t="s">
        <v>335</v>
      </c>
      <c r="F172" s="20" t="s">
        <v>170</v>
      </c>
      <c r="G172" s="20" t="s">
        <v>336</v>
      </c>
      <c r="H172" s="20" t="s">
        <v>338</v>
      </c>
      <c r="I172" s="29">
        <v>1</v>
      </c>
      <c r="J172" s="30">
        <v>1</v>
      </c>
      <c r="K172" s="31">
        <v>5.5999999999999999E-3</v>
      </c>
      <c r="L172" s="9">
        <v>313363821.52061498</v>
      </c>
      <c r="M172" s="9">
        <v>312806989.71568501</v>
      </c>
      <c r="N172" s="32">
        <f>MIN(MAX((B172-Calculation_Assumptions!$B$5+1)/Calculation_Assumptions!$B$7,0),1)</f>
        <v>1</v>
      </c>
      <c r="O172" s="21">
        <f t="shared" si="16"/>
        <v>313363821.52061498</v>
      </c>
      <c r="P172" s="21">
        <f t="shared" si="17"/>
        <v>312806989.71568501</v>
      </c>
      <c r="Q172" s="21">
        <f>P172*Calculation_Assumptions!$B$14*J172*K172</f>
        <v>0</v>
      </c>
      <c r="R172" s="21">
        <f t="shared" si="18"/>
        <v>1754837.4005154439</v>
      </c>
      <c r="S172" s="21">
        <f t="shared" si="19"/>
        <v>1754837.4005154439</v>
      </c>
      <c r="T172" s="32">
        <f>1/(1+Calculation_Assumptions!$B$8)^(B172-Calculation_Assumptions!$B$2)</f>
        <v>0.66111780581861923</v>
      </c>
      <c r="U172" s="21">
        <f t="shared" si="20"/>
        <v>0</v>
      </c>
      <c r="V172" s="21">
        <f t="shared" si="21"/>
        <v>1160154.2517972197</v>
      </c>
      <c r="W172" s="21">
        <f t="shared" si="22"/>
        <v>1160154.2517972197</v>
      </c>
      <c r="X172">
        <v>0</v>
      </c>
      <c r="Y172" s="18">
        <v>2017</v>
      </c>
      <c r="Z172" t="s">
        <v>264</v>
      </c>
      <c r="AA172" s="21">
        <f t="shared" si="23"/>
        <v>1</v>
      </c>
    </row>
    <row r="173" spans="1:27">
      <c r="A173" t="s">
        <v>76</v>
      </c>
      <c r="B173" s="18">
        <v>2040</v>
      </c>
      <c r="C173" t="s">
        <v>162</v>
      </c>
      <c r="D173" s="20" t="s">
        <v>334</v>
      </c>
      <c r="E173" s="20" t="s">
        <v>335</v>
      </c>
      <c r="F173" s="20" t="s">
        <v>170</v>
      </c>
      <c r="G173" s="20" t="s">
        <v>336</v>
      </c>
      <c r="H173" s="20" t="s">
        <v>338</v>
      </c>
      <c r="I173" s="29">
        <v>1</v>
      </c>
      <c r="J173" s="30">
        <v>1</v>
      </c>
      <c r="K173" s="31">
        <v>5.5999999999999999E-3</v>
      </c>
      <c r="L173" s="9">
        <v>314768783.15463299</v>
      </c>
      <c r="M173" s="9">
        <v>314109251.58264899</v>
      </c>
      <c r="N173" s="32">
        <f>MIN(MAX((B173-Calculation_Assumptions!$B$5+1)/Calculation_Assumptions!$B$7,0),1)</f>
        <v>1</v>
      </c>
      <c r="O173" s="21">
        <f t="shared" si="16"/>
        <v>314768783.15463299</v>
      </c>
      <c r="P173" s="21">
        <f t="shared" si="17"/>
        <v>314109251.58264899</v>
      </c>
      <c r="Q173" s="21">
        <f>P173*Calculation_Assumptions!$B$14*J173*K173</f>
        <v>0</v>
      </c>
      <c r="R173" s="21">
        <f t="shared" si="18"/>
        <v>1762705.1856659446</v>
      </c>
      <c r="S173" s="21">
        <f t="shared" si="19"/>
        <v>1762705.1856659446</v>
      </c>
      <c r="T173" s="32">
        <f>1/(1+Calculation_Assumptions!$B$8)^(B173-Calculation_Assumptions!$B$2)</f>
        <v>0.64186194739671765</v>
      </c>
      <c r="U173" s="21">
        <f t="shared" si="20"/>
        <v>0</v>
      </c>
      <c r="V173" s="21">
        <f t="shared" si="21"/>
        <v>1131413.383157836</v>
      </c>
      <c r="W173" s="21">
        <f t="shared" si="22"/>
        <v>1131413.383157836</v>
      </c>
      <c r="X173">
        <v>0</v>
      </c>
      <c r="Y173" s="18">
        <v>2017</v>
      </c>
      <c r="Z173" t="s">
        <v>264</v>
      </c>
      <c r="AA173" s="21">
        <f t="shared" si="23"/>
        <v>1</v>
      </c>
    </row>
    <row r="174" spans="1:27">
      <c r="A174" t="s">
        <v>76</v>
      </c>
      <c r="B174" s="18">
        <v>2041</v>
      </c>
      <c r="C174" t="s">
        <v>162</v>
      </c>
      <c r="D174" s="20" t="s">
        <v>334</v>
      </c>
      <c r="E174" s="20" t="s">
        <v>335</v>
      </c>
      <c r="F174" s="20" t="s">
        <v>170</v>
      </c>
      <c r="G174" s="20" t="s">
        <v>336</v>
      </c>
      <c r="H174" s="20" t="s">
        <v>338</v>
      </c>
      <c r="I174" s="29">
        <v>1</v>
      </c>
      <c r="J174" s="30">
        <v>1</v>
      </c>
      <c r="K174" s="31">
        <v>5.5999999999999999E-3</v>
      </c>
      <c r="L174" s="9">
        <v>316119789.29580498</v>
      </c>
      <c r="M174" s="9">
        <v>315352079.81242299</v>
      </c>
      <c r="N174" s="32">
        <f>MIN(MAX((B174-Calculation_Assumptions!$B$5+1)/Calculation_Assumptions!$B$7,0),1)</f>
        <v>1</v>
      </c>
      <c r="O174" s="21">
        <f t="shared" si="16"/>
        <v>316119789.29580498</v>
      </c>
      <c r="P174" s="21">
        <f t="shared" si="17"/>
        <v>315352079.81242299</v>
      </c>
      <c r="Q174" s="21">
        <f>P174*Calculation_Assumptions!$B$14*J174*K174</f>
        <v>0</v>
      </c>
      <c r="R174" s="21">
        <f t="shared" si="18"/>
        <v>1770270.8200565078</v>
      </c>
      <c r="S174" s="21">
        <f t="shared" si="19"/>
        <v>1770270.8200565078</v>
      </c>
      <c r="T174" s="32">
        <f>1/(1+Calculation_Assumptions!$B$8)^(B174-Calculation_Assumptions!$B$2)</f>
        <v>0.62316693922011435</v>
      </c>
      <c r="U174" s="21">
        <f t="shared" si="20"/>
        <v>0</v>
      </c>
      <c r="V174" s="21">
        <f t="shared" si="21"/>
        <v>1103174.2485252959</v>
      </c>
      <c r="W174" s="21">
        <f t="shared" si="22"/>
        <v>1103174.2485252959</v>
      </c>
      <c r="X174">
        <v>0</v>
      </c>
      <c r="Y174" s="18">
        <v>2017</v>
      </c>
      <c r="Z174" t="s">
        <v>264</v>
      </c>
      <c r="AA174" s="21">
        <f t="shared" si="23"/>
        <v>1</v>
      </c>
    </row>
    <row r="175" spans="1:27">
      <c r="A175" t="s">
        <v>76</v>
      </c>
      <c r="B175" s="18">
        <v>2042</v>
      </c>
      <c r="C175" t="s">
        <v>162</v>
      </c>
      <c r="D175" s="20" t="s">
        <v>334</v>
      </c>
      <c r="E175" s="20" t="s">
        <v>335</v>
      </c>
      <c r="F175" s="20" t="s">
        <v>170</v>
      </c>
      <c r="G175" s="20" t="s">
        <v>336</v>
      </c>
      <c r="H175" s="20" t="s">
        <v>338</v>
      </c>
      <c r="I175" s="29">
        <v>1</v>
      </c>
      <c r="J175" s="30">
        <v>1</v>
      </c>
      <c r="K175" s="31">
        <v>5.5999999999999999E-3</v>
      </c>
      <c r="L175" s="9">
        <v>317417240.49647599</v>
      </c>
      <c r="M175" s="9">
        <v>316395286.31201601</v>
      </c>
      <c r="N175" s="32">
        <f>MIN(MAX((B175-Calculation_Assumptions!$B$5+1)/Calculation_Assumptions!$B$7,0),1)</f>
        <v>1</v>
      </c>
      <c r="O175" s="21">
        <f t="shared" si="16"/>
        <v>317417240.49647599</v>
      </c>
      <c r="P175" s="21">
        <f t="shared" si="17"/>
        <v>316395286.31201601</v>
      </c>
      <c r="Q175" s="21">
        <f>P175*Calculation_Assumptions!$B$14*J175*K175</f>
        <v>0</v>
      </c>
      <c r="R175" s="21">
        <f t="shared" si="18"/>
        <v>1777536.5467802656</v>
      </c>
      <c r="S175" s="21">
        <f t="shared" si="19"/>
        <v>1777536.5467802656</v>
      </c>
      <c r="T175" s="32">
        <f>1/(1+Calculation_Assumptions!$B$8)^(B175-Calculation_Assumptions!$B$2)</f>
        <v>0.60501644584477121</v>
      </c>
      <c r="U175" s="21">
        <f t="shared" si="20"/>
        <v>0</v>
      </c>
      <c r="V175" s="21">
        <f t="shared" si="21"/>
        <v>1075438.8438921843</v>
      </c>
      <c r="W175" s="21">
        <f t="shared" si="22"/>
        <v>1075438.8438921843</v>
      </c>
      <c r="X175">
        <v>0</v>
      </c>
      <c r="Y175" s="18">
        <v>2017</v>
      </c>
      <c r="Z175" t="s">
        <v>264</v>
      </c>
      <c r="AA175" s="21">
        <f t="shared" si="23"/>
        <v>1</v>
      </c>
    </row>
    <row r="176" spans="1:27">
      <c r="A176" t="s">
        <v>76</v>
      </c>
      <c r="B176" s="18">
        <v>2043</v>
      </c>
      <c r="C176" t="s">
        <v>162</v>
      </c>
      <c r="D176" s="20" t="s">
        <v>334</v>
      </c>
      <c r="E176" s="20" t="s">
        <v>335</v>
      </c>
      <c r="F176" s="20" t="s">
        <v>170</v>
      </c>
      <c r="G176" s="20" t="s">
        <v>336</v>
      </c>
      <c r="H176" s="20" t="s">
        <v>338</v>
      </c>
      <c r="I176" s="29">
        <v>1</v>
      </c>
      <c r="J176" s="30">
        <v>1</v>
      </c>
      <c r="K176" s="31">
        <v>5.5999999999999999E-3</v>
      </c>
      <c r="L176" s="9">
        <v>318779591.21990502</v>
      </c>
      <c r="M176" s="9">
        <v>317619735.68828899</v>
      </c>
      <c r="N176" s="32">
        <f>MIN(MAX((B176-Calculation_Assumptions!$B$5+1)/Calculation_Assumptions!$B$7,0),1)</f>
        <v>1</v>
      </c>
      <c r="O176" s="21">
        <f t="shared" si="16"/>
        <v>318779591.21990502</v>
      </c>
      <c r="P176" s="21">
        <f t="shared" si="17"/>
        <v>317619735.68828899</v>
      </c>
      <c r="Q176" s="21">
        <f>P176*Calculation_Assumptions!$B$14*J176*K176</f>
        <v>0</v>
      </c>
      <c r="R176" s="21">
        <f t="shared" si="18"/>
        <v>1785165.710831468</v>
      </c>
      <c r="S176" s="21">
        <f t="shared" si="19"/>
        <v>1785165.710831468</v>
      </c>
      <c r="T176" s="32">
        <f>1/(1+Calculation_Assumptions!$B$8)^(B176-Calculation_Assumptions!$B$2)</f>
        <v>0.5873946076162827</v>
      </c>
      <c r="U176" s="21">
        <f t="shared" si="20"/>
        <v>0</v>
      </c>
      <c r="V176" s="21">
        <f t="shared" si="21"/>
        <v>1048596.7122438925</v>
      </c>
      <c r="W176" s="21">
        <f t="shared" si="22"/>
        <v>1048596.7122438925</v>
      </c>
      <c r="X176">
        <v>0</v>
      </c>
      <c r="Y176" s="18">
        <v>2017</v>
      </c>
      <c r="Z176" t="s">
        <v>264</v>
      </c>
      <c r="AA176" s="21">
        <f t="shared" si="23"/>
        <v>1</v>
      </c>
    </row>
    <row r="177" spans="1:27">
      <c r="A177" t="s">
        <v>76</v>
      </c>
      <c r="B177" s="18">
        <v>2044</v>
      </c>
      <c r="C177" t="s">
        <v>162</v>
      </c>
      <c r="D177" s="20" t="s">
        <v>334</v>
      </c>
      <c r="E177" s="20" t="s">
        <v>335</v>
      </c>
      <c r="F177" s="20" t="s">
        <v>170</v>
      </c>
      <c r="G177" s="20" t="s">
        <v>336</v>
      </c>
      <c r="H177" s="20" t="s">
        <v>338</v>
      </c>
      <c r="I177" s="29">
        <v>1</v>
      </c>
      <c r="J177" s="30">
        <v>1</v>
      </c>
      <c r="K177" s="31">
        <v>5.5999999999999999E-3</v>
      </c>
      <c r="L177" s="9">
        <v>319985562.36722702</v>
      </c>
      <c r="M177" s="9">
        <v>318697135.86365199</v>
      </c>
      <c r="N177" s="32">
        <f>MIN(MAX((B177-Calculation_Assumptions!$B$5+1)/Calculation_Assumptions!$B$7,0),1)</f>
        <v>1</v>
      </c>
      <c r="O177" s="21">
        <f t="shared" si="16"/>
        <v>319985562.36722702</v>
      </c>
      <c r="P177" s="21">
        <f t="shared" si="17"/>
        <v>318697135.86365199</v>
      </c>
      <c r="Q177" s="21">
        <f>P177*Calculation_Assumptions!$B$14*J177*K177</f>
        <v>0</v>
      </c>
      <c r="R177" s="21">
        <f t="shared" si="18"/>
        <v>1791919.1492564713</v>
      </c>
      <c r="S177" s="21">
        <f t="shared" si="19"/>
        <v>1791919.1492564713</v>
      </c>
      <c r="T177" s="32">
        <f>1/(1+Calculation_Assumptions!$B$8)^(B177-Calculation_Assumptions!$B$2)</f>
        <v>0.57028602681192497</v>
      </c>
      <c r="U177" s="21">
        <f t="shared" si="20"/>
        <v>0</v>
      </c>
      <c r="V177" s="21">
        <f t="shared" si="21"/>
        <v>1021906.4519976778</v>
      </c>
      <c r="W177" s="21">
        <f t="shared" si="22"/>
        <v>1021906.4519976778</v>
      </c>
      <c r="X177">
        <v>0</v>
      </c>
      <c r="Y177" s="18">
        <v>2017</v>
      </c>
      <c r="Z177" t="s">
        <v>264</v>
      </c>
      <c r="AA177" s="21">
        <f t="shared" si="23"/>
        <v>1</v>
      </c>
    </row>
    <row r="178" spans="1:27">
      <c r="A178" t="s">
        <v>76</v>
      </c>
      <c r="B178" s="18">
        <v>2045</v>
      </c>
      <c r="C178" t="s">
        <v>162</v>
      </c>
      <c r="D178" s="20" t="s">
        <v>334</v>
      </c>
      <c r="E178" s="20" t="s">
        <v>335</v>
      </c>
      <c r="F178" s="20" t="s">
        <v>170</v>
      </c>
      <c r="G178" s="20" t="s">
        <v>336</v>
      </c>
      <c r="H178" s="20" t="s">
        <v>338</v>
      </c>
      <c r="I178" s="29">
        <v>1</v>
      </c>
      <c r="J178" s="30">
        <v>1</v>
      </c>
      <c r="K178" s="31">
        <v>5.5999999999999999E-3</v>
      </c>
      <c r="L178" s="9">
        <v>320960972.38609999</v>
      </c>
      <c r="M178" s="9">
        <v>319717840.85179001</v>
      </c>
      <c r="N178" s="32">
        <f>MIN(MAX((B178-Calculation_Assumptions!$B$5+1)/Calculation_Assumptions!$B$7,0),1)</f>
        <v>1</v>
      </c>
      <c r="O178" s="21">
        <f t="shared" si="16"/>
        <v>320960972.38609999</v>
      </c>
      <c r="P178" s="21">
        <f t="shared" si="17"/>
        <v>319717840.85179001</v>
      </c>
      <c r="Q178" s="21">
        <f>P178*Calculation_Assumptions!$B$14*J178*K178</f>
        <v>0</v>
      </c>
      <c r="R178" s="21">
        <f t="shared" si="18"/>
        <v>1797381.44536216</v>
      </c>
      <c r="S178" s="21">
        <f t="shared" si="19"/>
        <v>1797381.44536216</v>
      </c>
      <c r="T178" s="32">
        <f>1/(1+Calculation_Assumptions!$B$8)^(B178-Calculation_Assumptions!$B$2)</f>
        <v>0.55367575418633497</v>
      </c>
      <c r="U178" s="21">
        <f t="shared" si="20"/>
        <v>0</v>
      </c>
      <c r="V178" s="21">
        <f t="shared" si="21"/>
        <v>995166.52732141875</v>
      </c>
      <c r="W178" s="21">
        <f t="shared" si="22"/>
        <v>995166.52732141875</v>
      </c>
      <c r="X178">
        <v>0</v>
      </c>
      <c r="Y178" s="18">
        <v>2017</v>
      </c>
      <c r="Z178" t="s">
        <v>264</v>
      </c>
      <c r="AA178" s="21">
        <f t="shared" si="23"/>
        <v>1</v>
      </c>
    </row>
    <row r="179" spans="1:27">
      <c r="A179" t="s">
        <v>76</v>
      </c>
      <c r="B179" s="18">
        <v>2046</v>
      </c>
      <c r="C179" t="s">
        <v>162</v>
      </c>
      <c r="D179" s="20" t="s">
        <v>334</v>
      </c>
      <c r="E179" s="20" t="s">
        <v>335</v>
      </c>
      <c r="F179" s="20" t="s">
        <v>170</v>
      </c>
      <c r="G179" s="20" t="s">
        <v>336</v>
      </c>
      <c r="H179" s="20" t="s">
        <v>338</v>
      </c>
      <c r="I179" s="29">
        <v>1</v>
      </c>
      <c r="J179" s="30">
        <v>1</v>
      </c>
      <c r="K179" s="31">
        <v>5.5999999999999999E-3</v>
      </c>
      <c r="L179" s="9">
        <v>322053582.24950999</v>
      </c>
      <c r="M179" s="9">
        <v>320683879.80627602</v>
      </c>
      <c r="N179" s="32">
        <f>MIN(MAX((B179-Calculation_Assumptions!$B$5+1)/Calculation_Assumptions!$B$7,0),1)</f>
        <v>1</v>
      </c>
      <c r="O179" s="21">
        <f t="shared" si="16"/>
        <v>322053582.24950999</v>
      </c>
      <c r="P179" s="21">
        <f t="shared" si="17"/>
        <v>320683879.80627602</v>
      </c>
      <c r="Q179" s="21">
        <f>P179*Calculation_Assumptions!$B$14*J179*K179</f>
        <v>0</v>
      </c>
      <c r="R179" s="21">
        <f t="shared" si="18"/>
        <v>1803500.0605972558</v>
      </c>
      <c r="S179" s="21">
        <f t="shared" si="19"/>
        <v>1803500.0605972558</v>
      </c>
      <c r="T179" s="32">
        <f>1/(1+Calculation_Assumptions!$B$8)^(B179-Calculation_Assumptions!$B$2)</f>
        <v>0.5375492759090631</v>
      </c>
      <c r="U179" s="21">
        <f t="shared" si="20"/>
        <v>0</v>
      </c>
      <c r="V179" s="21">
        <f t="shared" si="21"/>
        <v>969470.15167600627</v>
      </c>
      <c r="W179" s="21">
        <f t="shared" si="22"/>
        <v>969470.15167600627</v>
      </c>
      <c r="X179">
        <v>0</v>
      </c>
      <c r="Y179" s="18">
        <v>2017</v>
      </c>
      <c r="Z179" t="s">
        <v>264</v>
      </c>
      <c r="AA179" s="21">
        <f t="shared" si="23"/>
        <v>1</v>
      </c>
    </row>
    <row r="180" spans="1:27">
      <c r="A180" t="s">
        <v>76</v>
      </c>
      <c r="B180" s="18">
        <v>2047</v>
      </c>
      <c r="C180" t="s">
        <v>162</v>
      </c>
      <c r="D180" s="20" t="s">
        <v>334</v>
      </c>
      <c r="E180" s="20" t="s">
        <v>335</v>
      </c>
      <c r="F180" s="20" t="s">
        <v>170</v>
      </c>
      <c r="G180" s="20" t="s">
        <v>336</v>
      </c>
      <c r="H180" s="20" t="s">
        <v>338</v>
      </c>
      <c r="I180" s="29">
        <v>1</v>
      </c>
      <c r="J180" s="30">
        <v>1</v>
      </c>
      <c r="K180" s="31">
        <v>5.5999999999999999E-3</v>
      </c>
      <c r="L180" s="9">
        <v>323093320.95173001</v>
      </c>
      <c r="M180" s="9">
        <v>321595541.38952601</v>
      </c>
      <c r="N180" s="32">
        <f>MIN(MAX((B180-Calculation_Assumptions!$B$5+1)/Calculation_Assumptions!$B$7,0),1)</f>
        <v>1</v>
      </c>
      <c r="O180" s="21">
        <f t="shared" si="16"/>
        <v>323093320.95173001</v>
      </c>
      <c r="P180" s="21">
        <f t="shared" si="17"/>
        <v>321595541.38952601</v>
      </c>
      <c r="Q180" s="21">
        <f>P180*Calculation_Assumptions!$B$14*J180*K180</f>
        <v>0</v>
      </c>
      <c r="R180" s="21">
        <f t="shared" si="18"/>
        <v>1809322.597329688</v>
      </c>
      <c r="S180" s="21">
        <f t="shared" si="19"/>
        <v>1809322.597329688</v>
      </c>
      <c r="T180" s="32">
        <f>1/(1+Calculation_Assumptions!$B$8)^(B180-Calculation_Assumptions!$B$2)</f>
        <v>0.52189250088258554</v>
      </c>
      <c r="U180" s="21">
        <f t="shared" si="20"/>
        <v>0</v>
      </c>
      <c r="V180" s="21">
        <f t="shared" si="21"/>
        <v>944271.89522376622</v>
      </c>
      <c r="W180" s="21">
        <f t="shared" si="22"/>
        <v>944271.89522376622</v>
      </c>
      <c r="X180">
        <v>0</v>
      </c>
      <c r="Y180" s="18">
        <v>2017</v>
      </c>
      <c r="Z180" t="s">
        <v>264</v>
      </c>
      <c r="AA180" s="21">
        <f t="shared" si="23"/>
        <v>1</v>
      </c>
    </row>
    <row r="181" spans="1:27">
      <c r="A181" t="s">
        <v>76</v>
      </c>
      <c r="B181" s="18">
        <v>2048</v>
      </c>
      <c r="C181" t="s">
        <v>162</v>
      </c>
      <c r="D181" s="20" t="s">
        <v>334</v>
      </c>
      <c r="E181" s="20" t="s">
        <v>335</v>
      </c>
      <c r="F181" s="20" t="s">
        <v>170</v>
      </c>
      <c r="G181" s="20" t="s">
        <v>336</v>
      </c>
      <c r="H181" s="20" t="s">
        <v>338</v>
      </c>
      <c r="I181" s="29">
        <v>1</v>
      </c>
      <c r="J181" s="30">
        <v>1</v>
      </c>
      <c r="K181" s="31">
        <v>5.5999999999999999E-3</v>
      </c>
      <c r="L181" s="9">
        <v>324080784.77517301</v>
      </c>
      <c r="M181" s="9">
        <v>322453622.66946399</v>
      </c>
      <c r="N181" s="32">
        <f>MIN(MAX((B181-Calculation_Assumptions!$B$5+1)/Calculation_Assumptions!$B$7,0),1)</f>
        <v>1</v>
      </c>
      <c r="O181" s="21">
        <f t="shared" si="16"/>
        <v>324080784.77517301</v>
      </c>
      <c r="P181" s="21">
        <f t="shared" si="17"/>
        <v>322453622.66946399</v>
      </c>
      <c r="Q181" s="21">
        <f>P181*Calculation_Assumptions!$B$14*J181*K181</f>
        <v>0</v>
      </c>
      <c r="R181" s="21">
        <f t="shared" si="18"/>
        <v>1814852.3947409689</v>
      </c>
      <c r="S181" s="21">
        <f t="shared" si="19"/>
        <v>1814852.3947409689</v>
      </c>
      <c r="T181" s="32">
        <f>1/(1+Calculation_Assumptions!$B$8)^(B181-Calculation_Assumptions!$B$2)</f>
        <v>0.50669174842969467</v>
      </c>
      <c r="U181" s="21">
        <f t="shared" si="20"/>
        <v>0</v>
      </c>
      <c r="V181" s="21">
        <f t="shared" si="21"/>
        <v>919570.73303311993</v>
      </c>
      <c r="W181" s="21">
        <f t="shared" si="22"/>
        <v>919570.73303311993</v>
      </c>
      <c r="X181">
        <v>0</v>
      </c>
      <c r="Y181" s="18">
        <v>2017</v>
      </c>
      <c r="Z181" t="s">
        <v>264</v>
      </c>
      <c r="AA181" s="21">
        <f t="shared" si="23"/>
        <v>1</v>
      </c>
    </row>
    <row r="182" spans="1:27">
      <c r="A182" t="s">
        <v>76</v>
      </c>
      <c r="B182" s="18">
        <v>2049</v>
      </c>
      <c r="C182" t="s">
        <v>162</v>
      </c>
      <c r="D182" s="20" t="s">
        <v>334</v>
      </c>
      <c r="E182" s="20" t="s">
        <v>335</v>
      </c>
      <c r="F182" s="20" t="s">
        <v>170</v>
      </c>
      <c r="G182" s="20" t="s">
        <v>336</v>
      </c>
      <c r="H182" s="20" t="s">
        <v>338</v>
      </c>
      <c r="I182" s="29">
        <v>1</v>
      </c>
      <c r="J182" s="30">
        <v>1</v>
      </c>
      <c r="K182" s="31">
        <v>5.5999999999999999E-3</v>
      </c>
      <c r="L182" s="9">
        <v>325016726.58335501</v>
      </c>
      <c r="M182" s="9">
        <v>323259246.71671897</v>
      </c>
      <c r="N182" s="32">
        <f>MIN(MAX((B182-Calculation_Assumptions!$B$5+1)/Calculation_Assumptions!$B$7,0),1)</f>
        <v>1</v>
      </c>
      <c r="O182" s="21">
        <f t="shared" si="16"/>
        <v>325016726.58335501</v>
      </c>
      <c r="P182" s="21">
        <f t="shared" si="17"/>
        <v>323259246.71671897</v>
      </c>
      <c r="Q182" s="21">
        <f>P182*Calculation_Assumptions!$B$14*J182*K182</f>
        <v>0</v>
      </c>
      <c r="R182" s="21">
        <f t="shared" si="18"/>
        <v>1820093.668866788</v>
      </c>
      <c r="S182" s="21">
        <f t="shared" si="19"/>
        <v>1820093.668866788</v>
      </c>
      <c r="T182" s="32">
        <f>1/(1+Calculation_Assumptions!$B$8)^(B182-Calculation_Assumptions!$B$2)</f>
        <v>0.49193373633950943</v>
      </c>
      <c r="U182" s="21">
        <f t="shared" si="20"/>
        <v>0</v>
      </c>
      <c r="V182" s="21">
        <f t="shared" si="21"/>
        <v>895365.47901352483</v>
      </c>
      <c r="W182" s="21">
        <f t="shared" si="22"/>
        <v>895365.47901352483</v>
      </c>
      <c r="X182">
        <v>0</v>
      </c>
      <c r="Y182" s="18">
        <v>2017</v>
      </c>
      <c r="Z182" t="s">
        <v>264</v>
      </c>
      <c r="AA182" s="21">
        <f t="shared" si="23"/>
        <v>1</v>
      </c>
    </row>
    <row r="183" spans="1:27">
      <c r="A183" t="s">
        <v>76</v>
      </c>
      <c r="B183" s="18">
        <v>2050</v>
      </c>
      <c r="C183" t="s">
        <v>162</v>
      </c>
      <c r="D183" s="20" t="s">
        <v>334</v>
      </c>
      <c r="E183" s="20" t="s">
        <v>335</v>
      </c>
      <c r="F183" s="20" t="s">
        <v>170</v>
      </c>
      <c r="G183" s="20" t="s">
        <v>336</v>
      </c>
      <c r="H183" s="20" t="s">
        <v>338</v>
      </c>
      <c r="I183" s="29">
        <v>1</v>
      </c>
      <c r="J183" s="30">
        <v>1</v>
      </c>
      <c r="K183" s="31">
        <v>5.5999999999999999E-3</v>
      </c>
      <c r="L183" s="9">
        <v>325902090.73091602</v>
      </c>
      <c r="M183" s="9">
        <v>324013738.18247902</v>
      </c>
      <c r="N183" s="32">
        <f>MIN(MAX((B183-Calculation_Assumptions!$B$5+1)/Calculation_Assumptions!$B$7,0),1)</f>
        <v>1</v>
      </c>
      <c r="O183" s="21">
        <f t="shared" si="16"/>
        <v>325902090.73091602</v>
      </c>
      <c r="P183" s="21">
        <f t="shared" si="17"/>
        <v>324013738.18247902</v>
      </c>
      <c r="Q183" s="21">
        <f>P183*Calculation_Assumptions!$B$14*J183*K183</f>
        <v>0</v>
      </c>
      <c r="R183" s="21">
        <f t="shared" si="18"/>
        <v>1825051.7080931298</v>
      </c>
      <c r="S183" s="21">
        <f t="shared" si="19"/>
        <v>1825051.7080931298</v>
      </c>
      <c r="T183" s="32">
        <f>1/(1+Calculation_Assumptions!$B$8)^(B183-Calculation_Assumptions!$B$2)</f>
        <v>0.47760556926165965</v>
      </c>
      <c r="U183" s="21">
        <f t="shared" si="20"/>
        <v>0</v>
      </c>
      <c r="V183" s="21">
        <f t="shared" si="21"/>
        <v>871654.8599757835</v>
      </c>
      <c r="W183" s="21">
        <f t="shared" si="22"/>
        <v>871654.8599757835</v>
      </c>
      <c r="X183">
        <v>0</v>
      </c>
      <c r="Y183" s="18">
        <v>2017</v>
      </c>
      <c r="Z183" t="s">
        <v>264</v>
      </c>
      <c r="AA183" s="21">
        <f t="shared" si="23"/>
        <v>1</v>
      </c>
    </row>
    <row r="184" spans="1:27">
      <c r="A184" t="s">
        <v>76</v>
      </c>
      <c r="B184" s="18">
        <v>2025</v>
      </c>
      <c r="C184" t="s">
        <v>185</v>
      </c>
      <c r="D184" s="20" t="s">
        <v>341</v>
      </c>
      <c r="E184" s="20" t="s">
        <v>342</v>
      </c>
      <c r="F184" s="20" t="s">
        <v>188</v>
      </c>
      <c r="G184" s="20" t="s">
        <v>336</v>
      </c>
      <c r="H184" s="20" t="s">
        <v>338</v>
      </c>
      <c r="I184" s="29">
        <v>1</v>
      </c>
      <c r="J184" s="30">
        <v>1</v>
      </c>
      <c r="K184" s="31">
        <v>4.0000000000000001E-3</v>
      </c>
      <c r="L184" s="9">
        <v>288000821.106462</v>
      </c>
      <c r="M184" s="9">
        <v>288000821.106462</v>
      </c>
      <c r="N184" s="32">
        <f>MIN(MAX((B184-Calculation_Assumptions!$B$5+1)/Calculation_Assumptions!$B$7,0),1)</f>
        <v>0</v>
      </c>
      <c r="O184" s="21">
        <f t="shared" si="16"/>
        <v>288000821.106462</v>
      </c>
      <c r="P184" s="21">
        <f t="shared" si="17"/>
        <v>288000821.106462</v>
      </c>
      <c r="Q184" s="21">
        <f>P184*Calculation_Assumptions!$B$14*J184*K184</f>
        <v>0</v>
      </c>
      <c r="R184" s="21">
        <f t="shared" si="18"/>
        <v>0</v>
      </c>
      <c r="S184" s="21">
        <f t="shared" si="19"/>
        <v>0</v>
      </c>
      <c r="T184" s="32">
        <f>1/(1+Calculation_Assumptions!$B$8)^(B184-Calculation_Assumptions!$B$2)</f>
        <v>1</v>
      </c>
      <c r="U184" s="21">
        <f t="shared" si="20"/>
        <v>0</v>
      </c>
      <c r="V184" s="21">
        <f t="shared" si="21"/>
        <v>0</v>
      </c>
      <c r="W184" s="21">
        <f t="shared" si="22"/>
        <v>0</v>
      </c>
      <c r="X184">
        <v>0</v>
      </c>
      <c r="Y184" s="18">
        <v>2017</v>
      </c>
      <c r="Z184" t="s">
        <v>264</v>
      </c>
      <c r="AA184" s="21">
        <f t="shared" si="23"/>
        <v>1</v>
      </c>
    </row>
    <row r="185" spans="1:27">
      <c r="A185" t="s">
        <v>76</v>
      </c>
      <c r="B185" s="18">
        <v>2026</v>
      </c>
      <c r="C185" t="s">
        <v>185</v>
      </c>
      <c r="D185" s="20" t="s">
        <v>341</v>
      </c>
      <c r="E185" s="20" t="s">
        <v>342</v>
      </c>
      <c r="F185" s="20" t="s">
        <v>188</v>
      </c>
      <c r="G185" s="20" t="s">
        <v>336</v>
      </c>
      <c r="H185" s="20" t="s">
        <v>338</v>
      </c>
      <c r="I185" s="29">
        <v>1</v>
      </c>
      <c r="J185" s="30">
        <v>1</v>
      </c>
      <c r="K185" s="31">
        <v>4.0000000000000001E-3</v>
      </c>
      <c r="L185" s="9">
        <v>290123496.10321897</v>
      </c>
      <c r="M185" s="9">
        <v>290123496.10321897</v>
      </c>
      <c r="N185" s="32">
        <f>MIN(MAX((B185-Calculation_Assumptions!$B$5+1)/Calculation_Assumptions!$B$7,0),1)</f>
        <v>0.33333333333333331</v>
      </c>
      <c r="O185" s="21">
        <f t="shared" si="16"/>
        <v>290123496.10321897</v>
      </c>
      <c r="P185" s="21">
        <f t="shared" si="17"/>
        <v>290123496.10321897</v>
      </c>
      <c r="Q185" s="21">
        <f>P185*Calculation_Assumptions!$B$14*J185*K185</f>
        <v>0</v>
      </c>
      <c r="R185" s="21">
        <f t="shared" si="18"/>
        <v>386831.3281376253</v>
      </c>
      <c r="S185" s="21">
        <f t="shared" si="19"/>
        <v>386831.3281376253</v>
      </c>
      <c r="T185" s="32">
        <f>1/(1+Calculation_Assumptions!$B$8)^(B185-Calculation_Assumptions!$B$2)</f>
        <v>0.970873786407767</v>
      </c>
      <c r="U185" s="21">
        <f t="shared" si="20"/>
        <v>0</v>
      </c>
      <c r="V185" s="21">
        <f t="shared" si="21"/>
        <v>375564.39625012164</v>
      </c>
      <c r="W185" s="21">
        <f t="shared" si="22"/>
        <v>375564.39625012164</v>
      </c>
      <c r="X185">
        <v>0</v>
      </c>
      <c r="Y185" s="18">
        <v>2017</v>
      </c>
      <c r="Z185" t="s">
        <v>264</v>
      </c>
      <c r="AA185" s="21">
        <f t="shared" si="23"/>
        <v>1</v>
      </c>
    </row>
    <row r="186" spans="1:27">
      <c r="A186" t="s">
        <v>76</v>
      </c>
      <c r="B186" s="18">
        <v>2027</v>
      </c>
      <c r="C186" t="s">
        <v>185</v>
      </c>
      <c r="D186" s="20" t="s">
        <v>341</v>
      </c>
      <c r="E186" s="20" t="s">
        <v>342</v>
      </c>
      <c r="F186" s="20" t="s">
        <v>188</v>
      </c>
      <c r="G186" s="20" t="s">
        <v>336</v>
      </c>
      <c r="H186" s="20" t="s">
        <v>338</v>
      </c>
      <c r="I186" s="29">
        <v>1</v>
      </c>
      <c r="J186" s="30">
        <v>1</v>
      </c>
      <c r="K186" s="31">
        <v>4.0000000000000001E-3</v>
      </c>
      <c r="L186" s="9">
        <v>292252895.09695601</v>
      </c>
      <c r="M186" s="9">
        <v>292252895.09695601</v>
      </c>
      <c r="N186" s="32">
        <f>MIN(MAX((B186-Calculation_Assumptions!$B$5+1)/Calculation_Assumptions!$B$7,0),1)</f>
        <v>0.66666666666666663</v>
      </c>
      <c r="O186" s="21">
        <f t="shared" si="16"/>
        <v>292252895.09695601</v>
      </c>
      <c r="P186" s="21">
        <f t="shared" si="17"/>
        <v>292252895.09695601</v>
      </c>
      <c r="Q186" s="21">
        <f>P186*Calculation_Assumptions!$B$14*J186*K186</f>
        <v>0</v>
      </c>
      <c r="R186" s="21">
        <f t="shared" si="18"/>
        <v>779341.05359188269</v>
      </c>
      <c r="S186" s="21">
        <f t="shared" si="19"/>
        <v>779341.05359188269</v>
      </c>
      <c r="T186" s="32">
        <f>1/(1+Calculation_Assumptions!$B$8)^(B186-Calculation_Assumptions!$B$2)</f>
        <v>0.94259590913375435</v>
      </c>
      <c r="U186" s="21">
        <f t="shared" si="20"/>
        <v>0</v>
      </c>
      <c r="V186" s="21">
        <f t="shared" si="21"/>
        <v>734603.68893569859</v>
      </c>
      <c r="W186" s="21">
        <f t="shared" si="22"/>
        <v>734603.68893569859</v>
      </c>
      <c r="X186">
        <v>0</v>
      </c>
      <c r="Y186" s="18">
        <v>2017</v>
      </c>
      <c r="Z186" t="s">
        <v>264</v>
      </c>
      <c r="AA186" s="21">
        <f t="shared" si="23"/>
        <v>1</v>
      </c>
    </row>
    <row r="187" spans="1:27">
      <c r="A187" t="s">
        <v>76</v>
      </c>
      <c r="B187" s="18">
        <v>2028</v>
      </c>
      <c r="C187" t="s">
        <v>185</v>
      </c>
      <c r="D187" s="20" t="s">
        <v>341</v>
      </c>
      <c r="E187" s="20" t="s">
        <v>342</v>
      </c>
      <c r="F187" s="20" t="s">
        <v>188</v>
      </c>
      <c r="G187" s="20" t="s">
        <v>336</v>
      </c>
      <c r="H187" s="20" t="s">
        <v>338</v>
      </c>
      <c r="I187" s="29">
        <v>1</v>
      </c>
      <c r="J187" s="30">
        <v>1</v>
      </c>
      <c r="K187" s="31">
        <v>4.0000000000000001E-3</v>
      </c>
      <c r="L187" s="9">
        <v>294318750.70606601</v>
      </c>
      <c r="M187" s="9">
        <v>294314895.30546498</v>
      </c>
      <c r="N187" s="32">
        <f>MIN(MAX((B187-Calculation_Assumptions!$B$5+1)/Calculation_Assumptions!$B$7,0),1)</f>
        <v>1</v>
      </c>
      <c r="O187" s="21">
        <f t="shared" si="16"/>
        <v>294318750.70606601</v>
      </c>
      <c r="P187" s="21">
        <f t="shared" si="17"/>
        <v>294314895.30546498</v>
      </c>
      <c r="Q187" s="21">
        <f>P187*Calculation_Assumptions!$B$14*J187*K187</f>
        <v>0</v>
      </c>
      <c r="R187" s="21">
        <f t="shared" si="18"/>
        <v>1177275.0028242641</v>
      </c>
      <c r="S187" s="21">
        <f t="shared" si="19"/>
        <v>1177275.0028242641</v>
      </c>
      <c r="T187" s="32">
        <f>1/(1+Calculation_Assumptions!$B$8)^(B187-Calculation_Assumptions!$B$2)</f>
        <v>0.91514165935315961</v>
      </c>
      <c r="U187" s="21">
        <f t="shared" si="20"/>
        <v>0</v>
      </c>
      <c r="V187" s="21">
        <f t="shared" si="21"/>
        <v>1077373.3995995927</v>
      </c>
      <c r="W187" s="21">
        <f t="shared" si="22"/>
        <v>1077373.3995995927</v>
      </c>
      <c r="X187">
        <v>0</v>
      </c>
      <c r="Y187" s="18">
        <v>2017</v>
      </c>
      <c r="Z187" t="s">
        <v>264</v>
      </c>
      <c r="AA187" s="21">
        <f t="shared" si="23"/>
        <v>1</v>
      </c>
    </row>
    <row r="188" spans="1:27">
      <c r="A188" t="s">
        <v>76</v>
      </c>
      <c r="B188" s="18">
        <v>2029</v>
      </c>
      <c r="C188" t="s">
        <v>185</v>
      </c>
      <c r="D188" s="20" t="s">
        <v>341</v>
      </c>
      <c r="E188" s="20" t="s">
        <v>342</v>
      </c>
      <c r="F188" s="20" t="s">
        <v>188</v>
      </c>
      <c r="G188" s="20" t="s">
        <v>336</v>
      </c>
      <c r="H188" s="20" t="s">
        <v>338</v>
      </c>
      <c r="I188" s="29">
        <v>1</v>
      </c>
      <c r="J188" s="30">
        <v>1</v>
      </c>
      <c r="K188" s="31">
        <v>4.0000000000000001E-3</v>
      </c>
      <c r="L188" s="9">
        <v>296356322.26615602</v>
      </c>
      <c r="M188" s="9">
        <v>296341062.542853</v>
      </c>
      <c r="N188" s="32">
        <f>MIN(MAX((B188-Calculation_Assumptions!$B$5+1)/Calculation_Assumptions!$B$7,0),1)</f>
        <v>1</v>
      </c>
      <c r="O188" s="21">
        <f t="shared" si="16"/>
        <v>296356322.26615602</v>
      </c>
      <c r="P188" s="21">
        <f t="shared" si="17"/>
        <v>296341062.542853</v>
      </c>
      <c r="Q188" s="21">
        <f>P188*Calculation_Assumptions!$B$14*J188*K188</f>
        <v>0</v>
      </c>
      <c r="R188" s="21">
        <f t="shared" si="18"/>
        <v>1185425.2890646241</v>
      </c>
      <c r="S188" s="21">
        <f t="shared" si="19"/>
        <v>1185425.2890646241</v>
      </c>
      <c r="T188" s="32">
        <f>1/(1+Calculation_Assumptions!$B$8)^(B188-Calculation_Assumptions!$B$2)</f>
        <v>0.888487047915689</v>
      </c>
      <c r="U188" s="21">
        <f t="shared" si="20"/>
        <v>0</v>
      </c>
      <c r="V188" s="21">
        <f t="shared" si="21"/>
        <v>1053235.0156056301</v>
      </c>
      <c r="W188" s="21">
        <f t="shared" si="22"/>
        <v>1053235.0156056301</v>
      </c>
      <c r="X188">
        <v>0</v>
      </c>
      <c r="Y188" s="18">
        <v>2017</v>
      </c>
      <c r="Z188" t="s">
        <v>264</v>
      </c>
      <c r="AA188" s="21">
        <f t="shared" si="23"/>
        <v>1</v>
      </c>
    </row>
    <row r="189" spans="1:27">
      <c r="A189" t="s">
        <v>76</v>
      </c>
      <c r="B189" s="18">
        <v>2030</v>
      </c>
      <c r="C189" t="s">
        <v>185</v>
      </c>
      <c r="D189" s="20" t="s">
        <v>341</v>
      </c>
      <c r="E189" s="20" t="s">
        <v>342</v>
      </c>
      <c r="F189" s="20" t="s">
        <v>188</v>
      </c>
      <c r="G189" s="20" t="s">
        <v>336</v>
      </c>
      <c r="H189" s="20" t="s">
        <v>338</v>
      </c>
      <c r="I189" s="29">
        <v>1</v>
      </c>
      <c r="J189" s="30">
        <v>1</v>
      </c>
      <c r="K189" s="31">
        <v>4.0000000000000001E-3</v>
      </c>
      <c r="L189" s="9">
        <v>298317004.67873597</v>
      </c>
      <c r="M189" s="9">
        <v>298280286.05726302</v>
      </c>
      <c r="N189" s="32">
        <f>MIN(MAX((B189-Calculation_Assumptions!$B$5+1)/Calculation_Assumptions!$B$7,0),1)</f>
        <v>1</v>
      </c>
      <c r="O189" s="21">
        <f t="shared" si="16"/>
        <v>298317004.67873597</v>
      </c>
      <c r="P189" s="21">
        <f t="shared" si="17"/>
        <v>298280286.05726302</v>
      </c>
      <c r="Q189" s="21">
        <f>P189*Calculation_Assumptions!$B$14*J189*K189</f>
        <v>0</v>
      </c>
      <c r="R189" s="21">
        <f t="shared" si="18"/>
        <v>1193268.0187149439</v>
      </c>
      <c r="S189" s="21">
        <f t="shared" si="19"/>
        <v>1193268.0187149439</v>
      </c>
      <c r="T189" s="32">
        <f>1/(1+Calculation_Assumptions!$B$8)^(B189-Calculation_Assumptions!$B$2)</f>
        <v>0.86260878438416411</v>
      </c>
      <c r="U189" s="21">
        <f t="shared" si="20"/>
        <v>0</v>
      </c>
      <c r="V189" s="21">
        <f t="shared" si="21"/>
        <v>1029323.4750681977</v>
      </c>
      <c r="W189" s="21">
        <f t="shared" si="22"/>
        <v>1029323.4750681977</v>
      </c>
      <c r="X189">
        <v>0</v>
      </c>
      <c r="Y189" s="18">
        <v>2017</v>
      </c>
      <c r="Z189" t="s">
        <v>264</v>
      </c>
      <c r="AA189" s="21">
        <f t="shared" si="23"/>
        <v>1</v>
      </c>
    </row>
    <row r="190" spans="1:27">
      <c r="A190" t="s">
        <v>76</v>
      </c>
      <c r="B190" s="18">
        <v>2031</v>
      </c>
      <c r="C190" t="s">
        <v>185</v>
      </c>
      <c r="D190" s="20" t="s">
        <v>341</v>
      </c>
      <c r="E190" s="20" t="s">
        <v>342</v>
      </c>
      <c r="F190" s="20" t="s">
        <v>188</v>
      </c>
      <c r="G190" s="20" t="s">
        <v>336</v>
      </c>
      <c r="H190" s="20" t="s">
        <v>338</v>
      </c>
      <c r="I190" s="29">
        <v>1</v>
      </c>
      <c r="J190" s="30">
        <v>1</v>
      </c>
      <c r="K190" s="31">
        <v>4.0000000000000001E-3</v>
      </c>
      <c r="L190" s="9">
        <v>300222863.16561598</v>
      </c>
      <c r="M190" s="9">
        <v>300152603.25478202</v>
      </c>
      <c r="N190" s="32">
        <f>MIN(MAX((B190-Calculation_Assumptions!$B$5+1)/Calculation_Assumptions!$B$7,0),1)</f>
        <v>1</v>
      </c>
      <c r="O190" s="21">
        <f t="shared" si="16"/>
        <v>300222863.16561598</v>
      </c>
      <c r="P190" s="21">
        <f t="shared" si="17"/>
        <v>300152603.25478202</v>
      </c>
      <c r="Q190" s="21">
        <f>P190*Calculation_Assumptions!$B$14*J190*K190</f>
        <v>0</v>
      </c>
      <c r="R190" s="21">
        <f t="shared" si="18"/>
        <v>1200891.452662464</v>
      </c>
      <c r="S190" s="21">
        <f t="shared" si="19"/>
        <v>1200891.452662464</v>
      </c>
      <c r="T190" s="32">
        <f>1/(1+Calculation_Assumptions!$B$8)^(B190-Calculation_Assumptions!$B$2)</f>
        <v>0.83748425668365445</v>
      </c>
      <c r="U190" s="21">
        <f t="shared" si="20"/>
        <v>0</v>
      </c>
      <c r="V190" s="21">
        <f t="shared" si="21"/>
        <v>1005727.6855907777</v>
      </c>
      <c r="W190" s="21">
        <f t="shared" si="22"/>
        <v>1005727.6855907777</v>
      </c>
      <c r="X190">
        <v>0</v>
      </c>
      <c r="Y190" s="18">
        <v>2017</v>
      </c>
      <c r="Z190" t="s">
        <v>264</v>
      </c>
      <c r="AA190" s="21">
        <f t="shared" si="23"/>
        <v>1</v>
      </c>
    </row>
    <row r="191" spans="1:27">
      <c r="A191" t="s">
        <v>76</v>
      </c>
      <c r="B191" s="18">
        <v>2032</v>
      </c>
      <c r="C191" t="s">
        <v>185</v>
      </c>
      <c r="D191" s="20" t="s">
        <v>341</v>
      </c>
      <c r="E191" s="20" t="s">
        <v>342</v>
      </c>
      <c r="F191" s="20" t="s">
        <v>188</v>
      </c>
      <c r="G191" s="20" t="s">
        <v>336</v>
      </c>
      <c r="H191" s="20" t="s">
        <v>338</v>
      </c>
      <c r="I191" s="29">
        <v>1</v>
      </c>
      <c r="J191" s="30">
        <v>1</v>
      </c>
      <c r="K191" s="31">
        <v>4.0000000000000001E-3</v>
      </c>
      <c r="L191" s="9">
        <v>302002258.96739</v>
      </c>
      <c r="M191" s="9">
        <v>301959399.63388801</v>
      </c>
      <c r="N191" s="32">
        <f>MIN(MAX((B191-Calculation_Assumptions!$B$5+1)/Calculation_Assumptions!$B$7,0),1)</f>
        <v>1</v>
      </c>
      <c r="O191" s="21">
        <f t="shared" si="16"/>
        <v>302002258.96739</v>
      </c>
      <c r="P191" s="21">
        <f t="shared" si="17"/>
        <v>301959399.63388801</v>
      </c>
      <c r="Q191" s="21">
        <f>P191*Calculation_Assumptions!$B$14*J191*K191</f>
        <v>0</v>
      </c>
      <c r="R191" s="21">
        <f t="shared" si="18"/>
        <v>1208009.03586956</v>
      </c>
      <c r="S191" s="21">
        <f t="shared" si="19"/>
        <v>1208009.03586956</v>
      </c>
      <c r="T191" s="32">
        <f>1/(1+Calculation_Assumptions!$B$8)^(B191-Calculation_Assumptions!$B$2)</f>
        <v>0.81309151134335378</v>
      </c>
      <c r="U191" s="21">
        <f t="shared" si="20"/>
        <v>0</v>
      </c>
      <c r="V191" s="21">
        <f t="shared" si="21"/>
        <v>982221.89269160817</v>
      </c>
      <c r="W191" s="21">
        <f t="shared" si="22"/>
        <v>982221.89269160817</v>
      </c>
      <c r="X191">
        <v>0</v>
      </c>
      <c r="Y191" s="18">
        <v>2017</v>
      </c>
      <c r="Z191" t="s">
        <v>264</v>
      </c>
      <c r="AA191" s="21">
        <f t="shared" si="23"/>
        <v>1</v>
      </c>
    </row>
    <row r="192" spans="1:27">
      <c r="A192" t="s">
        <v>76</v>
      </c>
      <c r="B192" s="18">
        <v>2033</v>
      </c>
      <c r="C192" t="s">
        <v>185</v>
      </c>
      <c r="D192" s="20" t="s">
        <v>341</v>
      </c>
      <c r="E192" s="20" t="s">
        <v>342</v>
      </c>
      <c r="F192" s="20" t="s">
        <v>188</v>
      </c>
      <c r="G192" s="20" t="s">
        <v>336</v>
      </c>
      <c r="H192" s="20" t="s">
        <v>338</v>
      </c>
      <c r="I192" s="29">
        <v>1</v>
      </c>
      <c r="J192" s="30">
        <v>1</v>
      </c>
      <c r="K192" s="31">
        <v>4.0000000000000001E-3</v>
      </c>
      <c r="L192" s="9">
        <v>303792531.13349903</v>
      </c>
      <c r="M192" s="9">
        <v>303701035.20205098</v>
      </c>
      <c r="N192" s="32">
        <f>MIN(MAX((B192-Calculation_Assumptions!$B$5+1)/Calculation_Assumptions!$B$7,0),1)</f>
        <v>1</v>
      </c>
      <c r="O192" s="21">
        <f t="shared" si="16"/>
        <v>303792531.13349903</v>
      </c>
      <c r="P192" s="21">
        <f t="shared" si="17"/>
        <v>303701035.20205098</v>
      </c>
      <c r="Q192" s="21">
        <f>P192*Calculation_Assumptions!$B$14*J192*K192</f>
        <v>0</v>
      </c>
      <c r="R192" s="21">
        <f t="shared" si="18"/>
        <v>1215170.1245339962</v>
      </c>
      <c r="S192" s="21">
        <f t="shared" si="19"/>
        <v>1215170.1245339962</v>
      </c>
      <c r="T192" s="32">
        <f>1/(1+Calculation_Assumptions!$B$8)^(B192-Calculation_Assumptions!$B$2)</f>
        <v>0.78940923431393573</v>
      </c>
      <c r="U192" s="21">
        <f t="shared" si="20"/>
        <v>0</v>
      </c>
      <c r="V192" s="21">
        <f t="shared" si="21"/>
        <v>959266.51756955183</v>
      </c>
      <c r="W192" s="21">
        <f t="shared" si="22"/>
        <v>959266.51756955183</v>
      </c>
      <c r="X192">
        <v>0</v>
      </c>
      <c r="Y192" s="18">
        <v>2017</v>
      </c>
      <c r="Z192" t="s">
        <v>264</v>
      </c>
      <c r="AA192" s="21">
        <f t="shared" si="23"/>
        <v>1</v>
      </c>
    </row>
    <row r="193" spans="1:27">
      <c r="A193" t="s">
        <v>76</v>
      </c>
      <c r="B193" s="18">
        <v>2034</v>
      </c>
      <c r="C193" t="s">
        <v>185</v>
      </c>
      <c r="D193" s="20" t="s">
        <v>341</v>
      </c>
      <c r="E193" s="20" t="s">
        <v>342</v>
      </c>
      <c r="F193" s="20" t="s">
        <v>188</v>
      </c>
      <c r="G193" s="20" t="s">
        <v>336</v>
      </c>
      <c r="H193" s="20" t="s">
        <v>338</v>
      </c>
      <c r="I193" s="29">
        <v>1</v>
      </c>
      <c r="J193" s="30">
        <v>1</v>
      </c>
      <c r="K193" s="31">
        <v>4.0000000000000001E-3</v>
      </c>
      <c r="L193" s="9">
        <v>305527186.92935503</v>
      </c>
      <c r="M193" s="9">
        <v>305377998.093319</v>
      </c>
      <c r="N193" s="32">
        <f>MIN(MAX((B193-Calculation_Assumptions!$B$5+1)/Calculation_Assumptions!$B$7,0),1)</f>
        <v>1</v>
      </c>
      <c r="O193" s="21">
        <f t="shared" si="16"/>
        <v>305527186.92935503</v>
      </c>
      <c r="P193" s="21">
        <f t="shared" si="17"/>
        <v>305377998.093319</v>
      </c>
      <c r="Q193" s="21">
        <f>P193*Calculation_Assumptions!$B$14*J193*K193</f>
        <v>0</v>
      </c>
      <c r="R193" s="21">
        <f t="shared" si="18"/>
        <v>1222108.7477174201</v>
      </c>
      <c r="S193" s="21">
        <f t="shared" si="19"/>
        <v>1222108.7477174201</v>
      </c>
      <c r="T193" s="32">
        <f>1/(1+Calculation_Assumptions!$B$8)^(B193-Calculation_Assumptions!$B$2)</f>
        <v>0.76641673234362695</v>
      </c>
      <c r="U193" s="21">
        <f t="shared" si="20"/>
        <v>0</v>
      </c>
      <c r="V193" s="21">
        <f t="shared" si="21"/>
        <v>936644.5929941471</v>
      </c>
      <c r="W193" s="21">
        <f t="shared" si="22"/>
        <v>936644.5929941471</v>
      </c>
      <c r="X193">
        <v>0</v>
      </c>
      <c r="Y193" s="18">
        <v>2017</v>
      </c>
      <c r="Z193" t="s">
        <v>264</v>
      </c>
      <c r="AA193" s="21">
        <f t="shared" si="23"/>
        <v>1</v>
      </c>
    </row>
    <row r="194" spans="1:27">
      <c r="A194" t="s">
        <v>76</v>
      </c>
      <c r="B194" s="18">
        <v>2035</v>
      </c>
      <c r="C194" t="s">
        <v>185</v>
      </c>
      <c r="D194" s="20" t="s">
        <v>341</v>
      </c>
      <c r="E194" s="20" t="s">
        <v>342</v>
      </c>
      <c r="F194" s="20" t="s">
        <v>188</v>
      </c>
      <c r="G194" s="20" t="s">
        <v>336</v>
      </c>
      <c r="H194" s="20" t="s">
        <v>338</v>
      </c>
      <c r="I194" s="29">
        <v>1</v>
      </c>
      <c r="J194" s="30">
        <v>1</v>
      </c>
      <c r="K194" s="31">
        <v>4.0000000000000001E-3</v>
      </c>
      <c r="L194" s="9">
        <v>307204550.86510098</v>
      </c>
      <c r="M194" s="9">
        <v>306989258.29407001</v>
      </c>
      <c r="N194" s="32">
        <f>MIN(MAX((B194-Calculation_Assumptions!$B$5+1)/Calculation_Assumptions!$B$7,0),1)</f>
        <v>1</v>
      </c>
      <c r="O194" s="21">
        <f t="shared" ref="O194:O257" si="24">L194*I194</f>
        <v>307204550.86510098</v>
      </c>
      <c r="P194" s="21">
        <f t="shared" ref="P194:P257" si="25">M194*I194</f>
        <v>306989258.29407001</v>
      </c>
      <c r="Q194" s="21">
        <f>P194*Calculation_Assumptions!$B$14*J194*K194</f>
        <v>0</v>
      </c>
      <c r="R194" s="21">
        <f t="shared" ref="R194:R257" si="26">O194*N194*J194*K194</f>
        <v>1228818.203460404</v>
      </c>
      <c r="S194" s="21">
        <f t="shared" ref="S194:S257" si="27">R194-Q194</f>
        <v>1228818.203460404</v>
      </c>
      <c r="T194" s="32">
        <f>1/(1+Calculation_Assumptions!$B$8)^(B194-Calculation_Assumptions!$B$2)</f>
        <v>0.74409391489672516</v>
      </c>
      <c r="U194" s="21">
        <f t="shared" ref="U194:U257" si="28">Q194*T194</f>
        <v>0</v>
      </c>
      <c r="V194" s="21">
        <f t="shared" ref="V194:V257" si="29">R194*T194</f>
        <v>914356.1477092125</v>
      </c>
      <c r="W194" s="21">
        <f t="shared" ref="W194:W257" si="30">S194*T194</f>
        <v>914356.1477092125</v>
      </c>
      <c r="X194">
        <v>0</v>
      </c>
      <c r="Y194" s="18">
        <v>2017</v>
      </c>
      <c r="Z194" t="s">
        <v>264</v>
      </c>
      <c r="AA194" s="21">
        <f t="shared" ref="AA194:AA257" si="31">IF(G194="shared-count-once",COUNTIFS($A$2:$A$313,A194,$B$2:$B$313,B194,$D$2:$D$313,D194),1)</f>
        <v>1</v>
      </c>
    </row>
    <row r="195" spans="1:27">
      <c r="A195" t="s">
        <v>76</v>
      </c>
      <c r="B195" s="18">
        <v>2036</v>
      </c>
      <c r="C195" t="s">
        <v>185</v>
      </c>
      <c r="D195" s="20" t="s">
        <v>341</v>
      </c>
      <c r="E195" s="20" t="s">
        <v>342</v>
      </c>
      <c r="F195" s="20" t="s">
        <v>188</v>
      </c>
      <c r="G195" s="20" t="s">
        <v>336</v>
      </c>
      <c r="H195" s="20" t="s">
        <v>338</v>
      </c>
      <c r="I195" s="29">
        <v>1</v>
      </c>
      <c r="J195" s="30">
        <v>1</v>
      </c>
      <c r="K195" s="31">
        <v>4.0000000000000001E-3</v>
      </c>
      <c r="L195" s="9">
        <v>308826793.60124999</v>
      </c>
      <c r="M195" s="9">
        <v>308537399.67209399</v>
      </c>
      <c r="N195" s="32">
        <f>MIN(MAX((B195-Calculation_Assumptions!$B$5+1)/Calculation_Assumptions!$B$7,0),1)</f>
        <v>1</v>
      </c>
      <c r="O195" s="21">
        <f t="shared" si="24"/>
        <v>308826793.60124999</v>
      </c>
      <c r="P195" s="21">
        <f t="shared" si="25"/>
        <v>308537399.67209399</v>
      </c>
      <c r="Q195" s="21">
        <f>P195*Calculation_Assumptions!$B$14*J195*K195</f>
        <v>0</v>
      </c>
      <c r="R195" s="21">
        <f t="shared" si="26"/>
        <v>1235307.1744049999</v>
      </c>
      <c r="S195" s="21">
        <f t="shared" si="27"/>
        <v>1235307.1744049999</v>
      </c>
      <c r="T195" s="32">
        <f>1/(1+Calculation_Assumptions!$B$8)^(B195-Calculation_Assumptions!$B$2)</f>
        <v>0.72242127659876232</v>
      </c>
      <c r="U195" s="21">
        <f t="shared" si="28"/>
        <v>0</v>
      </c>
      <c r="V195" s="21">
        <f t="shared" si="29"/>
        <v>892412.18592526997</v>
      </c>
      <c r="W195" s="21">
        <f t="shared" si="30"/>
        <v>892412.18592526997</v>
      </c>
      <c r="X195">
        <v>0</v>
      </c>
      <c r="Y195" s="18">
        <v>2017</v>
      </c>
      <c r="Z195" t="s">
        <v>264</v>
      </c>
      <c r="AA195" s="21">
        <f t="shared" si="31"/>
        <v>1</v>
      </c>
    </row>
    <row r="196" spans="1:27">
      <c r="A196" t="s">
        <v>76</v>
      </c>
      <c r="B196" s="18">
        <v>2037</v>
      </c>
      <c r="C196" t="s">
        <v>185</v>
      </c>
      <c r="D196" s="20" t="s">
        <v>341</v>
      </c>
      <c r="E196" s="20" t="s">
        <v>342</v>
      </c>
      <c r="F196" s="20" t="s">
        <v>188</v>
      </c>
      <c r="G196" s="20" t="s">
        <v>336</v>
      </c>
      <c r="H196" s="20" t="s">
        <v>338</v>
      </c>
      <c r="I196" s="29">
        <v>1</v>
      </c>
      <c r="J196" s="30">
        <v>1</v>
      </c>
      <c r="K196" s="31">
        <v>4.0000000000000001E-3</v>
      </c>
      <c r="L196" s="9">
        <v>310394148.51148498</v>
      </c>
      <c r="M196" s="9">
        <v>310023120.39347202</v>
      </c>
      <c r="N196" s="32">
        <f>MIN(MAX((B196-Calculation_Assumptions!$B$5+1)/Calculation_Assumptions!$B$7,0),1)</f>
        <v>1</v>
      </c>
      <c r="O196" s="21">
        <f t="shared" si="24"/>
        <v>310394148.51148498</v>
      </c>
      <c r="P196" s="21">
        <f t="shared" si="25"/>
        <v>310023120.39347202</v>
      </c>
      <c r="Q196" s="21">
        <f>P196*Calculation_Assumptions!$B$14*J196*K196</f>
        <v>0</v>
      </c>
      <c r="R196" s="21">
        <f t="shared" si="26"/>
        <v>1241576.5940459399</v>
      </c>
      <c r="S196" s="21">
        <f t="shared" si="27"/>
        <v>1241576.5940459399</v>
      </c>
      <c r="T196" s="32">
        <f>1/(1+Calculation_Assumptions!$B$8)^(B196-Calculation_Assumptions!$B$2)</f>
        <v>0.70137988019297326</v>
      </c>
      <c r="U196" s="21">
        <f t="shared" si="28"/>
        <v>0</v>
      </c>
      <c r="V196" s="21">
        <f t="shared" si="29"/>
        <v>870816.84278234106</v>
      </c>
      <c r="W196" s="21">
        <f t="shared" si="30"/>
        <v>870816.84278234106</v>
      </c>
      <c r="X196">
        <v>0</v>
      </c>
      <c r="Y196" s="18">
        <v>2017</v>
      </c>
      <c r="Z196" t="s">
        <v>264</v>
      </c>
      <c r="AA196" s="21">
        <f t="shared" si="31"/>
        <v>1</v>
      </c>
    </row>
    <row r="197" spans="1:27">
      <c r="A197" t="s">
        <v>76</v>
      </c>
      <c r="B197" s="18">
        <v>2038</v>
      </c>
      <c r="C197" t="s">
        <v>185</v>
      </c>
      <c r="D197" s="20" t="s">
        <v>341</v>
      </c>
      <c r="E197" s="20" t="s">
        <v>342</v>
      </c>
      <c r="F197" s="20" t="s">
        <v>188</v>
      </c>
      <c r="G197" s="20" t="s">
        <v>336</v>
      </c>
      <c r="H197" s="20" t="s">
        <v>338</v>
      </c>
      <c r="I197" s="29">
        <v>1</v>
      </c>
      <c r="J197" s="30">
        <v>1</v>
      </c>
      <c r="K197" s="31">
        <v>4.0000000000000001E-3</v>
      </c>
      <c r="L197" s="9">
        <v>311906222.57839799</v>
      </c>
      <c r="M197" s="9">
        <v>311445837.13462502</v>
      </c>
      <c r="N197" s="32">
        <f>MIN(MAX((B197-Calculation_Assumptions!$B$5+1)/Calculation_Assumptions!$B$7,0),1)</f>
        <v>1</v>
      </c>
      <c r="O197" s="21">
        <f t="shared" si="24"/>
        <v>311906222.57839799</v>
      </c>
      <c r="P197" s="21">
        <f t="shared" si="25"/>
        <v>311445837.13462502</v>
      </c>
      <c r="Q197" s="21">
        <f>P197*Calculation_Assumptions!$B$14*J197*K197</f>
        <v>0</v>
      </c>
      <c r="R197" s="21">
        <f t="shared" si="26"/>
        <v>1247624.890313592</v>
      </c>
      <c r="S197" s="21">
        <f t="shared" si="27"/>
        <v>1247624.890313592</v>
      </c>
      <c r="T197" s="32">
        <f>1/(1+Calculation_Assumptions!$B$8)^(B197-Calculation_Assumptions!$B$2)</f>
        <v>0.68095133999317792</v>
      </c>
      <c r="U197" s="21">
        <f t="shared" si="28"/>
        <v>0</v>
      </c>
      <c r="V197" s="21">
        <f t="shared" si="29"/>
        <v>849571.84086788213</v>
      </c>
      <c r="W197" s="21">
        <f t="shared" si="30"/>
        <v>849571.84086788213</v>
      </c>
      <c r="X197">
        <v>0</v>
      </c>
      <c r="Y197" s="18">
        <v>2017</v>
      </c>
      <c r="Z197" t="s">
        <v>264</v>
      </c>
      <c r="AA197" s="21">
        <f t="shared" si="31"/>
        <v>1</v>
      </c>
    </row>
    <row r="198" spans="1:27">
      <c r="A198" t="s">
        <v>76</v>
      </c>
      <c r="B198" s="18">
        <v>2039</v>
      </c>
      <c r="C198" t="s">
        <v>185</v>
      </c>
      <c r="D198" s="20" t="s">
        <v>341</v>
      </c>
      <c r="E198" s="20" t="s">
        <v>342</v>
      </c>
      <c r="F198" s="20" t="s">
        <v>188</v>
      </c>
      <c r="G198" s="20" t="s">
        <v>336</v>
      </c>
      <c r="H198" s="20" t="s">
        <v>338</v>
      </c>
      <c r="I198" s="29">
        <v>1</v>
      </c>
      <c r="J198" s="30">
        <v>1</v>
      </c>
      <c r="K198" s="31">
        <v>4.0000000000000001E-3</v>
      </c>
      <c r="L198" s="9">
        <v>313363821.52061498</v>
      </c>
      <c r="M198" s="9">
        <v>312806989.71568501</v>
      </c>
      <c r="N198" s="32">
        <f>MIN(MAX((B198-Calculation_Assumptions!$B$5+1)/Calculation_Assumptions!$B$7,0),1)</f>
        <v>1</v>
      </c>
      <c r="O198" s="21">
        <f t="shared" si="24"/>
        <v>313363821.52061498</v>
      </c>
      <c r="P198" s="21">
        <f t="shared" si="25"/>
        <v>312806989.71568501</v>
      </c>
      <c r="Q198" s="21">
        <f>P198*Calculation_Assumptions!$B$14*J198*K198</f>
        <v>0</v>
      </c>
      <c r="R198" s="21">
        <f t="shared" si="26"/>
        <v>1253455.2860824598</v>
      </c>
      <c r="S198" s="21">
        <f t="shared" si="27"/>
        <v>1253455.2860824598</v>
      </c>
      <c r="T198" s="32">
        <f>1/(1+Calculation_Assumptions!$B$8)^(B198-Calculation_Assumptions!$B$2)</f>
        <v>0.66111780581861923</v>
      </c>
      <c r="U198" s="21">
        <f t="shared" si="28"/>
        <v>0</v>
      </c>
      <c r="V198" s="21">
        <f t="shared" si="29"/>
        <v>828681.60842658556</v>
      </c>
      <c r="W198" s="21">
        <f t="shared" si="30"/>
        <v>828681.60842658556</v>
      </c>
      <c r="X198">
        <v>0</v>
      </c>
      <c r="Y198" s="18">
        <v>2017</v>
      </c>
      <c r="Z198" t="s">
        <v>264</v>
      </c>
      <c r="AA198" s="21">
        <f t="shared" si="31"/>
        <v>1</v>
      </c>
    </row>
    <row r="199" spans="1:27">
      <c r="A199" t="s">
        <v>76</v>
      </c>
      <c r="B199" s="18">
        <v>2040</v>
      </c>
      <c r="C199" t="s">
        <v>185</v>
      </c>
      <c r="D199" s="20" t="s">
        <v>341</v>
      </c>
      <c r="E199" s="20" t="s">
        <v>342</v>
      </c>
      <c r="F199" s="20" t="s">
        <v>188</v>
      </c>
      <c r="G199" s="20" t="s">
        <v>336</v>
      </c>
      <c r="H199" s="20" t="s">
        <v>338</v>
      </c>
      <c r="I199" s="29">
        <v>1</v>
      </c>
      <c r="J199" s="30">
        <v>1</v>
      </c>
      <c r="K199" s="31">
        <v>4.0000000000000001E-3</v>
      </c>
      <c r="L199" s="9">
        <v>314768783.15463299</v>
      </c>
      <c r="M199" s="9">
        <v>314109251.58264899</v>
      </c>
      <c r="N199" s="32">
        <f>MIN(MAX((B199-Calculation_Assumptions!$B$5+1)/Calculation_Assumptions!$B$7,0),1)</f>
        <v>1</v>
      </c>
      <c r="O199" s="21">
        <f t="shared" si="24"/>
        <v>314768783.15463299</v>
      </c>
      <c r="P199" s="21">
        <f t="shared" si="25"/>
        <v>314109251.58264899</v>
      </c>
      <c r="Q199" s="21">
        <f>P199*Calculation_Assumptions!$B$14*J199*K199</f>
        <v>0</v>
      </c>
      <c r="R199" s="21">
        <f t="shared" si="26"/>
        <v>1259075.1326185321</v>
      </c>
      <c r="S199" s="21">
        <f t="shared" si="27"/>
        <v>1259075.1326185321</v>
      </c>
      <c r="T199" s="32">
        <f>1/(1+Calculation_Assumptions!$B$8)^(B199-Calculation_Assumptions!$B$2)</f>
        <v>0.64186194739671765</v>
      </c>
      <c r="U199" s="21">
        <f t="shared" si="28"/>
        <v>0</v>
      </c>
      <c r="V199" s="21">
        <f t="shared" si="29"/>
        <v>808152.41654131154</v>
      </c>
      <c r="W199" s="21">
        <f t="shared" si="30"/>
        <v>808152.41654131154</v>
      </c>
      <c r="X199">
        <v>0</v>
      </c>
      <c r="Y199" s="18">
        <v>2017</v>
      </c>
      <c r="Z199" t="s">
        <v>264</v>
      </c>
      <c r="AA199" s="21">
        <f t="shared" si="31"/>
        <v>1</v>
      </c>
    </row>
    <row r="200" spans="1:27">
      <c r="A200" t="s">
        <v>76</v>
      </c>
      <c r="B200" s="18">
        <v>2041</v>
      </c>
      <c r="C200" t="s">
        <v>185</v>
      </c>
      <c r="D200" s="20" t="s">
        <v>341</v>
      </c>
      <c r="E200" s="20" t="s">
        <v>342</v>
      </c>
      <c r="F200" s="20" t="s">
        <v>188</v>
      </c>
      <c r="G200" s="20" t="s">
        <v>336</v>
      </c>
      <c r="H200" s="20" t="s">
        <v>338</v>
      </c>
      <c r="I200" s="29">
        <v>1</v>
      </c>
      <c r="J200" s="30">
        <v>1</v>
      </c>
      <c r="K200" s="31">
        <v>4.0000000000000001E-3</v>
      </c>
      <c r="L200" s="9">
        <v>316119789.29580498</v>
      </c>
      <c r="M200" s="9">
        <v>315352079.81242299</v>
      </c>
      <c r="N200" s="32">
        <f>MIN(MAX((B200-Calculation_Assumptions!$B$5+1)/Calculation_Assumptions!$B$7,0),1)</f>
        <v>1</v>
      </c>
      <c r="O200" s="21">
        <f t="shared" si="24"/>
        <v>316119789.29580498</v>
      </c>
      <c r="P200" s="21">
        <f t="shared" si="25"/>
        <v>315352079.81242299</v>
      </c>
      <c r="Q200" s="21">
        <f>P200*Calculation_Assumptions!$B$14*J200*K200</f>
        <v>0</v>
      </c>
      <c r="R200" s="21">
        <f t="shared" si="26"/>
        <v>1264479.1571832199</v>
      </c>
      <c r="S200" s="21">
        <f t="shared" si="27"/>
        <v>1264479.1571832199</v>
      </c>
      <c r="T200" s="32">
        <f>1/(1+Calculation_Assumptions!$B$8)^(B200-Calculation_Assumptions!$B$2)</f>
        <v>0.62316693922011435</v>
      </c>
      <c r="U200" s="21">
        <f t="shared" si="28"/>
        <v>0</v>
      </c>
      <c r="V200" s="21">
        <f t="shared" si="29"/>
        <v>787981.60608949699</v>
      </c>
      <c r="W200" s="21">
        <f t="shared" si="30"/>
        <v>787981.60608949699</v>
      </c>
      <c r="X200">
        <v>0</v>
      </c>
      <c r="Y200" s="18">
        <v>2017</v>
      </c>
      <c r="Z200" t="s">
        <v>264</v>
      </c>
      <c r="AA200" s="21">
        <f t="shared" si="31"/>
        <v>1</v>
      </c>
    </row>
    <row r="201" spans="1:27">
      <c r="A201" t="s">
        <v>76</v>
      </c>
      <c r="B201" s="18">
        <v>2042</v>
      </c>
      <c r="C201" t="s">
        <v>185</v>
      </c>
      <c r="D201" s="20" t="s">
        <v>341</v>
      </c>
      <c r="E201" s="20" t="s">
        <v>342</v>
      </c>
      <c r="F201" s="20" t="s">
        <v>188</v>
      </c>
      <c r="G201" s="20" t="s">
        <v>336</v>
      </c>
      <c r="H201" s="20" t="s">
        <v>338</v>
      </c>
      <c r="I201" s="29">
        <v>1</v>
      </c>
      <c r="J201" s="30">
        <v>1</v>
      </c>
      <c r="K201" s="31">
        <v>4.0000000000000001E-3</v>
      </c>
      <c r="L201" s="9">
        <v>317417240.49647599</v>
      </c>
      <c r="M201" s="9">
        <v>316395286.31201601</v>
      </c>
      <c r="N201" s="32">
        <f>MIN(MAX((B201-Calculation_Assumptions!$B$5+1)/Calculation_Assumptions!$B$7,0),1)</f>
        <v>1</v>
      </c>
      <c r="O201" s="21">
        <f t="shared" si="24"/>
        <v>317417240.49647599</v>
      </c>
      <c r="P201" s="21">
        <f t="shared" si="25"/>
        <v>316395286.31201601</v>
      </c>
      <c r="Q201" s="21">
        <f>P201*Calculation_Assumptions!$B$14*J201*K201</f>
        <v>0</v>
      </c>
      <c r="R201" s="21">
        <f t="shared" si="26"/>
        <v>1269668.961985904</v>
      </c>
      <c r="S201" s="21">
        <f t="shared" si="27"/>
        <v>1269668.961985904</v>
      </c>
      <c r="T201" s="32">
        <f>1/(1+Calculation_Assumptions!$B$8)^(B201-Calculation_Assumptions!$B$2)</f>
        <v>0.60501644584477121</v>
      </c>
      <c r="U201" s="21">
        <f t="shared" si="28"/>
        <v>0</v>
      </c>
      <c r="V201" s="21">
        <f t="shared" si="29"/>
        <v>768170.60278013162</v>
      </c>
      <c r="W201" s="21">
        <f t="shared" si="30"/>
        <v>768170.60278013162</v>
      </c>
      <c r="X201">
        <v>0</v>
      </c>
      <c r="Y201" s="18">
        <v>2017</v>
      </c>
      <c r="Z201" t="s">
        <v>264</v>
      </c>
      <c r="AA201" s="21">
        <f t="shared" si="31"/>
        <v>1</v>
      </c>
    </row>
    <row r="202" spans="1:27">
      <c r="A202" t="s">
        <v>76</v>
      </c>
      <c r="B202" s="18">
        <v>2043</v>
      </c>
      <c r="C202" t="s">
        <v>185</v>
      </c>
      <c r="D202" s="20" t="s">
        <v>341</v>
      </c>
      <c r="E202" s="20" t="s">
        <v>342</v>
      </c>
      <c r="F202" s="20" t="s">
        <v>188</v>
      </c>
      <c r="G202" s="20" t="s">
        <v>336</v>
      </c>
      <c r="H202" s="20" t="s">
        <v>338</v>
      </c>
      <c r="I202" s="29">
        <v>1</v>
      </c>
      <c r="J202" s="30">
        <v>1</v>
      </c>
      <c r="K202" s="31">
        <v>4.0000000000000001E-3</v>
      </c>
      <c r="L202" s="9">
        <v>318779591.21990502</v>
      </c>
      <c r="M202" s="9">
        <v>317619735.68828899</v>
      </c>
      <c r="N202" s="32">
        <f>MIN(MAX((B202-Calculation_Assumptions!$B$5+1)/Calculation_Assumptions!$B$7,0),1)</f>
        <v>1</v>
      </c>
      <c r="O202" s="21">
        <f t="shared" si="24"/>
        <v>318779591.21990502</v>
      </c>
      <c r="P202" s="21">
        <f t="shared" si="25"/>
        <v>317619735.68828899</v>
      </c>
      <c r="Q202" s="21">
        <f>P202*Calculation_Assumptions!$B$14*J202*K202</f>
        <v>0</v>
      </c>
      <c r="R202" s="21">
        <f t="shared" si="26"/>
        <v>1275118.36487962</v>
      </c>
      <c r="S202" s="21">
        <f t="shared" si="27"/>
        <v>1275118.36487962</v>
      </c>
      <c r="T202" s="32">
        <f>1/(1+Calculation_Assumptions!$B$8)^(B202-Calculation_Assumptions!$B$2)</f>
        <v>0.5873946076162827</v>
      </c>
      <c r="U202" s="21">
        <f t="shared" si="28"/>
        <v>0</v>
      </c>
      <c r="V202" s="21">
        <f t="shared" si="29"/>
        <v>748997.65160278045</v>
      </c>
      <c r="W202" s="21">
        <f t="shared" si="30"/>
        <v>748997.65160278045</v>
      </c>
      <c r="X202">
        <v>0</v>
      </c>
      <c r="Y202" s="18">
        <v>2017</v>
      </c>
      <c r="Z202" t="s">
        <v>264</v>
      </c>
      <c r="AA202" s="21">
        <f t="shared" si="31"/>
        <v>1</v>
      </c>
    </row>
    <row r="203" spans="1:27">
      <c r="A203" t="s">
        <v>76</v>
      </c>
      <c r="B203" s="18">
        <v>2044</v>
      </c>
      <c r="C203" t="s">
        <v>185</v>
      </c>
      <c r="D203" s="20" t="s">
        <v>341</v>
      </c>
      <c r="E203" s="20" t="s">
        <v>342</v>
      </c>
      <c r="F203" s="20" t="s">
        <v>188</v>
      </c>
      <c r="G203" s="20" t="s">
        <v>336</v>
      </c>
      <c r="H203" s="20" t="s">
        <v>338</v>
      </c>
      <c r="I203" s="29">
        <v>1</v>
      </c>
      <c r="J203" s="30">
        <v>1</v>
      </c>
      <c r="K203" s="31">
        <v>4.0000000000000001E-3</v>
      </c>
      <c r="L203" s="9">
        <v>319985562.36722702</v>
      </c>
      <c r="M203" s="9">
        <v>318697135.86365199</v>
      </c>
      <c r="N203" s="32">
        <f>MIN(MAX((B203-Calculation_Assumptions!$B$5+1)/Calculation_Assumptions!$B$7,0),1)</f>
        <v>1</v>
      </c>
      <c r="O203" s="21">
        <f t="shared" si="24"/>
        <v>319985562.36722702</v>
      </c>
      <c r="P203" s="21">
        <f t="shared" si="25"/>
        <v>318697135.86365199</v>
      </c>
      <c r="Q203" s="21">
        <f>P203*Calculation_Assumptions!$B$14*J203*K203</f>
        <v>0</v>
      </c>
      <c r="R203" s="21">
        <f t="shared" si="26"/>
        <v>1279942.2494689082</v>
      </c>
      <c r="S203" s="21">
        <f t="shared" si="27"/>
        <v>1279942.2494689082</v>
      </c>
      <c r="T203" s="32">
        <f>1/(1+Calculation_Assumptions!$B$8)^(B203-Calculation_Assumptions!$B$2)</f>
        <v>0.57028602681192497</v>
      </c>
      <c r="U203" s="21">
        <f t="shared" si="28"/>
        <v>0</v>
      </c>
      <c r="V203" s="21">
        <f t="shared" si="29"/>
        <v>729933.17999834137</v>
      </c>
      <c r="W203" s="21">
        <f t="shared" si="30"/>
        <v>729933.17999834137</v>
      </c>
      <c r="X203">
        <v>0</v>
      </c>
      <c r="Y203" s="18">
        <v>2017</v>
      </c>
      <c r="Z203" t="s">
        <v>264</v>
      </c>
      <c r="AA203" s="21">
        <f t="shared" si="31"/>
        <v>1</v>
      </c>
    </row>
    <row r="204" spans="1:27">
      <c r="A204" t="s">
        <v>76</v>
      </c>
      <c r="B204" s="18">
        <v>2045</v>
      </c>
      <c r="C204" t="s">
        <v>185</v>
      </c>
      <c r="D204" s="20" t="s">
        <v>341</v>
      </c>
      <c r="E204" s="20" t="s">
        <v>342</v>
      </c>
      <c r="F204" s="20" t="s">
        <v>188</v>
      </c>
      <c r="G204" s="20" t="s">
        <v>336</v>
      </c>
      <c r="H204" s="20" t="s">
        <v>338</v>
      </c>
      <c r="I204" s="29">
        <v>1</v>
      </c>
      <c r="J204" s="30">
        <v>1</v>
      </c>
      <c r="K204" s="31">
        <v>4.0000000000000001E-3</v>
      </c>
      <c r="L204" s="9">
        <v>320960972.38609999</v>
      </c>
      <c r="M204" s="9">
        <v>319717840.85179001</v>
      </c>
      <c r="N204" s="32">
        <f>MIN(MAX((B204-Calculation_Assumptions!$B$5+1)/Calculation_Assumptions!$B$7,0),1)</f>
        <v>1</v>
      </c>
      <c r="O204" s="21">
        <f t="shared" si="24"/>
        <v>320960972.38609999</v>
      </c>
      <c r="P204" s="21">
        <f t="shared" si="25"/>
        <v>319717840.85179001</v>
      </c>
      <c r="Q204" s="21">
        <f>P204*Calculation_Assumptions!$B$14*J204*K204</f>
        <v>0</v>
      </c>
      <c r="R204" s="21">
        <f t="shared" si="26"/>
        <v>1283843.8895443999</v>
      </c>
      <c r="S204" s="21">
        <f t="shared" si="27"/>
        <v>1283843.8895443999</v>
      </c>
      <c r="T204" s="32">
        <f>1/(1+Calculation_Assumptions!$B$8)^(B204-Calculation_Assumptions!$B$2)</f>
        <v>0.55367575418633497</v>
      </c>
      <c r="U204" s="21">
        <f t="shared" si="28"/>
        <v>0</v>
      </c>
      <c r="V204" s="21">
        <f t="shared" si="29"/>
        <v>710833.23380101332</v>
      </c>
      <c r="W204" s="21">
        <f t="shared" si="30"/>
        <v>710833.23380101332</v>
      </c>
      <c r="X204">
        <v>0</v>
      </c>
      <c r="Y204" s="18">
        <v>2017</v>
      </c>
      <c r="Z204" t="s">
        <v>264</v>
      </c>
      <c r="AA204" s="21">
        <f t="shared" si="31"/>
        <v>1</v>
      </c>
    </row>
    <row r="205" spans="1:27">
      <c r="A205" t="s">
        <v>76</v>
      </c>
      <c r="B205" s="18">
        <v>2046</v>
      </c>
      <c r="C205" t="s">
        <v>185</v>
      </c>
      <c r="D205" s="20" t="s">
        <v>341</v>
      </c>
      <c r="E205" s="20" t="s">
        <v>342</v>
      </c>
      <c r="F205" s="20" t="s">
        <v>188</v>
      </c>
      <c r="G205" s="20" t="s">
        <v>336</v>
      </c>
      <c r="H205" s="20" t="s">
        <v>338</v>
      </c>
      <c r="I205" s="29">
        <v>1</v>
      </c>
      <c r="J205" s="30">
        <v>1</v>
      </c>
      <c r="K205" s="31">
        <v>4.0000000000000001E-3</v>
      </c>
      <c r="L205" s="9">
        <v>322053582.24950999</v>
      </c>
      <c r="M205" s="9">
        <v>320683879.80627602</v>
      </c>
      <c r="N205" s="32">
        <f>MIN(MAX((B205-Calculation_Assumptions!$B$5+1)/Calculation_Assumptions!$B$7,0),1)</f>
        <v>1</v>
      </c>
      <c r="O205" s="21">
        <f t="shared" si="24"/>
        <v>322053582.24950999</v>
      </c>
      <c r="P205" s="21">
        <f t="shared" si="25"/>
        <v>320683879.80627602</v>
      </c>
      <c r="Q205" s="21">
        <f>P205*Calculation_Assumptions!$B$14*J205*K205</f>
        <v>0</v>
      </c>
      <c r="R205" s="21">
        <f t="shared" si="26"/>
        <v>1288214.3289980399</v>
      </c>
      <c r="S205" s="21">
        <f t="shared" si="27"/>
        <v>1288214.3289980399</v>
      </c>
      <c r="T205" s="32">
        <f>1/(1+Calculation_Assumptions!$B$8)^(B205-Calculation_Assumptions!$B$2)</f>
        <v>0.5375492759090631</v>
      </c>
      <c r="U205" s="21">
        <f t="shared" si="28"/>
        <v>0</v>
      </c>
      <c r="V205" s="21">
        <f t="shared" si="29"/>
        <v>692478.67976857594</v>
      </c>
      <c r="W205" s="21">
        <f t="shared" si="30"/>
        <v>692478.67976857594</v>
      </c>
      <c r="X205">
        <v>0</v>
      </c>
      <c r="Y205" s="18">
        <v>2017</v>
      </c>
      <c r="Z205" t="s">
        <v>264</v>
      </c>
      <c r="AA205" s="21">
        <f t="shared" si="31"/>
        <v>1</v>
      </c>
    </row>
    <row r="206" spans="1:27">
      <c r="A206" t="s">
        <v>76</v>
      </c>
      <c r="B206" s="18">
        <v>2047</v>
      </c>
      <c r="C206" t="s">
        <v>185</v>
      </c>
      <c r="D206" s="20" t="s">
        <v>341</v>
      </c>
      <c r="E206" s="20" t="s">
        <v>342</v>
      </c>
      <c r="F206" s="20" t="s">
        <v>188</v>
      </c>
      <c r="G206" s="20" t="s">
        <v>336</v>
      </c>
      <c r="H206" s="20" t="s">
        <v>338</v>
      </c>
      <c r="I206" s="29">
        <v>1</v>
      </c>
      <c r="J206" s="30">
        <v>1</v>
      </c>
      <c r="K206" s="31">
        <v>4.0000000000000001E-3</v>
      </c>
      <c r="L206" s="9">
        <v>323093320.95173001</v>
      </c>
      <c r="M206" s="9">
        <v>321595541.38952601</v>
      </c>
      <c r="N206" s="32">
        <f>MIN(MAX((B206-Calculation_Assumptions!$B$5+1)/Calculation_Assumptions!$B$7,0),1)</f>
        <v>1</v>
      </c>
      <c r="O206" s="21">
        <f t="shared" si="24"/>
        <v>323093320.95173001</v>
      </c>
      <c r="P206" s="21">
        <f t="shared" si="25"/>
        <v>321595541.38952601</v>
      </c>
      <c r="Q206" s="21">
        <f>P206*Calculation_Assumptions!$B$14*J206*K206</f>
        <v>0</v>
      </c>
      <c r="R206" s="21">
        <f t="shared" si="26"/>
        <v>1292373.2838069201</v>
      </c>
      <c r="S206" s="21">
        <f t="shared" si="27"/>
        <v>1292373.2838069201</v>
      </c>
      <c r="T206" s="32">
        <f>1/(1+Calculation_Assumptions!$B$8)^(B206-Calculation_Assumptions!$B$2)</f>
        <v>0.52189250088258554</v>
      </c>
      <c r="U206" s="21">
        <f t="shared" si="28"/>
        <v>0</v>
      </c>
      <c r="V206" s="21">
        <f t="shared" si="29"/>
        <v>674479.92515983304</v>
      </c>
      <c r="W206" s="21">
        <f t="shared" si="30"/>
        <v>674479.92515983304</v>
      </c>
      <c r="X206">
        <v>0</v>
      </c>
      <c r="Y206" s="18">
        <v>2017</v>
      </c>
      <c r="Z206" t="s">
        <v>264</v>
      </c>
      <c r="AA206" s="21">
        <f t="shared" si="31"/>
        <v>1</v>
      </c>
    </row>
    <row r="207" spans="1:27">
      <c r="A207" t="s">
        <v>76</v>
      </c>
      <c r="B207" s="18">
        <v>2048</v>
      </c>
      <c r="C207" t="s">
        <v>185</v>
      </c>
      <c r="D207" s="20" t="s">
        <v>341</v>
      </c>
      <c r="E207" s="20" t="s">
        <v>342</v>
      </c>
      <c r="F207" s="20" t="s">
        <v>188</v>
      </c>
      <c r="G207" s="20" t="s">
        <v>336</v>
      </c>
      <c r="H207" s="20" t="s">
        <v>338</v>
      </c>
      <c r="I207" s="29">
        <v>1</v>
      </c>
      <c r="J207" s="30">
        <v>1</v>
      </c>
      <c r="K207" s="31">
        <v>4.0000000000000001E-3</v>
      </c>
      <c r="L207" s="9">
        <v>324080784.77517301</v>
      </c>
      <c r="M207" s="9">
        <v>322453622.66946399</v>
      </c>
      <c r="N207" s="32">
        <f>MIN(MAX((B207-Calculation_Assumptions!$B$5+1)/Calculation_Assumptions!$B$7,0),1)</f>
        <v>1</v>
      </c>
      <c r="O207" s="21">
        <f t="shared" si="24"/>
        <v>324080784.77517301</v>
      </c>
      <c r="P207" s="21">
        <f t="shared" si="25"/>
        <v>322453622.66946399</v>
      </c>
      <c r="Q207" s="21">
        <f>P207*Calculation_Assumptions!$B$14*J207*K207</f>
        <v>0</v>
      </c>
      <c r="R207" s="21">
        <f t="shared" si="26"/>
        <v>1296323.139100692</v>
      </c>
      <c r="S207" s="21">
        <f t="shared" si="27"/>
        <v>1296323.139100692</v>
      </c>
      <c r="T207" s="32">
        <f>1/(1+Calculation_Assumptions!$B$8)^(B207-Calculation_Assumptions!$B$2)</f>
        <v>0.50669174842969467</v>
      </c>
      <c r="U207" s="21">
        <f t="shared" si="28"/>
        <v>0</v>
      </c>
      <c r="V207" s="21">
        <f t="shared" si="29"/>
        <v>656836.23788079992</v>
      </c>
      <c r="W207" s="21">
        <f t="shared" si="30"/>
        <v>656836.23788079992</v>
      </c>
      <c r="X207">
        <v>0</v>
      </c>
      <c r="Y207" s="18">
        <v>2017</v>
      </c>
      <c r="Z207" t="s">
        <v>264</v>
      </c>
      <c r="AA207" s="21">
        <f t="shared" si="31"/>
        <v>1</v>
      </c>
    </row>
    <row r="208" spans="1:27">
      <c r="A208" t="s">
        <v>76</v>
      </c>
      <c r="B208" s="18">
        <v>2049</v>
      </c>
      <c r="C208" t="s">
        <v>185</v>
      </c>
      <c r="D208" s="20" t="s">
        <v>341</v>
      </c>
      <c r="E208" s="20" t="s">
        <v>342</v>
      </c>
      <c r="F208" s="20" t="s">
        <v>188</v>
      </c>
      <c r="G208" s="20" t="s">
        <v>336</v>
      </c>
      <c r="H208" s="20" t="s">
        <v>338</v>
      </c>
      <c r="I208" s="29">
        <v>1</v>
      </c>
      <c r="J208" s="30">
        <v>1</v>
      </c>
      <c r="K208" s="31">
        <v>4.0000000000000001E-3</v>
      </c>
      <c r="L208" s="9">
        <v>325016726.58335501</v>
      </c>
      <c r="M208" s="9">
        <v>323259246.71671897</v>
      </c>
      <c r="N208" s="32">
        <f>MIN(MAX((B208-Calculation_Assumptions!$B$5+1)/Calculation_Assumptions!$B$7,0),1)</f>
        <v>1</v>
      </c>
      <c r="O208" s="21">
        <f t="shared" si="24"/>
        <v>325016726.58335501</v>
      </c>
      <c r="P208" s="21">
        <f t="shared" si="25"/>
        <v>323259246.71671897</v>
      </c>
      <c r="Q208" s="21">
        <f>P208*Calculation_Assumptions!$B$14*J208*K208</f>
        <v>0</v>
      </c>
      <c r="R208" s="21">
        <f t="shared" si="26"/>
        <v>1300066.90633342</v>
      </c>
      <c r="S208" s="21">
        <f t="shared" si="27"/>
        <v>1300066.90633342</v>
      </c>
      <c r="T208" s="32">
        <f>1/(1+Calculation_Assumptions!$B$8)^(B208-Calculation_Assumptions!$B$2)</f>
        <v>0.49193373633950943</v>
      </c>
      <c r="U208" s="21">
        <f t="shared" si="28"/>
        <v>0</v>
      </c>
      <c r="V208" s="21">
        <f t="shared" si="29"/>
        <v>639546.77072394628</v>
      </c>
      <c r="W208" s="21">
        <f t="shared" si="30"/>
        <v>639546.77072394628</v>
      </c>
      <c r="X208">
        <v>0</v>
      </c>
      <c r="Y208" s="18">
        <v>2017</v>
      </c>
      <c r="Z208" t="s">
        <v>264</v>
      </c>
      <c r="AA208" s="21">
        <f t="shared" si="31"/>
        <v>1</v>
      </c>
    </row>
    <row r="209" spans="1:27">
      <c r="A209" t="s">
        <v>76</v>
      </c>
      <c r="B209" s="18">
        <v>2050</v>
      </c>
      <c r="C209" t="s">
        <v>185</v>
      </c>
      <c r="D209" s="20" t="s">
        <v>341</v>
      </c>
      <c r="E209" s="20" t="s">
        <v>342</v>
      </c>
      <c r="F209" s="20" t="s">
        <v>188</v>
      </c>
      <c r="G209" s="20" t="s">
        <v>336</v>
      </c>
      <c r="H209" s="20" t="s">
        <v>338</v>
      </c>
      <c r="I209" s="29">
        <v>1</v>
      </c>
      <c r="J209" s="30">
        <v>1</v>
      </c>
      <c r="K209" s="31">
        <v>4.0000000000000001E-3</v>
      </c>
      <c r="L209" s="9">
        <v>325902090.73091602</v>
      </c>
      <c r="M209" s="9">
        <v>324013738.18247902</v>
      </c>
      <c r="N209" s="32">
        <f>MIN(MAX((B209-Calculation_Assumptions!$B$5+1)/Calculation_Assumptions!$B$7,0),1)</f>
        <v>1</v>
      </c>
      <c r="O209" s="21">
        <f t="shared" si="24"/>
        <v>325902090.73091602</v>
      </c>
      <c r="P209" s="21">
        <f t="shared" si="25"/>
        <v>324013738.18247902</v>
      </c>
      <c r="Q209" s="21">
        <f>P209*Calculation_Assumptions!$B$14*J209*K209</f>
        <v>0</v>
      </c>
      <c r="R209" s="21">
        <f t="shared" si="26"/>
        <v>1303608.362923664</v>
      </c>
      <c r="S209" s="21">
        <f t="shared" si="27"/>
        <v>1303608.362923664</v>
      </c>
      <c r="T209" s="32">
        <f>1/(1+Calculation_Assumptions!$B$8)^(B209-Calculation_Assumptions!$B$2)</f>
        <v>0.47760556926165965</v>
      </c>
      <c r="U209" s="21">
        <f t="shared" si="28"/>
        <v>0</v>
      </c>
      <c r="V209" s="21">
        <f t="shared" si="29"/>
        <v>622610.61426841677</v>
      </c>
      <c r="W209" s="21">
        <f t="shared" si="30"/>
        <v>622610.61426841677</v>
      </c>
      <c r="X209">
        <v>0</v>
      </c>
      <c r="Y209" s="18">
        <v>2017</v>
      </c>
      <c r="Z209" t="s">
        <v>264</v>
      </c>
      <c r="AA209" s="21">
        <f t="shared" si="31"/>
        <v>1</v>
      </c>
    </row>
    <row r="210" spans="1:27">
      <c r="A210" t="s">
        <v>76</v>
      </c>
      <c r="B210" s="18">
        <v>2025</v>
      </c>
      <c r="C210" t="s">
        <v>193</v>
      </c>
      <c r="D210" s="20" t="s">
        <v>343</v>
      </c>
      <c r="E210" s="20" t="s">
        <v>344</v>
      </c>
      <c r="F210" s="20" t="s">
        <v>197</v>
      </c>
      <c r="G210" s="20" t="s">
        <v>336</v>
      </c>
      <c r="H210" s="20" t="s">
        <v>338</v>
      </c>
      <c r="I210" s="29">
        <v>1</v>
      </c>
      <c r="J210" s="30">
        <v>1</v>
      </c>
      <c r="K210" s="31">
        <v>3.5099999999999999E-2</v>
      </c>
      <c r="L210" s="9">
        <v>288000821.106462</v>
      </c>
      <c r="M210" s="9">
        <v>288000821.106462</v>
      </c>
      <c r="N210" s="32">
        <f>MIN(MAX((B210-Calculation_Assumptions!$B$5+1)/Calculation_Assumptions!$B$7,0),1)</f>
        <v>0</v>
      </c>
      <c r="O210" s="21">
        <f t="shared" si="24"/>
        <v>288000821.106462</v>
      </c>
      <c r="P210" s="21">
        <f t="shared" si="25"/>
        <v>288000821.106462</v>
      </c>
      <c r="Q210" s="21">
        <f>P210*Calculation_Assumptions!$B$14*J210*K210</f>
        <v>0</v>
      </c>
      <c r="R210" s="21">
        <f t="shared" si="26"/>
        <v>0</v>
      </c>
      <c r="S210" s="21">
        <f t="shared" si="27"/>
        <v>0</v>
      </c>
      <c r="T210" s="32">
        <f>1/(1+Calculation_Assumptions!$B$8)^(B210-Calculation_Assumptions!$B$2)</f>
        <v>1</v>
      </c>
      <c r="U210" s="21">
        <f t="shared" si="28"/>
        <v>0</v>
      </c>
      <c r="V210" s="21">
        <f t="shared" si="29"/>
        <v>0</v>
      </c>
      <c r="W210" s="21">
        <f t="shared" si="30"/>
        <v>0</v>
      </c>
      <c r="X210">
        <v>0</v>
      </c>
      <c r="Y210" s="18">
        <v>2017</v>
      </c>
      <c r="Z210" t="s">
        <v>264</v>
      </c>
      <c r="AA210" s="21">
        <f t="shared" si="31"/>
        <v>1</v>
      </c>
    </row>
    <row r="211" spans="1:27">
      <c r="A211" t="s">
        <v>76</v>
      </c>
      <c r="B211" s="18">
        <v>2026</v>
      </c>
      <c r="C211" t="s">
        <v>193</v>
      </c>
      <c r="D211" s="20" t="s">
        <v>343</v>
      </c>
      <c r="E211" s="20" t="s">
        <v>344</v>
      </c>
      <c r="F211" s="20" t="s">
        <v>197</v>
      </c>
      <c r="G211" s="20" t="s">
        <v>336</v>
      </c>
      <c r="H211" s="20" t="s">
        <v>338</v>
      </c>
      <c r="I211" s="29">
        <v>1</v>
      </c>
      <c r="J211" s="30">
        <v>1</v>
      </c>
      <c r="K211" s="31">
        <v>3.5099999999999999E-2</v>
      </c>
      <c r="L211" s="9">
        <v>290123496.10321897</v>
      </c>
      <c r="M211" s="9">
        <v>290123496.10321897</v>
      </c>
      <c r="N211" s="32">
        <f>MIN(MAX((B211-Calculation_Assumptions!$B$5+1)/Calculation_Assumptions!$B$7,0),1)</f>
        <v>0.33333333333333331</v>
      </c>
      <c r="O211" s="21">
        <f t="shared" si="24"/>
        <v>290123496.10321897</v>
      </c>
      <c r="P211" s="21">
        <f t="shared" si="25"/>
        <v>290123496.10321897</v>
      </c>
      <c r="Q211" s="21">
        <f>P211*Calculation_Assumptions!$B$14*J211*K211</f>
        <v>0</v>
      </c>
      <c r="R211" s="21">
        <f t="shared" si="26"/>
        <v>3394444.9044076619</v>
      </c>
      <c r="S211" s="21">
        <f t="shared" si="27"/>
        <v>3394444.9044076619</v>
      </c>
      <c r="T211" s="32">
        <f>1/(1+Calculation_Assumptions!$B$8)^(B211-Calculation_Assumptions!$B$2)</f>
        <v>0.970873786407767</v>
      </c>
      <c r="U211" s="21">
        <f t="shared" si="28"/>
        <v>0</v>
      </c>
      <c r="V211" s="21">
        <f t="shared" si="29"/>
        <v>3295577.5770948175</v>
      </c>
      <c r="W211" s="21">
        <f t="shared" si="30"/>
        <v>3295577.5770948175</v>
      </c>
      <c r="X211">
        <v>0</v>
      </c>
      <c r="Y211" s="18">
        <v>2017</v>
      </c>
      <c r="Z211" t="s">
        <v>264</v>
      </c>
      <c r="AA211" s="21">
        <f t="shared" si="31"/>
        <v>1</v>
      </c>
    </row>
    <row r="212" spans="1:27">
      <c r="A212" t="s">
        <v>76</v>
      </c>
      <c r="B212" s="18">
        <v>2027</v>
      </c>
      <c r="C212" t="s">
        <v>193</v>
      </c>
      <c r="D212" s="20" t="s">
        <v>343</v>
      </c>
      <c r="E212" s="20" t="s">
        <v>344</v>
      </c>
      <c r="F212" s="20" t="s">
        <v>197</v>
      </c>
      <c r="G212" s="20" t="s">
        <v>336</v>
      </c>
      <c r="H212" s="20" t="s">
        <v>338</v>
      </c>
      <c r="I212" s="29">
        <v>1</v>
      </c>
      <c r="J212" s="30">
        <v>1</v>
      </c>
      <c r="K212" s="31">
        <v>3.5099999999999999E-2</v>
      </c>
      <c r="L212" s="9">
        <v>292252895.09695601</v>
      </c>
      <c r="M212" s="9">
        <v>292252895.09695601</v>
      </c>
      <c r="N212" s="32">
        <f>MIN(MAX((B212-Calculation_Assumptions!$B$5+1)/Calculation_Assumptions!$B$7,0),1)</f>
        <v>0.66666666666666663</v>
      </c>
      <c r="O212" s="21">
        <f t="shared" si="24"/>
        <v>292252895.09695601</v>
      </c>
      <c r="P212" s="21">
        <f t="shared" si="25"/>
        <v>292252895.09695601</v>
      </c>
      <c r="Q212" s="21">
        <f>P212*Calculation_Assumptions!$B$14*J212*K212</f>
        <v>0</v>
      </c>
      <c r="R212" s="21">
        <f t="shared" si="26"/>
        <v>6838717.7452687705</v>
      </c>
      <c r="S212" s="21">
        <f t="shared" si="27"/>
        <v>6838717.7452687705</v>
      </c>
      <c r="T212" s="32">
        <f>1/(1+Calculation_Assumptions!$B$8)^(B212-Calculation_Assumptions!$B$2)</f>
        <v>0.94259590913375435</v>
      </c>
      <c r="U212" s="21">
        <f t="shared" si="28"/>
        <v>0</v>
      </c>
      <c r="V212" s="21">
        <f t="shared" si="29"/>
        <v>6446147.3704107553</v>
      </c>
      <c r="W212" s="21">
        <f t="shared" si="30"/>
        <v>6446147.3704107553</v>
      </c>
      <c r="X212">
        <v>0</v>
      </c>
      <c r="Y212" s="18">
        <v>2017</v>
      </c>
      <c r="Z212" t="s">
        <v>264</v>
      </c>
      <c r="AA212" s="21">
        <f t="shared" si="31"/>
        <v>1</v>
      </c>
    </row>
    <row r="213" spans="1:27">
      <c r="A213" t="s">
        <v>76</v>
      </c>
      <c r="B213" s="18">
        <v>2028</v>
      </c>
      <c r="C213" t="s">
        <v>193</v>
      </c>
      <c r="D213" s="20" t="s">
        <v>343</v>
      </c>
      <c r="E213" s="20" t="s">
        <v>344</v>
      </c>
      <c r="F213" s="20" t="s">
        <v>197</v>
      </c>
      <c r="G213" s="20" t="s">
        <v>336</v>
      </c>
      <c r="H213" s="20" t="s">
        <v>338</v>
      </c>
      <c r="I213" s="29">
        <v>1</v>
      </c>
      <c r="J213" s="30">
        <v>1</v>
      </c>
      <c r="K213" s="31">
        <v>3.5099999999999999E-2</v>
      </c>
      <c r="L213" s="9">
        <v>294318750.70606601</v>
      </c>
      <c r="M213" s="9">
        <v>294314895.30546498</v>
      </c>
      <c r="N213" s="32">
        <f>MIN(MAX((B213-Calculation_Assumptions!$B$5+1)/Calculation_Assumptions!$B$7,0),1)</f>
        <v>1</v>
      </c>
      <c r="O213" s="21">
        <f t="shared" si="24"/>
        <v>294318750.70606601</v>
      </c>
      <c r="P213" s="21">
        <f t="shared" si="25"/>
        <v>294314895.30546498</v>
      </c>
      <c r="Q213" s="21">
        <f>P213*Calculation_Assumptions!$B$14*J213*K213</f>
        <v>0</v>
      </c>
      <c r="R213" s="21">
        <f t="shared" si="26"/>
        <v>10330588.149782917</v>
      </c>
      <c r="S213" s="21">
        <f t="shared" si="27"/>
        <v>10330588.149782917</v>
      </c>
      <c r="T213" s="32">
        <f>1/(1+Calculation_Assumptions!$B$8)^(B213-Calculation_Assumptions!$B$2)</f>
        <v>0.91514165935315961</v>
      </c>
      <c r="U213" s="21">
        <f t="shared" si="28"/>
        <v>0</v>
      </c>
      <c r="V213" s="21">
        <f t="shared" si="29"/>
        <v>9453951.5814864244</v>
      </c>
      <c r="W213" s="21">
        <f t="shared" si="30"/>
        <v>9453951.5814864244</v>
      </c>
      <c r="X213">
        <v>0</v>
      </c>
      <c r="Y213" s="18">
        <v>2017</v>
      </c>
      <c r="Z213" t="s">
        <v>264</v>
      </c>
      <c r="AA213" s="21">
        <f t="shared" si="31"/>
        <v>1</v>
      </c>
    </row>
    <row r="214" spans="1:27">
      <c r="A214" t="s">
        <v>76</v>
      </c>
      <c r="B214" s="18">
        <v>2029</v>
      </c>
      <c r="C214" t="s">
        <v>193</v>
      </c>
      <c r="D214" s="20" t="s">
        <v>343</v>
      </c>
      <c r="E214" s="20" t="s">
        <v>344</v>
      </c>
      <c r="F214" s="20" t="s">
        <v>197</v>
      </c>
      <c r="G214" s="20" t="s">
        <v>336</v>
      </c>
      <c r="H214" s="20" t="s">
        <v>338</v>
      </c>
      <c r="I214" s="29">
        <v>1</v>
      </c>
      <c r="J214" s="30">
        <v>1</v>
      </c>
      <c r="K214" s="31">
        <v>3.5099999999999999E-2</v>
      </c>
      <c r="L214" s="9">
        <v>296356322.26615602</v>
      </c>
      <c r="M214" s="9">
        <v>296341062.542853</v>
      </c>
      <c r="N214" s="32">
        <f>MIN(MAX((B214-Calculation_Assumptions!$B$5+1)/Calculation_Assumptions!$B$7,0),1)</f>
        <v>1</v>
      </c>
      <c r="O214" s="21">
        <f t="shared" si="24"/>
        <v>296356322.26615602</v>
      </c>
      <c r="P214" s="21">
        <f t="shared" si="25"/>
        <v>296341062.542853</v>
      </c>
      <c r="Q214" s="21">
        <f>P214*Calculation_Assumptions!$B$14*J214*K214</f>
        <v>0</v>
      </c>
      <c r="R214" s="21">
        <f t="shared" si="26"/>
        <v>10402106.911542077</v>
      </c>
      <c r="S214" s="21">
        <f t="shared" si="27"/>
        <v>10402106.911542077</v>
      </c>
      <c r="T214" s="32">
        <f>1/(1+Calculation_Assumptions!$B$8)^(B214-Calculation_Assumptions!$B$2)</f>
        <v>0.888487047915689</v>
      </c>
      <c r="U214" s="21">
        <f t="shared" si="28"/>
        <v>0</v>
      </c>
      <c r="V214" s="21">
        <f t="shared" si="29"/>
        <v>9242137.2619394045</v>
      </c>
      <c r="W214" s="21">
        <f t="shared" si="30"/>
        <v>9242137.2619394045</v>
      </c>
      <c r="X214">
        <v>0</v>
      </c>
      <c r="Y214" s="18">
        <v>2017</v>
      </c>
      <c r="Z214" t="s">
        <v>264</v>
      </c>
      <c r="AA214" s="21">
        <f t="shared" si="31"/>
        <v>1</v>
      </c>
    </row>
    <row r="215" spans="1:27">
      <c r="A215" t="s">
        <v>76</v>
      </c>
      <c r="B215" s="18">
        <v>2030</v>
      </c>
      <c r="C215" t="s">
        <v>193</v>
      </c>
      <c r="D215" s="20" t="s">
        <v>343</v>
      </c>
      <c r="E215" s="20" t="s">
        <v>344</v>
      </c>
      <c r="F215" s="20" t="s">
        <v>197</v>
      </c>
      <c r="G215" s="20" t="s">
        <v>336</v>
      </c>
      <c r="H215" s="20" t="s">
        <v>338</v>
      </c>
      <c r="I215" s="29">
        <v>1</v>
      </c>
      <c r="J215" s="30">
        <v>1</v>
      </c>
      <c r="K215" s="31">
        <v>3.5099999999999999E-2</v>
      </c>
      <c r="L215" s="9">
        <v>298317004.67873597</v>
      </c>
      <c r="M215" s="9">
        <v>298280286.05726302</v>
      </c>
      <c r="N215" s="32">
        <f>MIN(MAX((B215-Calculation_Assumptions!$B$5+1)/Calculation_Assumptions!$B$7,0),1)</f>
        <v>1</v>
      </c>
      <c r="O215" s="21">
        <f t="shared" si="24"/>
        <v>298317004.67873597</v>
      </c>
      <c r="P215" s="21">
        <f t="shared" si="25"/>
        <v>298280286.05726302</v>
      </c>
      <c r="Q215" s="21">
        <f>P215*Calculation_Assumptions!$B$14*J215*K215</f>
        <v>0</v>
      </c>
      <c r="R215" s="21">
        <f t="shared" si="26"/>
        <v>10470926.864223633</v>
      </c>
      <c r="S215" s="21">
        <f t="shared" si="27"/>
        <v>10470926.864223633</v>
      </c>
      <c r="T215" s="32">
        <f>1/(1+Calculation_Assumptions!$B$8)^(B215-Calculation_Assumptions!$B$2)</f>
        <v>0.86260878438416411</v>
      </c>
      <c r="U215" s="21">
        <f t="shared" si="28"/>
        <v>0</v>
      </c>
      <c r="V215" s="21">
        <f t="shared" si="29"/>
        <v>9032313.4937234353</v>
      </c>
      <c r="W215" s="21">
        <f t="shared" si="30"/>
        <v>9032313.4937234353</v>
      </c>
      <c r="X215">
        <v>0</v>
      </c>
      <c r="Y215" s="18">
        <v>2017</v>
      </c>
      <c r="Z215" t="s">
        <v>264</v>
      </c>
      <c r="AA215" s="21">
        <f t="shared" si="31"/>
        <v>1</v>
      </c>
    </row>
    <row r="216" spans="1:27">
      <c r="A216" t="s">
        <v>76</v>
      </c>
      <c r="B216" s="18">
        <v>2031</v>
      </c>
      <c r="C216" t="s">
        <v>193</v>
      </c>
      <c r="D216" s="20" t="s">
        <v>343</v>
      </c>
      <c r="E216" s="20" t="s">
        <v>344</v>
      </c>
      <c r="F216" s="20" t="s">
        <v>197</v>
      </c>
      <c r="G216" s="20" t="s">
        <v>336</v>
      </c>
      <c r="H216" s="20" t="s">
        <v>338</v>
      </c>
      <c r="I216" s="29">
        <v>1</v>
      </c>
      <c r="J216" s="30">
        <v>1</v>
      </c>
      <c r="K216" s="31">
        <v>3.5099999999999999E-2</v>
      </c>
      <c r="L216" s="9">
        <v>300222863.16561598</v>
      </c>
      <c r="M216" s="9">
        <v>300152603.25478202</v>
      </c>
      <c r="N216" s="32">
        <f>MIN(MAX((B216-Calculation_Assumptions!$B$5+1)/Calculation_Assumptions!$B$7,0),1)</f>
        <v>1</v>
      </c>
      <c r="O216" s="21">
        <f t="shared" si="24"/>
        <v>300222863.16561598</v>
      </c>
      <c r="P216" s="21">
        <f t="shared" si="25"/>
        <v>300152603.25478202</v>
      </c>
      <c r="Q216" s="21">
        <f>P216*Calculation_Assumptions!$B$14*J216*K216</f>
        <v>0</v>
      </c>
      <c r="R216" s="21">
        <f t="shared" si="26"/>
        <v>10537822.49711312</v>
      </c>
      <c r="S216" s="21">
        <f t="shared" si="27"/>
        <v>10537822.49711312</v>
      </c>
      <c r="T216" s="32">
        <f>1/(1+Calculation_Assumptions!$B$8)^(B216-Calculation_Assumptions!$B$2)</f>
        <v>0.83748425668365445</v>
      </c>
      <c r="U216" s="21">
        <f t="shared" si="28"/>
        <v>0</v>
      </c>
      <c r="V216" s="21">
        <f t="shared" si="29"/>
        <v>8825260.4410590734</v>
      </c>
      <c r="W216" s="21">
        <f t="shared" si="30"/>
        <v>8825260.4410590734</v>
      </c>
      <c r="X216">
        <v>0</v>
      </c>
      <c r="Y216" s="18">
        <v>2017</v>
      </c>
      <c r="Z216" t="s">
        <v>264</v>
      </c>
      <c r="AA216" s="21">
        <f t="shared" si="31"/>
        <v>1</v>
      </c>
    </row>
    <row r="217" spans="1:27">
      <c r="A217" t="s">
        <v>76</v>
      </c>
      <c r="B217" s="18">
        <v>2032</v>
      </c>
      <c r="C217" t="s">
        <v>193</v>
      </c>
      <c r="D217" s="20" t="s">
        <v>343</v>
      </c>
      <c r="E217" s="20" t="s">
        <v>344</v>
      </c>
      <c r="F217" s="20" t="s">
        <v>197</v>
      </c>
      <c r="G217" s="20" t="s">
        <v>336</v>
      </c>
      <c r="H217" s="20" t="s">
        <v>338</v>
      </c>
      <c r="I217" s="29">
        <v>1</v>
      </c>
      <c r="J217" s="30">
        <v>1</v>
      </c>
      <c r="K217" s="31">
        <v>3.5099999999999999E-2</v>
      </c>
      <c r="L217" s="9">
        <v>302002258.96739</v>
      </c>
      <c r="M217" s="9">
        <v>301959399.63388801</v>
      </c>
      <c r="N217" s="32">
        <f>MIN(MAX((B217-Calculation_Assumptions!$B$5+1)/Calculation_Assumptions!$B$7,0),1)</f>
        <v>1</v>
      </c>
      <c r="O217" s="21">
        <f t="shared" si="24"/>
        <v>302002258.96739</v>
      </c>
      <c r="P217" s="21">
        <f t="shared" si="25"/>
        <v>301959399.63388801</v>
      </c>
      <c r="Q217" s="21">
        <f>P217*Calculation_Assumptions!$B$14*J217*K217</f>
        <v>0</v>
      </c>
      <c r="R217" s="21">
        <f t="shared" si="26"/>
        <v>10600279.289755389</v>
      </c>
      <c r="S217" s="21">
        <f t="shared" si="27"/>
        <v>10600279.289755389</v>
      </c>
      <c r="T217" s="32">
        <f>1/(1+Calculation_Assumptions!$B$8)^(B217-Calculation_Assumptions!$B$2)</f>
        <v>0.81309151134335378</v>
      </c>
      <c r="U217" s="21">
        <f t="shared" si="28"/>
        <v>0</v>
      </c>
      <c r="V217" s="21">
        <f t="shared" si="29"/>
        <v>8618997.1083688624</v>
      </c>
      <c r="W217" s="21">
        <f t="shared" si="30"/>
        <v>8618997.1083688624</v>
      </c>
      <c r="X217">
        <v>0</v>
      </c>
      <c r="Y217" s="18">
        <v>2017</v>
      </c>
      <c r="Z217" t="s">
        <v>264</v>
      </c>
      <c r="AA217" s="21">
        <f t="shared" si="31"/>
        <v>1</v>
      </c>
    </row>
    <row r="218" spans="1:27">
      <c r="A218" t="s">
        <v>76</v>
      </c>
      <c r="B218" s="18">
        <v>2033</v>
      </c>
      <c r="C218" t="s">
        <v>193</v>
      </c>
      <c r="D218" s="20" t="s">
        <v>343</v>
      </c>
      <c r="E218" s="20" t="s">
        <v>344</v>
      </c>
      <c r="F218" s="20" t="s">
        <v>197</v>
      </c>
      <c r="G218" s="20" t="s">
        <v>336</v>
      </c>
      <c r="H218" s="20" t="s">
        <v>338</v>
      </c>
      <c r="I218" s="29">
        <v>1</v>
      </c>
      <c r="J218" s="30">
        <v>1</v>
      </c>
      <c r="K218" s="31">
        <v>3.5099999999999999E-2</v>
      </c>
      <c r="L218" s="9">
        <v>303792531.13349903</v>
      </c>
      <c r="M218" s="9">
        <v>303701035.20205098</v>
      </c>
      <c r="N218" s="32">
        <f>MIN(MAX((B218-Calculation_Assumptions!$B$5+1)/Calculation_Assumptions!$B$7,0),1)</f>
        <v>1</v>
      </c>
      <c r="O218" s="21">
        <f t="shared" si="24"/>
        <v>303792531.13349903</v>
      </c>
      <c r="P218" s="21">
        <f t="shared" si="25"/>
        <v>303701035.20205098</v>
      </c>
      <c r="Q218" s="21">
        <f>P218*Calculation_Assumptions!$B$14*J218*K218</f>
        <v>0</v>
      </c>
      <c r="R218" s="21">
        <f t="shared" si="26"/>
        <v>10663117.842785815</v>
      </c>
      <c r="S218" s="21">
        <f t="shared" si="27"/>
        <v>10663117.842785815</v>
      </c>
      <c r="T218" s="32">
        <f>1/(1+Calculation_Assumptions!$B$8)^(B218-Calculation_Assumptions!$B$2)</f>
        <v>0.78940923431393573</v>
      </c>
      <c r="U218" s="21">
        <f t="shared" si="28"/>
        <v>0</v>
      </c>
      <c r="V218" s="21">
        <f t="shared" si="29"/>
        <v>8417563.6916728169</v>
      </c>
      <c r="W218" s="21">
        <f t="shared" si="30"/>
        <v>8417563.6916728169</v>
      </c>
      <c r="X218">
        <v>0</v>
      </c>
      <c r="Y218" s="18">
        <v>2017</v>
      </c>
      <c r="Z218" t="s">
        <v>264</v>
      </c>
      <c r="AA218" s="21">
        <f t="shared" si="31"/>
        <v>1</v>
      </c>
    </row>
    <row r="219" spans="1:27">
      <c r="A219" t="s">
        <v>76</v>
      </c>
      <c r="B219" s="18">
        <v>2034</v>
      </c>
      <c r="C219" t="s">
        <v>193</v>
      </c>
      <c r="D219" s="20" t="s">
        <v>343</v>
      </c>
      <c r="E219" s="20" t="s">
        <v>344</v>
      </c>
      <c r="F219" s="20" t="s">
        <v>197</v>
      </c>
      <c r="G219" s="20" t="s">
        <v>336</v>
      </c>
      <c r="H219" s="20" t="s">
        <v>338</v>
      </c>
      <c r="I219" s="29">
        <v>1</v>
      </c>
      <c r="J219" s="30">
        <v>1</v>
      </c>
      <c r="K219" s="31">
        <v>3.5099999999999999E-2</v>
      </c>
      <c r="L219" s="9">
        <v>305527186.92935503</v>
      </c>
      <c r="M219" s="9">
        <v>305377998.093319</v>
      </c>
      <c r="N219" s="32">
        <f>MIN(MAX((B219-Calculation_Assumptions!$B$5+1)/Calculation_Assumptions!$B$7,0),1)</f>
        <v>1</v>
      </c>
      <c r="O219" s="21">
        <f t="shared" si="24"/>
        <v>305527186.92935503</v>
      </c>
      <c r="P219" s="21">
        <f t="shared" si="25"/>
        <v>305377998.093319</v>
      </c>
      <c r="Q219" s="21">
        <f>P219*Calculation_Assumptions!$B$14*J219*K219</f>
        <v>0</v>
      </c>
      <c r="R219" s="21">
        <f t="shared" si="26"/>
        <v>10724004.261220362</v>
      </c>
      <c r="S219" s="21">
        <f t="shared" si="27"/>
        <v>10724004.261220362</v>
      </c>
      <c r="T219" s="32">
        <f>1/(1+Calculation_Assumptions!$B$8)^(B219-Calculation_Assumptions!$B$2)</f>
        <v>0.76641673234362695</v>
      </c>
      <c r="U219" s="21">
        <f t="shared" si="28"/>
        <v>0</v>
      </c>
      <c r="V219" s="21">
        <f t="shared" si="29"/>
        <v>8219056.3035236411</v>
      </c>
      <c r="W219" s="21">
        <f t="shared" si="30"/>
        <v>8219056.3035236411</v>
      </c>
      <c r="X219">
        <v>0</v>
      </c>
      <c r="Y219" s="18">
        <v>2017</v>
      </c>
      <c r="Z219" t="s">
        <v>264</v>
      </c>
      <c r="AA219" s="21">
        <f t="shared" si="31"/>
        <v>1</v>
      </c>
    </row>
    <row r="220" spans="1:27">
      <c r="A220" t="s">
        <v>76</v>
      </c>
      <c r="B220" s="18">
        <v>2035</v>
      </c>
      <c r="C220" t="s">
        <v>193</v>
      </c>
      <c r="D220" s="20" t="s">
        <v>343</v>
      </c>
      <c r="E220" s="20" t="s">
        <v>344</v>
      </c>
      <c r="F220" s="20" t="s">
        <v>197</v>
      </c>
      <c r="G220" s="20" t="s">
        <v>336</v>
      </c>
      <c r="H220" s="20" t="s">
        <v>338</v>
      </c>
      <c r="I220" s="29">
        <v>1</v>
      </c>
      <c r="J220" s="30">
        <v>1</v>
      </c>
      <c r="K220" s="31">
        <v>3.5099999999999999E-2</v>
      </c>
      <c r="L220" s="9">
        <v>307204550.86510098</v>
      </c>
      <c r="M220" s="9">
        <v>306989258.29407001</v>
      </c>
      <c r="N220" s="32">
        <f>MIN(MAX((B220-Calculation_Assumptions!$B$5+1)/Calculation_Assumptions!$B$7,0),1)</f>
        <v>1</v>
      </c>
      <c r="O220" s="21">
        <f t="shared" si="24"/>
        <v>307204550.86510098</v>
      </c>
      <c r="P220" s="21">
        <f t="shared" si="25"/>
        <v>306989258.29407001</v>
      </c>
      <c r="Q220" s="21">
        <f>P220*Calculation_Assumptions!$B$14*J220*K220</f>
        <v>0</v>
      </c>
      <c r="R220" s="21">
        <f t="shared" si="26"/>
        <v>10782879.735365044</v>
      </c>
      <c r="S220" s="21">
        <f t="shared" si="27"/>
        <v>10782879.735365044</v>
      </c>
      <c r="T220" s="32">
        <f>1/(1+Calculation_Assumptions!$B$8)^(B220-Calculation_Assumptions!$B$2)</f>
        <v>0.74409391489672516</v>
      </c>
      <c r="U220" s="21">
        <f t="shared" si="28"/>
        <v>0</v>
      </c>
      <c r="V220" s="21">
        <f t="shared" si="29"/>
        <v>8023475.1961483397</v>
      </c>
      <c r="W220" s="21">
        <f t="shared" si="30"/>
        <v>8023475.1961483397</v>
      </c>
      <c r="X220">
        <v>0</v>
      </c>
      <c r="Y220" s="18">
        <v>2017</v>
      </c>
      <c r="Z220" t="s">
        <v>264</v>
      </c>
      <c r="AA220" s="21">
        <f t="shared" si="31"/>
        <v>1</v>
      </c>
    </row>
    <row r="221" spans="1:27">
      <c r="A221" t="s">
        <v>76</v>
      </c>
      <c r="B221" s="18">
        <v>2036</v>
      </c>
      <c r="C221" t="s">
        <v>193</v>
      </c>
      <c r="D221" s="20" t="s">
        <v>343</v>
      </c>
      <c r="E221" s="20" t="s">
        <v>344</v>
      </c>
      <c r="F221" s="20" t="s">
        <v>197</v>
      </c>
      <c r="G221" s="20" t="s">
        <v>336</v>
      </c>
      <c r="H221" s="20" t="s">
        <v>338</v>
      </c>
      <c r="I221" s="29">
        <v>1</v>
      </c>
      <c r="J221" s="30">
        <v>1</v>
      </c>
      <c r="K221" s="31">
        <v>3.5099999999999999E-2</v>
      </c>
      <c r="L221" s="9">
        <v>308826793.60124999</v>
      </c>
      <c r="M221" s="9">
        <v>308537399.67209399</v>
      </c>
      <c r="N221" s="32">
        <f>MIN(MAX((B221-Calculation_Assumptions!$B$5+1)/Calculation_Assumptions!$B$7,0),1)</f>
        <v>1</v>
      </c>
      <c r="O221" s="21">
        <f t="shared" si="24"/>
        <v>308826793.60124999</v>
      </c>
      <c r="P221" s="21">
        <f t="shared" si="25"/>
        <v>308537399.67209399</v>
      </c>
      <c r="Q221" s="21">
        <f>P221*Calculation_Assumptions!$B$14*J221*K221</f>
        <v>0</v>
      </c>
      <c r="R221" s="21">
        <f t="shared" si="26"/>
        <v>10839820.455403874</v>
      </c>
      <c r="S221" s="21">
        <f t="shared" si="27"/>
        <v>10839820.455403874</v>
      </c>
      <c r="T221" s="32">
        <f>1/(1+Calculation_Assumptions!$B$8)^(B221-Calculation_Assumptions!$B$2)</f>
        <v>0.72242127659876232</v>
      </c>
      <c r="U221" s="21">
        <f t="shared" si="28"/>
        <v>0</v>
      </c>
      <c r="V221" s="21">
        <f t="shared" si="29"/>
        <v>7830916.9314942434</v>
      </c>
      <c r="W221" s="21">
        <f t="shared" si="30"/>
        <v>7830916.9314942434</v>
      </c>
      <c r="X221">
        <v>0</v>
      </c>
      <c r="Y221" s="18">
        <v>2017</v>
      </c>
      <c r="Z221" t="s">
        <v>264</v>
      </c>
      <c r="AA221" s="21">
        <f t="shared" si="31"/>
        <v>1</v>
      </c>
    </row>
    <row r="222" spans="1:27">
      <c r="A222" t="s">
        <v>76</v>
      </c>
      <c r="B222" s="18">
        <v>2037</v>
      </c>
      <c r="C222" t="s">
        <v>193</v>
      </c>
      <c r="D222" s="20" t="s">
        <v>343</v>
      </c>
      <c r="E222" s="20" t="s">
        <v>344</v>
      </c>
      <c r="F222" s="20" t="s">
        <v>197</v>
      </c>
      <c r="G222" s="20" t="s">
        <v>336</v>
      </c>
      <c r="H222" s="20" t="s">
        <v>338</v>
      </c>
      <c r="I222" s="29">
        <v>1</v>
      </c>
      <c r="J222" s="30">
        <v>1</v>
      </c>
      <c r="K222" s="31">
        <v>3.5099999999999999E-2</v>
      </c>
      <c r="L222" s="9">
        <v>310394148.51148498</v>
      </c>
      <c r="M222" s="9">
        <v>310023120.39347202</v>
      </c>
      <c r="N222" s="32">
        <f>MIN(MAX((B222-Calculation_Assumptions!$B$5+1)/Calculation_Assumptions!$B$7,0),1)</f>
        <v>1</v>
      </c>
      <c r="O222" s="21">
        <f t="shared" si="24"/>
        <v>310394148.51148498</v>
      </c>
      <c r="P222" s="21">
        <f t="shared" si="25"/>
        <v>310023120.39347202</v>
      </c>
      <c r="Q222" s="21">
        <f>P222*Calculation_Assumptions!$B$14*J222*K222</f>
        <v>0</v>
      </c>
      <c r="R222" s="21">
        <f t="shared" si="26"/>
        <v>10894834.612753123</v>
      </c>
      <c r="S222" s="21">
        <f t="shared" si="27"/>
        <v>10894834.612753123</v>
      </c>
      <c r="T222" s="32">
        <f>1/(1+Calculation_Assumptions!$B$8)^(B222-Calculation_Assumptions!$B$2)</f>
        <v>0.70137988019297326</v>
      </c>
      <c r="U222" s="21">
        <f t="shared" si="28"/>
        <v>0</v>
      </c>
      <c r="V222" s="21">
        <f t="shared" si="29"/>
        <v>7641417.7954150438</v>
      </c>
      <c r="W222" s="21">
        <f t="shared" si="30"/>
        <v>7641417.7954150438</v>
      </c>
      <c r="X222">
        <v>0</v>
      </c>
      <c r="Y222" s="18">
        <v>2017</v>
      </c>
      <c r="Z222" t="s">
        <v>264</v>
      </c>
      <c r="AA222" s="21">
        <f t="shared" si="31"/>
        <v>1</v>
      </c>
    </row>
    <row r="223" spans="1:27">
      <c r="A223" t="s">
        <v>76</v>
      </c>
      <c r="B223" s="18">
        <v>2038</v>
      </c>
      <c r="C223" t="s">
        <v>193</v>
      </c>
      <c r="D223" s="20" t="s">
        <v>343</v>
      </c>
      <c r="E223" s="20" t="s">
        <v>344</v>
      </c>
      <c r="F223" s="20" t="s">
        <v>197</v>
      </c>
      <c r="G223" s="20" t="s">
        <v>336</v>
      </c>
      <c r="H223" s="20" t="s">
        <v>338</v>
      </c>
      <c r="I223" s="29">
        <v>1</v>
      </c>
      <c r="J223" s="30">
        <v>1</v>
      </c>
      <c r="K223" s="31">
        <v>3.5099999999999999E-2</v>
      </c>
      <c r="L223" s="9">
        <v>311906222.57839799</v>
      </c>
      <c r="M223" s="9">
        <v>311445837.13462502</v>
      </c>
      <c r="N223" s="32">
        <f>MIN(MAX((B223-Calculation_Assumptions!$B$5+1)/Calculation_Assumptions!$B$7,0),1)</f>
        <v>1</v>
      </c>
      <c r="O223" s="21">
        <f t="shared" si="24"/>
        <v>311906222.57839799</v>
      </c>
      <c r="P223" s="21">
        <f t="shared" si="25"/>
        <v>311445837.13462502</v>
      </c>
      <c r="Q223" s="21">
        <f>P223*Calculation_Assumptions!$B$14*J223*K223</f>
        <v>0</v>
      </c>
      <c r="R223" s="21">
        <f t="shared" si="26"/>
        <v>10947908.412501769</v>
      </c>
      <c r="S223" s="21">
        <f t="shared" si="27"/>
        <v>10947908.412501769</v>
      </c>
      <c r="T223" s="32">
        <f>1/(1+Calculation_Assumptions!$B$8)^(B223-Calculation_Assumptions!$B$2)</f>
        <v>0.68095133999317792</v>
      </c>
      <c r="U223" s="21">
        <f t="shared" si="28"/>
        <v>0</v>
      </c>
      <c r="V223" s="21">
        <f t="shared" si="29"/>
        <v>7454992.9036156647</v>
      </c>
      <c r="W223" s="21">
        <f t="shared" si="30"/>
        <v>7454992.9036156647</v>
      </c>
      <c r="X223">
        <v>0</v>
      </c>
      <c r="Y223" s="18">
        <v>2017</v>
      </c>
      <c r="Z223" t="s">
        <v>264</v>
      </c>
      <c r="AA223" s="21">
        <f t="shared" si="31"/>
        <v>1</v>
      </c>
    </row>
    <row r="224" spans="1:27">
      <c r="A224" t="s">
        <v>76</v>
      </c>
      <c r="B224" s="18">
        <v>2039</v>
      </c>
      <c r="C224" t="s">
        <v>193</v>
      </c>
      <c r="D224" s="20" t="s">
        <v>343</v>
      </c>
      <c r="E224" s="20" t="s">
        <v>344</v>
      </c>
      <c r="F224" s="20" t="s">
        <v>197</v>
      </c>
      <c r="G224" s="20" t="s">
        <v>336</v>
      </c>
      <c r="H224" s="20" t="s">
        <v>338</v>
      </c>
      <c r="I224" s="29">
        <v>1</v>
      </c>
      <c r="J224" s="30">
        <v>1</v>
      </c>
      <c r="K224" s="31">
        <v>3.5099999999999999E-2</v>
      </c>
      <c r="L224" s="9">
        <v>313363821.52061498</v>
      </c>
      <c r="M224" s="9">
        <v>312806989.71568501</v>
      </c>
      <c r="N224" s="32">
        <f>MIN(MAX((B224-Calculation_Assumptions!$B$5+1)/Calculation_Assumptions!$B$7,0),1)</f>
        <v>1</v>
      </c>
      <c r="O224" s="21">
        <f t="shared" si="24"/>
        <v>313363821.52061498</v>
      </c>
      <c r="P224" s="21">
        <f t="shared" si="25"/>
        <v>312806989.71568501</v>
      </c>
      <c r="Q224" s="21">
        <f>P224*Calculation_Assumptions!$B$14*J224*K224</f>
        <v>0</v>
      </c>
      <c r="R224" s="21">
        <f t="shared" si="26"/>
        <v>10999070.135373585</v>
      </c>
      <c r="S224" s="21">
        <f t="shared" si="27"/>
        <v>10999070.135373585</v>
      </c>
      <c r="T224" s="32">
        <f>1/(1+Calculation_Assumptions!$B$8)^(B224-Calculation_Assumptions!$B$2)</f>
        <v>0.66111780581861923</v>
      </c>
      <c r="U224" s="21">
        <f t="shared" si="28"/>
        <v>0</v>
      </c>
      <c r="V224" s="21">
        <f t="shared" si="29"/>
        <v>7271681.1139432881</v>
      </c>
      <c r="W224" s="21">
        <f t="shared" si="30"/>
        <v>7271681.1139432881</v>
      </c>
      <c r="X224">
        <v>0</v>
      </c>
      <c r="Y224" s="18">
        <v>2017</v>
      </c>
      <c r="Z224" t="s">
        <v>264</v>
      </c>
      <c r="AA224" s="21">
        <f t="shared" si="31"/>
        <v>1</v>
      </c>
    </row>
    <row r="225" spans="1:27">
      <c r="A225" t="s">
        <v>76</v>
      </c>
      <c r="B225" s="18">
        <v>2040</v>
      </c>
      <c r="C225" t="s">
        <v>193</v>
      </c>
      <c r="D225" s="20" t="s">
        <v>343</v>
      </c>
      <c r="E225" s="20" t="s">
        <v>344</v>
      </c>
      <c r="F225" s="20" t="s">
        <v>197</v>
      </c>
      <c r="G225" s="20" t="s">
        <v>336</v>
      </c>
      <c r="H225" s="20" t="s">
        <v>338</v>
      </c>
      <c r="I225" s="29">
        <v>1</v>
      </c>
      <c r="J225" s="30">
        <v>1</v>
      </c>
      <c r="K225" s="31">
        <v>3.5099999999999999E-2</v>
      </c>
      <c r="L225" s="9">
        <v>314768783.15463299</v>
      </c>
      <c r="M225" s="9">
        <v>314109251.58264899</v>
      </c>
      <c r="N225" s="32">
        <f>MIN(MAX((B225-Calculation_Assumptions!$B$5+1)/Calculation_Assumptions!$B$7,0),1)</f>
        <v>1</v>
      </c>
      <c r="O225" s="21">
        <f t="shared" si="24"/>
        <v>314768783.15463299</v>
      </c>
      <c r="P225" s="21">
        <f t="shared" si="25"/>
        <v>314109251.58264899</v>
      </c>
      <c r="Q225" s="21">
        <f>P225*Calculation_Assumptions!$B$14*J225*K225</f>
        <v>0</v>
      </c>
      <c r="R225" s="21">
        <f t="shared" si="26"/>
        <v>11048384.288727617</v>
      </c>
      <c r="S225" s="21">
        <f t="shared" si="27"/>
        <v>11048384.288727617</v>
      </c>
      <c r="T225" s="32">
        <f>1/(1+Calculation_Assumptions!$B$8)^(B225-Calculation_Assumptions!$B$2)</f>
        <v>0.64186194739671765</v>
      </c>
      <c r="U225" s="21">
        <f t="shared" si="28"/>
        <v>0</v>
      </c>
      <c r="V225" s="21">
        <f t="shared" si="29"/>
        <v>7091537.4551500073</v>
      </c>
      <c r="W225" s="21">
        <f t="shared" si="30"/>
        <v>7091537.4551500073</v>
      </c>
      <c r="X225">
        <v>0</v>
      </c>
      <c r="Y225" s="18">
        <v>2017</v>
      </c>
      <c r="Z225" t="s">
        <v>264</v>
      </c>
      <c r="AA225" s="21">
        <f t="shared" si="31"/>
        <v>1</v>
      </c>
    </row>
    <row r="226" spans="1:27">
      <c r="A226" t="s">
        <v>76</v>
      </c>
      <c r="B226" s="18">
        <v>2041</v>
      </c>
      <c r="C226" t="s">
        <v>193</v>
      </c>
      <c r="D226" s="20" t="s">
        <v>343</v>
      </c>
      <c r="E226" s="20" t="s">
        <v>344</v>
      </c>
      <c r="F226" s="20" t="s">
        <v>197</v>
      </c>
      <c r="G226" s="20" t="s">
        <v>336</v>
      </c>
      <c r="H226" s="20" t="s">
        <v>338</v>
      </c>
      <c r="I226" s="29">
        <v>1</v>
      </c>
      <c r="J226" s="30">
        <v>1</v>
      </c>
      <c r="K226" s="31">
        <v>3.5099999999999999E-2</v>
      </c>
      <c r="L226" s="9">
        <v>316119789.29580498</v>
      </c>
      <c r="M226" s="9">
        <v>315352079.81242299</v>
      </c>
      <c r="N226" s="32">
        <f>MIN(MAX((B226-Calculation_Assumptions!$B$5+1)/Calculation_Assumptions!$B$7,0),1)</f>
        <v>1</v>
      </c>
      <c r="O226" s="21">
        <f t="shared" si="24"/>
        <v>316119789.29580498</v>
      </c>
      <c r="P226" s="21">
        <f t="shared" si="25"/>
        <v>315352079.81242299</v>
      </c>
      <c r="Q226" s="21">
        <f>P226*Calculation_Assumptions!$B$14*J226*K226</f>
        <v>0</v>
      </c>
      <c r="R226" s="21">
        <f t="shared" si="26"/>
        <v>11095804.604282754</v>
      </c>
      <c r="S226" s="21">
        <f t="shared" si="27"/>
        <v>11095804.604282754</v>
      </c>
      <c r="T226" s="32">
        <f>1/(1+Calculation_Assumptions!$B$8)^(B226-Calculation_Assumptions!$B$2)</f>
        <v>0.62316693922011435</v>
      </c>
      <c r="U226" s="21">
        <f t="shared" si="28"/>
        <v>0</v>
      </c>
      <c r="V226" s="21">
        <f t="shared" si="29"/>
        <v>6914538.5934353359</v>
      </c>
      <c r="W226" s="21">
        <f t="shared" si="30"/>
        <v>6914538.5934353359</v>
      </c>
      <c r="X226">
        <v>0</v>
      </c>
      <c r="Y226" s="18">
        <v>2017</v>
      </c>
      <c r="Z226" t="s">
        <v>264</v>
      </c>
      <c r="AA226" s="21">
        <f t="shared" si="31"/>
        <v>1</v>
      </c>
    </row>
    <row r="227" spans="1:27">
      <c r="A227" t="s">
        <v>76</v>
      </c>
      <c r="B227" s="18">
        <v>2042</v>
      </c>
      <c r="C227" t="s">
        <v>193</v>
      </c>
      <c r="D227" s="20" t="s">
        <v>343</v>
      </c>
      <c r="E227" s="20" t="s">
        <v>344</v>
      </c>
      <c r="F227" s="20" t="s">
        <v>197</v>
      </c>
      <c r="G227" s="20" t="s">
        <v>336</v>
      </c>
      <c r="H227" s="20" t="s">
        <v>338</v>
      </c>
      <c r="I227" s="29">
        <v>1</v>
      </c>
      <c r="J227" s="30">
        <v>1</v>
      </c>
      <c r="K227" s="31">
        <v>3.5099999999999999E-2</v>
      </c>
      <c r="L227" s="9">
        <v>317417240.49647599</v>
      </c>
      <c r="M227" s="9">
        <v>316395286.31201601</v>
      </c>
      <c r="N227" s="32">
        <f>MIN(MAX((B227-Calculation_Assumptions!$B$5+1)/Calculation_Assumptions!$B$7,0),1)</f>
        <v>1</v>
      </c>
      <c r="O227" s="21">
        <f t="shared" si="24"/>
        <v>317417240.49647599</v>
      </c>
      <c r="P227" s="21">
        <f t="shared" si="25"/>
        <v>316395286.31201601</v>
      </c>
      <c r="Q227" s="21">
        <f>P227*Calculation_Assumptions!$B$14*J227*K227</f>
        <v>0</v>
      </c>
      <c r="R227" s="21">
        <f t="shared" si="26"/>
        <v>11141345.141426308</v>
      </c>
      <c r="S227" s="21">
        <f t="shared" si="27"/>
        <v>11141345.141426308</v>
      </c>
      <c r="T227" s="32">
        <f>1/(1+Calculation_Assumptions!$B$8)^(B227-Calculation_Assumptions!$B$2)</f>
        <v>0.60501644584477121</v>
      </c>
      <c r="U227" s="21">
        <f t="shared" si="28"/>
        <v>0</v>
      </c>
      <c r="V227" s="21">
        <f t="shared" si="29"/>
        <v>6740697.0393956546</v>
      </c>
      <c r="W227" s="21">
        <f t="shared" si="30"/>
        <v>6740697.0393956546</v>
      </c>
      <c r="X227">
        <v>0</v>
      </c>
      <c r="Y227" s="18">
        <v>2017</v>
      </c>
      <c r="Z227" t="s">
        <v>264</v>
      </c>
      <c r="AA227" s="21">
        <f t="shared" si="31"/>
        <v>1</v>
      </c>
    </row>
    <row r="228" spans="1:27">
      <c r="A228" t="s">
        <v>76</v>
      </c>
      <c r="B228" s="18">
        <v>2043</v>
      </c>
      <c r="C228" t="s">
        <v>193</v>
      </c>
      <c r="D228" s="20" t="s">
        <v>343</v>
      </c>
      <c r="E228" s="20" t="s">
        <v>344</v>
      </c>
      <c r="F228" s="20" t="s">
        <v>197</v>
      </c>
      <c r="G228" s="20" t="s">
        <v>336</v>
      </c>
      <c r="H228" s="20" t="s">
        <v>338</v>
      </c>
      <c r="I228" s="29">
        <v>1</v>
      </c>
      <c r="J228" s="30">
        <v>1</v>
      </c>
      <c r="K228" s="31">
        <v>3.5099999999999999E-2</v>
      </c>
      <c r="L228" s="9">
        <v>318779591.21990502</v>
      </c>
      <c r="M228" s="9">
        <v>317619735.68828899</v>
      </c>
      <c r="N228" s="32">
        <f>MIN(MAX((B228-Calculation_Assumptions!$B$5+1)/Calculation_Assumptions!$B$7,0),1)</f>
        <v>1</v>
      </c>
      <c r="O228" s="21">
        <f t="shared" si="24"/>
        <v>318779591.21990502</v>
      </c>
      <c r="P228" s="21">
        <f t="shared" si="25"/>
        <v>317619735.68828899</v>
      </c>
      <c r="Q228" s="21">
        <f>P228*Calculation_Assumptions!$B$14*J228*K228</f>
        <v>0</v>
      </c>
      <c r="R228" s="21">
        <f t="shared" si="26"/>
        <v>11189163.651818667</v>
      </c>
      <c r="S228" s="21">
        <f t="shared" si="27"/>
        <v>11189163.651818667</v>
      </c>
      <c r="T228" s="32">
        <f>1/(1+Calculation_Assumptions!$B$8)^(B228-Calculation_Assumptions!$B$2)</f>
        <v>0.5873946076162827</v>
      </c>
      <c r="U228" s="21">
        <f t="shared" si="28"/>
        <v>0</v>
      </c>
      <c r="V228" s="21">
        <f t="shared" si="29"/>
        <v>6572454.3928143987</v>
      </c>
      <c r="W228" s="21">
        <f t="shared" si="30"/>
        <v>6572454.3928143987</v>
      </c>
      <c r="X228">
        <v>0</v>
      </c>
      <c r="Y228" s="18">
        <v>2017</v>
      </c>
      <c r="Z228" t="s">
        <v>264</v>
      </c>
      <c r="AA228" s="21">
        <f t="shared" si="31"/>
        <v>1</v>
      </c>
    </row>
    <row r="229" spans="1:27">
      <c r="A229" t="s">
        <v>76</v>
      </c>
      <c r="B229" s="18">
        <v>2044</v>
      </c>
      <c r="C229" t="s">
        <v>193</v>
      </c>
      <c r="D229" s="20" t="s">
        <v>343</v>
      </c>
      <c r="E229" s="20" t="s">
        <v>344</v>
      </c>
      <c r="F229" s="20" t="s">
        <v>197</v>
      </c>
      <c r="G229" s="20" t="s">
        <v>336</v>
      </c>
      <c r="H229" s="20" t="s">
        <v>338</v>
      </c>
      <c r="I229" s="29">
        <v>1</v>
      </c>
      <c r="J229" s="30">
        <v>1</v>
      </c>
      <c r="K229" s="31">
        <v>3.5099999999999999E-2</v>
      </c>
      <c r="L229" s="9">
        <v>319985562.36722702</v>
      </c>
      <c r="M229" s="9">
        <v>318697135.86365199</v>
      </c>
      <c r="N229" s="32">
        <f>MIN(MAX((B229-Calculation_Assumptions!$B$5+1)/Calculation_Assumptions!$B$7,0),1)</f>
        <v>1</v>
      </c>
      <c r="O229" s="21">
        <f t="shared" si="24"/>
        <v>319985562.36722702</v>
      </c>
      <c r="P229" s="21">
        <f t="shared" si="25"/>
        <v>318697135.86365199</v>
      </c>
      <c r="Q229" s="21">
        <f>P229*Calculation_Assumptions!$B$14*J229*K229</f>
        <v>0</v>
      </c>
      <c r="R229" s="21">
        <f t="shared" si="26"/>
        <v>11231493.239089668</v>
      </c>
      <c r="S229" s="21">
        <f t="shared" si="27"/>
        <v>11231493.239089668</v>
      </c>
      <c r="T229" s="32">
        <f>1/(1+Calculation_Assumptions!$B$8)^(B229-Calculation_Assumptions!$B$2)</f>
        <v>0.57028602681192497</v>
      </c>
      <c r="U229" s="21">
        <f t="shared" si="28"/>
        <v>0</v>
      </c>
      <c r="V229" s="21">
        <f t="shared" si="29"/>
        <v>6405163.6544854445</v>
      </c>
      <c r="W229" s="21">
        <f t="shared" si="30"/>
        <v>6405163.6544854445</v>
      </c>
      <c r="X229">
        <v>0</v>
      </c>
      <c r="Y229" s="18">
        <v>2017</v>
      </c>
      <c r="Z229" t="s">
        <v>264</v>
      </c>
      <c r="AA229" s="21">
        <f t="shared" si="31"/>
        <v>1</v>
      </c>
    </row>
    <row r="230" spans="1:27">
      <c r="A230" t="s">
        <v>76</v>
      </c>
      <c r="B230" s="18">
        <v>2045</v>
      </c>
      <c r="C230" t="s">
        <v>193</v>
      </c>
      <c r="D230" s="20" t="s">
        <v>343</v>
      </c>
      <c r="E230" s="20" t="s">
        <v>344</v>
      </c>
      <c r="F230" s="20" t="s">
        <v>197</v>
      </c>
      <c r="G230" s="20" t="s">
        <v>336</v>
      </c>
      <c r="H230" s="20" t="s">
        <v>338</v>
      </c>
      <c r="I230" s="29">
        <v>1</v>
      </c>
      <c r="J230" s="30">
        <v>1</v>
      </c>
      <c r="K230" s="31">
        <v>3.5099999999999999E-2</v>
      </c>
      <c r="L230" s="9">
        <v>320960972.38609999</v>
      </c>
      <c r="M230" s="9">
        <v>319717840.85179001</v>
      </c>
      <c r="N230" s="32">
        <f>MIN(MAX((B230-Calculation_Assumptions!$B$5+1)/Calculation_Assumptions!$B$7,0),1)</f>
        <v>1</v>
      </c>
      <c r="O230" s="21">
        <f t="shared" si="24"/>
        <v>320960972.38609999</v>
      </c>
      <c r="P230" s="21">
        <f t="shared" si="25"/>
        <v>319717840.85179001</v>
      </c>
      <c r="Q230" s="21">
        <f>P230*Calculation_Assumptions!$B$14*J230*K230</f>
        <v>0</v>
      </c>
      <c r="R230" s="21">
        <f t="shared" si="26"/>
        <v>11265730.130752109</v>
      </c>
      <c r="S230" s="21">
        <f t="shared" si="27"/>
        <v>11265730.130752109</v>
      </c>
      <c r="T230" s="32">
        <f>1/(1+Calculation_Assumptions!$B$8)^(B230-Calculation_Assumptions!$B$2)</f>
        <v>0.55367575418633497</v>
      </c>
      <c r="U230" s="21">
        <f t="shared" si="28"/>
        <v>0</v>
      </c>
      <c r="V230" s="21">
        <f t="shared" si="29"/>
        <v>6237561.6266038921</v>
      </c>
      <c r="W230" s="21">
        <f t="shared" si="30"/>
        <v>6237561.6266038921</v>
      </c>
      <c r="X230">
        <v>0</v>
      </c>
      <c r="Y230" s="18">
        <v>2017</v>
      </c>
      <c r="Z230" t="s">
        <v>264</v>
      </c>
      <c r="AA230" s="21">
        <f t="shared" si="31"/>
        <v>1</v>
      </c>
    </row>
    <row r="231" spans="1:27">
      <c r="A231" t="s">
        <v>76</v>
      </c>
      <c r="B231" s="18">
        <v>2046</v>
      </c>
      <c r="C231" t="s">
        <v>193</v>
      </c>
      <c r="D231" s="20" t="s">
        <v>343</v>
      </c>
      <c r="E231" s="20" t="s">
        <v>344</v>
      </c>
      <c r="F231" s="20" t="s">
        <v>197</v>
      </c>
      <c r="G231" s="20" t="s">
        <v>336</v>
      </c>
      <c r="H231" s="20" t="s">
        <v>338</v>
      </c>
      <c r="I231" s="29">
        <v>1</v>
      </c>
      <c r="J231" s="30">
        <v>1</v>
      </c>
      <c r="K231" s="31">
        <v>3.5099999999999999E-2</v>
      </c>
      <c r="L231" s="9">
        <v>322053582.24950999</v>
      </c>
      <c r="M231" s="9">
        <v>320683879.80627602</v>
      </c>
      <c r="N231" s="32">
        <f>MIN(MAX((B231-Calculation_Assumptions!$B$5+1)/Calculation_Assumptions!$B$7,0),1)</f>
        <v>1</v>
      </c>
      <c r="O231" s="21">
        <f t="shared" si="24"/>
        <v>322053582.24950999</v>
      </c>
      <c r="P231" s="21">
        <f t="shared" si="25"/>
        <v>320683879.80627602</v>
      </c>
      <c r="Q231" s="21">
        <f>P231*Calculation_Assumptions!$B$14*J231*K231</f>
        <v>0</v>
      </c>
      <c r="R231" s="21">
        <f t="shared" si="26"/>
        <v>11304080.7369578</v>
      </c>
      <c r="S231" s="21">
        <f t="shared" si="27"/>
        <v>11304080.7369578</v>
      </c>
      <c r="T231" s="32">
        <f>1/(1+Calculation_Assumptions!$B$8)^(B231-Calculation_Assumptions!$B$2)</f>
        <v>0.5375492759090631</v>
      </c>
      <c r="U231" s="21">
        <f t="shared" si="28"/>
        <v>0</v>
      </c>
      <c r="V231" s="21">
        <f t="shared" si="29"/>
        <v>6076500.4149692534</v>
      </c>
      <c r="W231" s="21">
        <f t="shared" si="30"/>
        <v>6076500.4149692534</v>
      </c>
      <c r="X231">
        <v>0</v>
      </c>
      <c r="Y231" s="18">
        <v>2017</v>
      </c>
      <c r="Z231" t="s">
        <v>264</v>
      </c>
      <c r="AA231" s="21">
        <f t="shared" si="31"/>
        <v>1</v>
      </c>
    </row>
    <row r="232" spans="1:27">
      <c r="A232" t="s">
        <v>76</v>
      </c>
      <c r="B232" s="18">
        <v>2047</v>
      </c>
      <c r="C232" t="s">
        <v>193</v>
      </c>
      <c r="D232" s="20" t="s">
        <v>343</v>
      </c>
      <c r="E232" s="20" t="s">
        <v>344</v>
      </c>
      <c r="F232" s="20" t="s">
        <v>197</v>
      </c>
      <c r="G232" s="20" t="s">
        <v>336</v>
      </c>
      <c r="H232" s="20" t="s">
        <v>338</v>
      </c>
      <c r="I232" s="29">
        <v>1</v>
      </c>
      <c r="J232" s="30">
        <v>1</v>
      </c>
      <c r="K232" s="31">
        <v>3.5099999999999999E-2</v>
      </c>
      <c r="L232" s="9">
        <v>323093320.95173001</v>
      </c>
      <c r="M232" s="9">
        <v>321595541.38952601</v>
      </c>
      <c r="N232" s="32">
        <f>MIN(MAX((B232-Calculation_Assumptions!$B$5+1)/Calculation_Assumptions!$B$7,0),1)</f>
        <v>1</v>
      </c>
      <c r="O232" s="21">
        <f t="shared" si="24"/>
        <v>323093320.95173001</v>
      </c>
      <c r="P232" s="21">
        <f t="shared" si="25"/>
        <v>321595541.38952601</v>
      </c>
      <c r="Q232" s="21">
        <f>P232*Calculation_Assumptions!$B$14*J232*K232</f>
        <v>0</v>
      </c>
      <c r="R232" s="21">
        <f t="shared" si="26"/>
        <v>11340575.565405723</v>
      </c>
      <c r="S232" s="21">
        <f t="shared" si="27"/>
        <v>11340575.565405723</v>
      </c>
      <c r="T232" s="32">
        <f>1/(1+Calculation_Assumptions!$B$8)^(B232-Calculation_Assumptions!$B$2)</f>
        <v>0.52189250088258554</v>
      </c>
      <c r="U232" s="21">
        <f t="shared" si="28"/>
        <v>0</v>
      </c>
      <c r="V232" s="21">
        <f t="shared" si="29"/>
        <v>5918561.3432775345</v>
      </c>
      <c r="W232" s="21">
        <f t="shared" si="30"/>
        <v>5918561.3432775345</v>
      </c>
      <c r="X232">
        <v>0</v>
      </c>
      <c r="Y232" s="18">
        <v>2017</v>
      </c>
      <c r="Z232" t="s">
        <v>264</v>
      </c>
      <c r="AA232" s="21">
        <f t="shared" si="31"/>
        <v>1</v>
      </c>
    </row>
    <row r="233" spans="1:27">
      <c r="A233" t="s">
        <v>76</v>
      </c>
      <c r="B233" s="18">
        <v>2048</v>
      </c>
      <c r="C233" t="s">
        <v>193</v>
      </c>
      <c r="D233" s="20" t="s">
        <v>343</v>
      </c>
      <c r="E233" s="20" t="s">
        <v>344</v>
      </c>
      <c r="F233" s="20" t="s">
        <v>197</v>
      </c>
      <c r="G233" s="20" t="s">
        <v>336</v>
      </c>
      <c r="H233" s="20" t="s">
        <v>338</v>
      </c>
      <c r="I233" s="29">
        <v>1</v>
      </c>
      <c r="J233" s="30">
        <v>1</v>
      </c>
      <c r="K233" s="31">
        <v>3.5099999999999999E-2</v>
      </c>
      <c r="L233" s="9">
        <v>324080784.77517301</v>
      </c>
      <c r="M233" s="9">
        <v>322453622.66946399</v>
      </c>
      <c r="N233" s="32">
        <f>MIN(MAX((B233-Calculation_Assumptions!$B$5+1)/Calculation_Assumptions!$B$7,0),1)</f>
        <v>1</v>
      </c>
      <c r="O233" s="21">
        <f t="shared" si="24"/>
        <v>324080784.77517301</v>
      </c>
      <c r="P233" s="21">
        <f t="shared" si="25"/>
        <v>322453622.66946399</v>
      </c>
      <c r="Q233" s="21">
        <f>P233*Calculation_Assumptions!$B$14*J233*K233</f>
        <v>0</v>
      </c>
      <c r="R233" s="21">
        <f t="shared" si="26"/>
        <v>11375235.545608573</v>
      </c>
      <c r="S233" s="21">
        <f t="shared" si="27"/>
        <v>11375235.545608573</v>
      </c>
      <c r="T233" s="32">
        <f>1/(1+Calculation_Assumptions!$B$8)^(B233-Calculation_Assumptions!$B$2)</f>
        <v>0.50669174842969467</v>
      </c>
      <c r="U233" s="21">
        <f t="shared" si="28"/>
        <v>0</v>
      </c>
      <c r="V233" s="21">
        <f t="shared" si="29"/>
        <v>5763737.9874040196</v>
      </c>
      <c r="W233" s="21">
        <f t="shared" si="30"/>
        <v>5763737.9874040196</v>
      </c>
      <c r="X233">
        <v>0</v>
      </c>
      <c r="Y233" s="18">
        <v>2017</v>
      </c>
      <c r="Z233" t="s">
        <v>264</v>
      </c>
      <c r="AA233" s="21">
        <f t="shared" si="31"/>
        <v>1</v>
      </c>
    </row>
    <row r="234" spans="1:27">
      <c r="A234" t="s">
        <v>76</v>
      </c>
      <c r="B234" s="18">
        <v>2049</v>
      </c>
      <c r="C234" t="s">
        <v>193</v>
      </c>
      <c r="D234" s="20" t="s">
        <v>343</v>
      </c>
      <c r="E234" s="20" t="s">
        <v>344</v>
      </c>
      <c r="F234" s="20" t="s">
        <v>197</v>
      </c>
      <c r="G234" s="20" t="s">
        <v>336</v>
      </c>
      <c r="H234" s="20" t="s">
        <v>338</v>
      </c>
      <c r="I234" s="29">
        <v>1</v>
      </c>
      <c r="J234" s="30">
        <v>1</v>
      </c>
      <c r="K234" s="31">
        <v>3.5099999999999999E-2</v>
      </c>
      <c r="L234" s="9">
        <v>325016726.58335501</v>
      </c>
      <c r="M234" s="9">
        <v>323259246.71671897</v>
      </c>
      <c r="N234" s="32">
        <f>MIN(MAX((B234-Calculation_Assumptions!$B$5+1)/Calculation_Assumptions!$B$7,0),1)</f>
        <v>1</v>
      </c>
      <c r="O234" s="21">
        <f t="shared" si="24"/>
        <v>325016726.58335501</v>
      </c>
      <c r="P234" s="21">
        <f t="shared" si="25"/>
        <v>323259246.71671897</v>
      </c>
      <c r="Q234" s="21">
        <f>P234*Calculation_Assumptions!$B$14*J234*K234</f>
        <v>0</v>
      </c>
      <c r="R234" s="21">
        <f t="shared" si="26"/>
        <v>11408087.103075761</v>
      </c>
      <c r="S234" s="21">
        <f t="shared" si="27"/>
        <v>11408087.103075761</v>
      </c>
      <c r="T234" s="32">
        <f>1/(1+Calculation_Assumptions!$B$8)^(B234-Calculation_Assumptions!$B$2)</f>
        <v>0.49193373633950943</v>
      </c>
      <c r="U234" s="21">
        <f t="shared" si="28"/>
        <v>0</v>
      </c>
      <c r="V234" s="21">
        <f t="shared" si="29"/>
        <v>5612022.9131026296</v>
      </c>
      <c r="W234" s="21">
        <f t="shared" si="30"/>
        <v>5612022.9131026296</v>
      </c>
      <c r="X234">
        <v>0</v>
      </c>
      <c r="Y234" s="18">
        <v>2017</v>
      </c>
      <c r="Z234" t="s">
        <v>264</v>
      </c>
      <c r="AA234" s="21">
        <f t="shared" si="31"/>
        <v>1</v>
      </c>
    </row>
    <row r="235" spans="1:27">
      <c r="A235" t="s">
        <v>76</v>
      </c>
      <c r="B235" s="18">
        <v>2050</v>
      </c>
      <c r="C235" t="s">
        <v>193</v>
      </c>
      <c r="D235" s="20" t="s">
        <v>343</v>
      </c>
      <c r="E235" s="20" t="s">
        <v>344</v>
      </c>
      <c r="F235" s="20" t="s">
        <v>197</v>
      </c>
      <c r="G235" s="20" t="s">
        <v>336</v>
      </c>
      <c r="H235" s="20" t="s">
        <v>338</v>
      </c>
      <c r="I235" s="29">
        <v>1</v>
      </c>
      <c r="J235" s="30">
        <v>1</v>
      </c>
      <c r="K235" s="31">
        <v>3.5099999999999999E-2</v>
      </c>
      <c r="L235" s="9">
        <v>325902090.73091602</v>
      </c>
      <c r="M235" s="9">
        <v>324013738.18247902</v>
      </c>
      <c r="N235" s="32">
        <f>MIN(MAX((B235-Calculation_Assumptions!$B$5+1)/Calculation_Assumptions!$B$7,0),1)</f>
        <v>1</v>
      </c>
      <c r="O235" s="21">
        <f t="shared" si="24"/>
        <v>325902090.73091602</v>
      </c>
      <c r="P235" s="21">
        <f t="shared" si="25"/>
        <v>324013738.18247902</v>
      </c>
      <c r="Q235" s="21">
        <f>P235*Calculation_Assumptions!$B$14*J235*K235</f>
        <v>0</v>
      </c>
      <c r="R235" s="21">
        <f t="shared" si="26"/>
        <v>11439163.384655152</v>
      </c>
      <c r="S235" s="21">
        <f t="shared" si="27"/>
        <v>11439163.384655152</v>
      </c>
      <c r="T235" s="32">
        <f>1/(1+Calculation_Assumptions!$B$8)^(B235-Calculation_Assumptions!$B$2)</f>
        <v>0.47760556926165965</v>
      </c>
      <c r="U235" s="21">
        <f t="shared" si="28"/>
        <v>0</v>
      </c>
      <c r="V235" s="21">
        <f t="shared" si="29"/>
        <v>5463408.1402053572</v>
      </c>
      <c r="W235" s="21">
        <f t="shared" si="30"/>
        <v>5463408.1402053572</v>
      </c>
      <c r="X235">
        <v>0</v>
      </c>
      <c r="Y235" s="18">
        <v>2017</v>
      </c>
      <c r="Z235" t="s">
        <v>264</v>
      </c>
      <c r="AA235" s="21">
        <f t="shared" si="31"/>
        <v>1</v>
      </c>
    </row>
    <row r="236" spans="1:27">
      <c r="A236" t="s">
        <v>76</v>
      </c>
      <c r="B236" s="18">
        <v>2025</v>
      </c>
      <c r="C236" t="s">
        <v>201</v>
      </c>
      <c r="D236" s="20" t="s">
        <v>345</v>
      </c>
      <c r="E236" s="20" t="s">
        <v>346</v>
      </c>
      <c r="F236" s="20" t="s">
        <v>207</v>
      </c>
      <c r="G236" s="20" t="s">
        <v>336</v>
      </c>
      <c r="H236" s="20" t="s">
        <v>338</v>
      </c>
      <c r="I236" s="29">
        <v>1</v>
      </c>
      <c r="J236" s="30">
        <v>1</v>
      </c>
      <c r="K236" s="31">
        <v>4.0000000000000001E-3</v>
      </c>
      <c r="L236" s="9">
        <v>288000821.106462</v>
      </c>
      <c r="M236" s="9">
        <v>288000821.106462</v>
      </c>
      <c r="N236" s="32">
        <f>MIN(MAX((B236-Calculation_Assumptions!$B$5+1)/Calculation_Assumptions!$B$7,0),1)</f>
        <v>0</v>
      </c>
      <c r="O236" s="21">
        <f t="shared" si="24"/>
        <v>288000821.106462</v>
      </c>
      <c r="P236" s="21">
        <f t="shared" si="25"/>
        <v>288000821.106462</v>
      </c>
      <c r="Q236" s="21">
        <f>P236*Calculation_Assumptions!$B$14*J236*K236</f>
        <v>0</v>
      </c>
      <c r="R236" s="21">
        <f t="shared" si="26"/>
        <v>0</v>
      </c>
      <c r="S236" s="21">
        <f t="shared" si="27"/>
        <v>0</v>
      </c>
      <c r="T236" s="32">
        <f>1/(1+Calculation_Assumptions!$B$8)^(B236-Calculation_Assumptions!$B$2)</f>
        <v>1</v>
      </c>
      <c r="U236" s="21">
        <f t="shared" si="28"/>
        <v>0</v>
      </c>
      <c r="V236" s="21">
        <f t="shared" si="29"/>
        <v>0</v>
      </c>
      <c r="W236" s="21">
        <f t="shared" si="30"/>
        <v>0</v>
      </c>
      <c r="X236">
        <v>0</v>
      </c>
      <c r="Y236" s="18">
        <v>2017</v>
      </c>
      <c r="Z236" t="s">
        <v>264</v>
      </c>
      <c r="AA236" s="21">
        <f t="shared" si="31"/>
        <v>1</v>
      </c>
    </row>
    <row r="237" spans="1:27">
      <c r="A237" t="s">
        <v>76</v>
      </c>
      <c r="B237" s="18">
        <v>2026</v>
      </c>
      <c r="C237" t="s">
        <v>201</v>
      </c>
      <c r="D237" s="20" t="s">
        <v>345</v>
      </c>
      <c r="E237" s="20" t="s">
        <v>346</v>
      </c>
      <c r="F237" s="20" t="s">
        <v>207</v>
      </c>
      <c r="G237" s="20" t="s">
        <v>336</v>
      </c>
      <c r="H237" s="20" t="s">
        <v>338</v>
      </c>
      <c r="I237" s="29">
        <v>1</v>
      </c>
      <c r="J237" s="30">
        <v>1</v>
      </c>
      <c r="K237" s="31">
        <v>4.0000000000000001E-3</v>
      </c>
      <c r="L237" s="9">
        <v>290123496.10321897</v>
      </c>
      <c r="M237" s="9">
        <v>290123496.10321897</v>
      </c>
      <c r="N237" s="32">
        <f>MIN(MAX((B237-Calculation_Assumptions!$B$5+1)/Calculation_Assumptions!$B$7,0),1)</f>
        <v>0.33333333333333331</v>
      </c>
      <c r="O237" s="21">
        <f t="shared" si="24"/>
        <v>290123496.10321897</v>
      </c>
      <c r="P237" s="21">
        <f t="shared" si="25"/>
        <v>290123496.10321897</v>
      </c>
      <c r="Q237" s="21">
        <f>P237*Calculation_Assumptions!$B$14*J237*K237</f>
        <v>0</v>
      </c>
      <c r="R237" s="21">
        <f t="shared" si="26"/>
        <v>386831.3281376253</v>
      </c>
      <c r="S237" s="21">
        <f t="shared" si="27"/>
        <v>386831.3281376253</v>
      </c>
      <c r="T237" s="32">
        <f>1/(1+Calculation_Assumptions!$B$8)^(B237-Calculation_Assumptions!$B$2)</f>
        <v>0.970873786407767</v>
      </c>
      <c r="U237" s="21">
        <f t="shared" si="28"/>
        <v>0</v>
      </c>
      <c r="V237" s="21">
        <f t="shared" si="29"/>
        <v>375564.39625012164</v>
      </c>
      <c r="W237" s="21">
        <f t="shared" si="30"/>
        <v>375564.39625012164</v>
      </c>
      <c r="X237">
        <v>0</v>
      </c>
      <c r="Y237" s="18">
        <v>2017</v>
      </c>
      <c r="Z237" t="s">
        <v>264</v>
      </c>
      <c r="AA237" s="21">
        <f t="shared" si="31"/>
        <v>1</v>
      </c>
    </row>
    <row r="238" spans="1:27">
      <c r="A238" t="s">
        <v>76</v>
      </c>
      <c r="B238" s="18">
        <v>2027</v>
      </c>
      <c r="C238" t="s">
        <v>201</v>
      </c>
      <c r="D238" s="20" t="s">
        <v>345</v>
      </c>
      <c r="E238" s="20" t="s">
        <v>346</v>
      </c>
      <c r="F238" s="20" t="s">
        <v>207</v>
      </c>
      <c r="G238" s="20" t="s">
        <v>336</v>
      </c>
      <c r="H238" s="20" t="s">
        <v>338</v>
      </c>
      <c r="I238" s="29">
        <v>1</v>
      </c>
      <c r="J238" s="30">
        <v>1</v>
      </c>
      <c r="K238" s="31">
        <v>4.0000000000000001E-3</v>
      </c>
      <c r="L238" s="9">
        <v>292252895.09695601</v>
      </c>
      <c r="M238" s="9">
        <v>292252895.09695601</v>
      </c>
      <c r="N238" s="32">
        <f>MIN(MAX((B238-Calculation_Assumptions!$B$5+1)/Calculation_Assumptions!$B$7,0),1)</f>
        <v>0.66666666666666663</v>
      </c>
      <c r="O238" s="21">
        <f t="shared" si="24"/>
        <v>292252895.09695601</v>
      </c>
      <c r="P238" s="21">
        <f t="shared" si="25"/>
        <v>292252895.09695601</v>
      </c>
      <c r="Q238" s="21">
        <f>P238*Calculation_Assumptions!$B$14*J238*K238</f>
        <v>0</v>
      </c>
      <c r="R238" s="21">
        <f t="shared" si="26"/>
        <v>779341.05359188269</v>
      </c>
      <c r="S238" s="21">
        <f t="shared" si="27"/>
        <v>779341.05359188269</v>
      </c>
      <c r="T238" s="32">
        <f>1/(1+Calculation_Assumptions!$B$8)^(B238-Calculation_Assumptions!$B$2)</f>
        <v>0.94259590913375435</v>
      </c>
      <c r="U238" s="21">
        <f t="shared" si="28"/>
        <v>0</v>
      </c>
      <c r="V238" s="21">
        <f t="shared" si="29"/>
        <v>734603.68893569859</v>
      </c>
      <c r="W238" s="21">
        <f t="shared" si="30"/>
        <v>734603.68893569859</v>
      </c>
      <c r="X238">
        <v>0</v>
      </c>
      <c r="Y238" s="18">
        <v>2017</v>
      </c>
      <c r="Z238" t="s">
        <v>264</v>
      </c>
      <c r="AA238" s="21">
        <f t="shared" si="31"/>
        <v>1</v>
      </c>
    </row>
    <row r="239" spans="1:27">
      <c r="A239" t="s">
        <v>76</v>
      </c>
      <c r="B239" s="18">
        <v>2028</v>
      </c>
      <c r="C239" t="s">
        <v>201</v>
      </c>
      <c r="D239" s="20" t="s">
        <v>345</v>
      </c>
      <c r="E239" s="20" t="s">
        <v>346</v>
      </c>
      <c r="F239" s="20" t="s">
        <v>207</v>
      </c>
      <c r="G239" s="20" t="s">
        <v>336</v>
      </c>
      <c r="H239" s="20" t="s">
        <v>338</v>
      </c>
      <c r="I239" s="29">
        <v>1</v>
      </c>
      <c r="J239" s="30">
        <v>1</v>
      </c>
      <c r="K239" s="31">
        <v>4.0000000000000001E-3</v>
      </c>
      <c r="L239" s="9">
        <v>294318750.70606601</v>
      </c>
      <c r="M239" s="9">
        <v>294314895.30546498</v>
      </c>
      <c r="N239" s="32">
        <f>MIN(MAX((B239-Calculation_Assumptions!$B$5+1)/Calculation_Assumptions!$B$7,0),1)</f>
        <v>1</v>
      </c>
      <c r="O239" s="21">
        <f t="shared" si="24"/>
        <v>294318750.70606601</v>
      </c>
      <c r="P239" s="21">
        <f t="shared" si="25"/>
        <v>294314895.30546498</v>
      </c>
      <c r="Q239" s="21">
        <f>P239*Calculation_Assumptions!$B$14*J239*K239</f>
        <v>0</v>
      </c>
      <c r="R239" s="21">
        <f t="shared" si="26"/>
        <v>1177275.0028242641</v>
      </c>
      <c r="S239" s="21">
        <f t="shared" si="27"/>
        <v>1177275.0028242641</v>
      </c>
      <c r="T239" s="32">
        <f>1/(1+Calculation_Assumptions!$B$8)^(B239-Calculation_Assumptions!$B$2)</f>
        <v>0.91514165935315961</v>
      </c>
      <c r="U239" s="21">
        <f t="shared" si="28"/>
        <v>0</v>
      </c>
      <c r="V239" s="21">
        <f t="shared" si="29"/>
        <v>1077373.3995995927</v>
      </c>
      <c r="W239" s="21">
        <f t="shared" si="30"/>
        <v>1077373.3995995927</v>
      </c>
      <c r="X239">
        <v>0</v>
      </c>
      <c r="Y239" s="18">
        <v>2017</v>
      </c>
      <c r="Z239" t="s">
        <v>264</v>
      </c>
      <c r="AA239" s="21">
        <f t="shared" si="31"/>
        <v>1</v>
      </c>
    </row>
    <row r="240" spans="1:27">
      <c r="A240" t="s">
        <v>76</v>
      </c>
      <c r="B240" s="18">
        <v>2029</v>
      </c>
      <c r="C240" t="s">
        <v>201</v>
      </c>
      <c r="D240" s="20" t="s">
        <v>345</v>
      </c>
      <c r="E240" s="20" t="s">
        <v>346</v>
      </c>
      <c r="F240" s="20" t="s">
        <v>207</v>
      </c>
      <c r="G240" s="20" t="s">
        <v>336</v>
      </c>
      <c r="H240" s="20" t="s">
        <v>338</v>
      </c>
      <c r="I240" s="29">
        <v>1</v>
      </c>
      <c r="J240" s="30">
        <v>1</v>
      </c>
      <c r="K240" s="31">
        <v>4.0000000000000001E-3</v>
      </c>
      <c r="L240" s="9">
        <v>296356322.26615602</v>
      </c>
      <c r="M240" s="9">
        <v>296341062.542853</v>
      </c>
      <c r="N240" s="32">
        <f>MIN(MAX((B240-Calculation_Assumptions!$B$5+1)/Calculation_Assumptions!$B$7,0),1)</f>
        <v>1</v>
      </c>
      <c r="O240" s="21">
        <f t="shared" si="24"/>
        <v>296356322.26615602</v>
      </c>
      <c r="P240" s="21">
        <f t="shared" si="25"/>
        <v>296341062.542853</v>
      </c>
      <c r="Q240" s="21">
        <f>P240*Calculation_Assumptions!$B$14*J240*K240</f>
        <v>0</v>
      </c>
      <c r="R240" s="21">
        <f t="shared" si="26"/>
        <v>1185425.2890646241</v>
      </c>
      <c r="S240" s="21">
        <f t="shared" si="27"/>
        <v>1185425.2890646241</v>
      </c>
      <c r="T240" s="32">
        <f>1/(1+Calculation_Assumptions!$B$8)^(B240-Calculation_Assumptions!$B$2)</f>
        <v>0.888487047915689</v>
      </c>
      <c r="U240" s="21">
        <f t="shared" si="28"/>
        <v>0</v>
      </c>
      <c r="V240" s="21">
        <f t="shared" si="29"/>
        <v>1053235.0156056301</v>
      </c>
      <c r="W240" s="21">
        <f t="shared" si="30"/>
        <v>1053235.0156056301</v>
      </c>
      <c r="X240">
        <v>0</v>
      </c>
      <c r="Y240" s="18">
        <v>2017</v>
      </c>
      <c r="Z240" t="s">
        <v>264</v>
      </c>
      <c r="AA240" s="21">
        <f t="shared" si="31"/>
        <v>1</v>
      </c>
    </row>
    <row r="241" spans="1:27">
      <c r="A241" t="s">
        <v>76</v>
      </c>
      <c r="B241" s="18">
        <v>2030</v>
      </c>
      <c r="C241" t="s">
        <v>201</v>
      </c>
      <c r="D241" s="20" t="s">
        <v>345</v>
      </c>
      <c r="E241" s="20" t="s">
        <v>346</v>
      </c>
      <c r="F241" s="20" t="s">
        <v>207</v>
      </c>
      <c r="G241" s="20" t="s">
        <v>336</v>
      </c>
      <c r="H241" s="20" t="s">
        <v>338</v>
      </c>
      <c r="I241" s="29">
        <v>1</v>
      </c>
      <c r="J241" s="30">
        <v>1</v>
      </c>
      <c r="K241" s="31">
        <v>4.0000000000000001E-3</v>
      </c>
      <c r="L241" s="9">
        <v>298317004.67873597</v>
      </c>
      <c r="M241" s="9">
        <v>298280286.05726302</v>
      </c>
      <c r="N241" s="32">
        <f>MIN(MAX((B241-Calculation_Assumptions!$B$5+1)/Calculation_Assumptions!$B$7,0),1)</f>
        <v>1</v>
      </c>
      <c r="O241" s="21">
        <f t="shared" si="24"/>
        <v>298317004.67873597</v>
      </c>
      <c r="P241" s="21">
        <f t="shared" si="25"/>
        <v>298280286.05726302</v>
      </c>
      <c r="Q241" s="21">
        <f>P241*Calculation_Assumptions!$B$14*J241*K241</f>
        <v>0</v>
      </c>
      <c r="R241" s="21">
        <f t="shared" si="26"/>
        <v>1193268.0187149439</v>
      </c>
      <c r="S241" s="21">
        <f t="shared" si="27"/>
        <v>1193268.0187149439</v>
      </c>
      <c r="T241" s="32">
        <f>1/(1+Calculation_Assumptions!$B$8)^(B241-Calculation_Assumptions!$B$2)</f>
        <v>0.86260878438416411</v>
      </c>
      <c r="U241" s="21">
        <f t="shared" si="28"/>
        <v>0</v>
      </c>
      <c r="V241" s="21">
        <f t="shared" si="29"/>
        <v>1029323.4750681977</v>
      </c>
      <c r="W241" s="21">
        <f t="shared" si="30"/>
        <v>1029323.4750681977</v>
      </c>
      <c r="X241">
        <v>0</v>
      </c>
      <c r="Y241" s="18">
        <v>2017</v>
      </c>
      <c r="Z241" t="s">
        <v>264</v>
      </c>
      <c r="AA241" s="21">
        <f t="shared" si="31"/>
        <v>1</v>
      </c>
    </row>
    <row r="242" spans="1:27">
      <c r="A242" t="s">
        <v>76</v>
      </c>
      <c r="B242" s="18">
        <v>2031</v>
      </c>
      <c r="C242" t="s">
        <v>201</v>
      </c>
      <c r="D242" s="20" t="s">
        <v>345</v>
      </c>
      <c r="E242" s="20" t="s">
        <v>346</v>
      </c>
      <c r="F242" s="20" t="s">
        <v>207</v>
      </c>
      <c r="G242" s="20" t="s">
        <v>336</v>
      </c>
      <c r="H242" s="20" t="s">
        <v>338</v>
      </c>
      <c r="I242" s="29">
        <v>1</v>
      </c>
      <c r="J242" s="30">
        <v>1</v>
      </c>
      <c r="K242" s="31">
        <v>4.0000000000000001E-3</v>
      </c>
      <c r="L242" s="9">
        <v>300222863.16561598</v>
      </c>
      <c r="M242" s="9">
        <v>300152603.25478202</v>
      </c>
      <c r="N242" s="32">
        <f>MIN(MAX((B242-Calculation_Assumptions!$B$5+1)/Calculation_Assumptions!$B$7,0),1)</f>
        <v>1</v>
      </c>
      <c r="O242" s="21">
        <f t="shared" si="24"/>
        <v>300222863.16561598</v>
      </c>
      <c r="P242" s="21">
        <f t="shared" si="25"/>
        <v>300152603.25478202</v>
      </c>
      <c r="Q242" s="21">
        <f>P242*Calculation_Assumptions!$B$14*J242*K242</f>
        <v>0</v>
      </c>
      <c r="R242" s="21">
        <f t="shared" si="26"/>
        <v>1200891.452662464</v>
      </c>
      <c r="S242" s="21">
        <f t="shared" si="27"/>
        <v>1200891.452662464</v>
      </c>
      <c r="T242" s="32">
        <f>1/(1+Calculation_Assumptions!$B$8)^(B242-Calculation_Assumptions!$B$2)</f>
        <v>0.83748425668365445</v>
      </c>
      <c r="U242" s="21">
        <f t="shared" si="28"/>
        <v>0</v>
      </c>
      <c r="V242" s="21">
        <f t="shared" si="29"/>
        <v>1005727.6855907777</v>
      </c>
      <c r="W242" s="21">
        <f t="shared" si="30"/>
        <v>1005727.6855907777</v>
      </c>
      <c r="X242">
        <v>0</v>
      </c>
      <c r="Y242" s="18">
        <v>2017</v>
      </c>
      <c r="Z242" t="s">
        <v>264</v>
      </c>
      <c r="AA242" s="21">
        <f t="shared" si="31"/>
        <v>1</v>
      </c>
    </row>
    <row r="243" spans="1:27">
      <c r="A243" t="s">
        <v>76</v>
      </c>
      <c r="B243" s="18">
        <v>2032</v>
      </c>
      <c r="C243" t="s">
        <v>201</v>
      </c>
      <c r="D243" s="20" t="s">
        <v>345</v>
      </c>
      <c r="E243" s="20" t="s">
        <v>346</v>
      </c>
      <c r="F243" s="20" t="s">
        <v>207</v>
      </c>
      <c r="G243" s="20" t="s">
        <v>336</v>
      </c>
      <c r="H243" s="20" t="s">
        <v>338</v>
      </c>
      <c r="I243" s="29">
        <v>1</v>
      </c>
      <c r="J243" s="30">
        <v>1</v>
      </c>
      <c r="K243" s="31">
        <v>4.0000000000000001E-3</v>
      </c>
      <c r="L243" s="9">
        <v>302002258.96739</v>
      </c>
      <c r="M243" s="9">
        <v>301959399.63388801</v>
      </c>
      <c r="N243" s="32">
        <f>MIN(MAX((B243-Calculation_Assumptions!$B$5+1)/Calculation_Assumptions!$B$7,0),1)</f>
        <v>1</v>
      </c>
      <c r="O243" s="21">
        <f t="shared" si="24"/>
        <v>302002258.96739</v>
      </c>
      <c r="P243" s="21">
        <f t="shared" si="25"/>
        <v>301959399.63388801</v>
      </c>
      <c r="Q243" s="21">
        <f>P243*Calculation_Assumptions!$B$14*J243*K243</f>
        <v>0</v>
      </c>
      <c r="R243" s="21">
        <f t="shared" si="26"/>
        <v>1208009.03586956</v>
      </c>
      <c r="S243" s="21">
        <f t="shared" si="27"/>
        <v>1208009.03586956</v>
      </c>
      <c r="T243" s="32">
        <f>1/(1+Calculation_Assumptions!$B$8)^(B243-Calculation_Assumptions!$B$2)</f>
        <v>0.81309151134335378</v>
      </c>
      <c r="U243" s="21">
        <f t="shared" si="28"/>
        <v>0</v>
      </c>
      <c r="V243" s="21">
        <f t="shared" si="29"/>
        <v>982221.89269160817</v>
      </c>
      <c r="W243" s="21">
        <f t="shared" si="30"/>
        <v>982221.89269160817</v>
      </c>
      <c r="X243">
        <v>0</v>
      </c>
      <c r="Y243" s="18">
        <v>2017</v>
      </c>
      <c r="Z243" t="s">
        <v>264</v>
      </c>
      <c r="AA243" s="21">
        <f t="shared" si="31"/>
        <v>1</v>
      </c>
    </row>
    <row r="244" spans="1:27">
      <c r="A244" t="s">
        <v>76</v>
      </c>
      <c r="B244" s="18">
        <v>2033</v>
      </c>
      <c r="C244" t="s">
        <v>201</v>
      </c>
      <c r="D244" s="20" t="s">
        <v>345</v>
      </c>
      <c r="E244" s="20" t="s">
        <v>346</v>
      </c>
      <c r="F244" s="20" t="s">
        <v>207</v>
      </c>
      <c r="G244" s="20" t="s">
        <v>336</v>
      </c>
      <c r="H244" s="20" t="s">
        <v>338</v>
      </c>
      <c r="I244" s="29">
        <v>1</v>
      </c>
      <c r="J244" s="30">
        <v>1</v>
      </c>
      <c r="K244" s="31">
        <v>4.0000000000000001E-3</v>
      </c>
      <c r="L244" s="9">
        <v>303792531.13349903</v>
      </c>
      <c r="M244" s="9">
        <v>303701035.20205098</v>
      </c>
      <c r="N244" s="32">
        <f>MIN(MAX((B244-Calculation_Assumptions!$B$5+1)/Calculation_Assumptions!$B$7,0),1)</f>
        <v>1</v>
      </c>
      <c r="O244" s="21">
        <f t="shared" si="24"/>
        <v>303792531.13349903</v>
      </c>
      <c r="P244" s="21">
        <f t="shared" si="25"/>
        <v>303701035.20205098</v>
      </c>
      <c r="Q244" s="21">
        <f>P244*Calculation_Assumptions!$B$14*J244*K244</f>
        <v>0</v>
      </c>
      <c r="R244" s="21">
        <f t="shared" si="26"/>
        <v>1215170.1245339962</v>
      </c>
      <c r="S244" s="21">
        <f t="shared" si="27"/>
        <v>1215170.1245339962</v>
      </c>
      <c r="T244" s="32">
        <f>1/(1+Calculation_Assumptions!$B$8)^(B244-Calculation_Assumptions!$B$2)</f>
        <v>0.78940923431393573</v>
      </c>
      <c r="U244" s="21">
        <f t="shared" si="28"/>
        <v>0</v>
      </c>
      <c r="V244" s="21">
        <f t="shared" si="29"/>
        <v>959266.51756955183</v>
      </c>
      <c r="W244" s="21">
        <f t="shared" si="30"/>
        <v>959266.51756955183</v>
      </c>
      <c r="X244">
        <v>0</v>
      </c>
      <c r="Y244" s="18">
        <v>2017</v>
      </c>
      <c r="Z244" t="s">
        <v>264</v>
      </c>
      <c r="AA244" s="21">
        <f t="shared" si="31"/>
        <v>1</v>
      </c>
    </row>
    <row r="245" spans="1:27">
      <c r="A245" t="s">
        <v>76</v>
      </c>
      <c r="B245" s="18">
        <v>2034</v>
      </c>
      <c r="C245" t="s">
        <v>201</v>
      </c>
      <c r="D245" s="20" t="s">
        <v>345</v>
      </c>
      <c r="E245" s="20" t="s">
        <v>346</v>
      </c>
      <c r="F245" s="20" t="s">
        <v>207</v>
      </c>
      <c r="G245" s="20" t="s">
        <v>336</v>
      </c>
      <c r="H245" s="20" t="s">
        <v>338</v>
      </c>
      <c r="I245" s="29">
        <v>1</v>
      </c>
      <c r="J245" s="30">
        <v>1</v>
      </c>
      <c r="K245" s="31">
        <v>4.0000000000000001E-3</v>
      </c>
      <c r="L245" s="9">
        <v>305527186.92935503</v>
      </c>
      <c r="M245" s="9">
        <v>305377998.093319</v>
      </c>
      <c r="N245" s="32">
        <f>MIN(MAX((B245-Calculation_Assumptions!$B$5+1)/Calculation_Assumptions!$B$7,0),1)</f>
        <v>1</v>
      </c>
      <c r="O245" s="21">
        <f t="shared" si="24"/>
        <v>305527186.92935503</v>
      </c>
      <c r="P245" s="21">
        <f t="shared" si="25"/>
        <v>305377998.093319</v>
      </c>
      <c r="Q245" s="21">
        <f>P245*Calculation_Assumptions!$B$14*J245*K245</f>
        <v>0</v>
      </c>
      <c r="R245" s="21">
        <f t="shared" si="26"/>
        <v>1222108.7477174201</v>
      </c>
      <c r="S245" s="21">
        <f t="shared" si="27"/>
        <v>1222108.7477174201</v>
      </c>
      <c r="T245" s="32">
        <f>1/(1+Calculation_Assumptions!$B$8)^(B245-Calculation_Assumptions!$B$2)</f>
        <v>0.76641673234362695</v>
      </c>
      <c r="U245" s="21">
        <f t="shared" si="28"/>
        <v>0</v>
      </c>
      <c r="V245" s="21">
        <f t="shared" si="29"/>
        <v>936644.5929941471</v>
      </c>
      <c r="W245" s="21">
        <f t="shared" si="30"/>
        <v>936644.5929941471</v>
      </c>
      <c r="X245">
        <v>0</v>
      </c>
      <c r="Y245" s="18">
        <v>2017</v>
      </c>
      <c r="Z245" t="s">
        <v>264</v>
      </c>
      <c r="AA245" s="21">
        <f t="shared" si="31"/>
        <v>1</v>
      </c>
    </row>
    <row r="246" spans="1:27">
      <c r="A246" t="s">
        <v>76</v>
      </c>
      <c r="B246" s="18">
        <v>2035</v>
      </c>
      <c r="C246" t="s">
        <v>201</v>
      </c>
      <c r="D246" s="20" t="s">
        <v>345</v>
      </c>
      <c r="E246" s="20" t="s">
        <v>346</v>
      </c>
      <c r="F246" s="20" t="s">
        <v>207</v>
      </c>
      <c r="G246" s="20" t="s">
        <v>336</v>
      </c>
      <c r="H246" s="20" t="s">
        <v>338</v>
      </c>
      <c r="I246" s="29">
        <v>1</v>
      </c>
      <c r="J246" s="30">
        <v>1</v>
      </c>
      <c r="K246" s="31">
        <v>4.0000000000000001E-3</v>
      </c>
      <c r="L246" s="9">
        <v>307204550.86510098</v>
      </c>
      <c r="M246" s="9">
        <v>306989258.29407001</v>
      </c>
      <c r="N246" s="32">
        <f>MIN(MAX((B246-Calculation_Assumptions!$B$5+1)/Calculation_Assumptions!$B$7,0),1)</f>
        <v>1</v>
      </c>
      <c r="O246" s="21">
        <f t="shared" si="24"/>
        <v>307204550.86510098</v>
      </c>
      <c r="P246" s="21">
        <f t="shared" si="25"/>
        <v>306989258.29407001</v>
      </c>
      <c r="Q246" s="21">
        <f>P246*Calculation_Assumptions!$B$14*J246*K246</f>
        <v>0</v>
      </c>
      <c r="R246" s="21">
        <f t="shared" si="26"/>
        <v>1228818.203460404</v>
      </c>
      <c r="S246" s="21">
        <f t="shared" si="27"/>
        <v>1228818.203460404</v>
      </c>
      <c r="T246" s="32">
        <f>1/(1+Calculation_Assumptions!$B$8)^(B246-Calculation_Assumptions!$B$2)</f>
        <v>0.74409391489672516</v>
      </c>
      <c r="U246" s="21">
        <f t="shared" si="28"/>
        <v>0</v>
      </c>
      <c r="V246" s="21">
        <f t="shared" si="29"/>
        <v>914356.1477092125</v>
      </c>
      <c r="W246" s="21">
        <f t="shared" si="30"/>
        <v>914356.1477092125</v>
      </c>
      <c r="X246">
        <v>0</v>
      </c>
      <c r="Y246" s="18">
        <v>2017</v>
      </c>
      <c r="Z246" t="s">
        <v>264</v>
      </c>
      <c r="AA246" s="21">
        <f t="shared" si="31"/>
        <v>1</v>
      </c>
    </row>
    <row r="247" spans="1:27">
      <c r="A247" t="s">
        <v>76</v>
      </c>
      <c r="B247" s="18">
        <v>2036</v>
      </c>
      <c r="C247" t="s">
        <v>201</v>
      </c>
      <c r="D247" s="20" t="s">
        <v>345</v>
      </c>
      <c r="E247" s="20" t="s">
        <v>346</v>
      </c>
      <c r="F247" s="20" t="s">
        <v>207</v>
      </c>
      <c r="G247" s="20" t="s">
        <v>336</v>
      </c>
      <c r="H247" s="20" t="s">
        <v>338</v>
      </c>
      <c r="I247" s="29">
        <v>1</v>
      </c>
      <c r="J247" s="30">
        <v>1</v>
      </c>
      <c r="K247" s="31">
        <v>4.0000000000000001E-3</v>
      </c>
      <c r="L247" s="9">
        <v>308826793.60124999</v>
      </c>
      <c r="M247" s="9">
        <v>308537399.67209399</v>
      </c>
      <c r="N247" s="32">
        <f>MIN(MAX((B247-Calculation_Assumptions!$B$5+1)/Calculation_Assumptions!$B$7,0),1)</f>
        <v>1</v>
      </c>
      <c r="O247" s="21">
        <f t="shared" si="24"/>
        <v>308826793.60124999</v>
      </c>
      <c r="P247" s="21">
        <f t="shared" si="25"/>
        <v>308537399.67209399</v>
      </c>
      <c r="Q247" s="21">
        <f>P247*Calculation_Assumptions!$B$14*J247*K247</f>
        <v>0</v>
      </c>
      <c r="R247" s="21">
        <f t="shared" si="26"/>
        <v>1235307.1744049999</v>
      </c>
      <c r="S247" s="21">
        <f t="shared" si="27"/>
        <v>1235307.1744049999</v>
      </c>
      <c r="T247" s="32">
        <f>1/(1+Calculation_Assumptions!$B$8)^(B247-Calculation_Assumptions!$B$2)</f>
        <v>0.72242127659876232</v>
      </c>
      <c r="U247" s="21">
        <f t="shared" si="28"/>
        <v>0</v>
      </c>
      <c r="V247" s="21">
        <f t="shared" si="29"/>
        <v>892412.18592526997</v>
      </c>
      <c r="W247" s="21">
        <f t="shared" si="30"/>
        <v>892412.18592526997</v>
      </c>
      <c r="X247">
        <v>0</v>
      </c>
      <c r="Y247" s="18">
        <v>2017</v>
      </c>
      <c r="Z247" t="s">
        <v>264</v>
      </c>
      <c r="AA247" s="21">
        <f t="shared" si="31"/>
        <v>1</v>
      </c>
    </row>
    <row r="248" spans="1:27">
      <c r="A248" t="s">
        <v>76</v>
      </c>
      <c r="B248" s="18">
        <v>2037</v>
      </c>
      <c r="C248" t="s">
        <v>201</v>
      </c>
      <c r="D248" s="20" t="s">
        <v>345</v>
      </c>
      <c r="E248" s="20" t="s">
        <v>346</v>
      </c>
      <c r="F248" s="20" t="s">
        <v>207</v>
      </c>
      <c r="G248" s="20" t="s">
        <v>336</v>
      </c>
      <c r="H248" s="20" t="s">
        <v>338</v>
      </c>
      <c r="I248" s="29">
        <v>1</v>
      </c>
      <c r="J248" s="30">
        <v>1</v>
      </c>
      <c r="K248" s="31">
        <v>4.0000000000000001E-3</v>
      </c>
      <c r="L248" s="9">
        <v>310394148.51148498</v>
      </c>
      <c r="M248" s="9">
        <v>310023120.39347202</v>
      </c>
      <c r="N248" s="32">
        <f>MIN(MAX((B248-Calculation_Assumptions!$B$5+1)/Calculation_Assumptions!$B$7,0),1)</f>
        <v>1</v>
      </c>
      <c r="O248" s="21">
        <f t="shared" si="24"/>
        <v>310394148.51148498</v>
      </c>
      <c r="P248" s="21">
        <f t="shared" si="25"/>
        <v>310023120.39347202</v>
      </c>
      <c r="Q248" s="21">
        <f>P248*Calculation_Assumptions!$B$14*J248*K248</f>
        <v>0</v>
      </c>
      <c r="R248" s="21">
        <f t="shared" si="26"/>
        <v>1241576.5940459399</v>
      </c>
      <c r="S248" s="21">
        <f t="shared" si="27"/>
        <v>1241576.5940459399</v>
      </c>
      <c r="T248" s="32">
        <f>1/(1+Calculation_Assumptions!$B$8)^(B248-Calculation_Assumptions!$B$2)</f>
        <v>0.70137988019297326</v>
      </c>
      <c r="U248" s="21">
        <f t="shared" si="28"/>
        <v>0</v>
      </c>
      <c r="V248" s="21">
        <f t="shared" si="29"/>
        <v>870816.84278234106</v>
      </c>
      <c r="W248" s="21">
        <f t="shared" si="30"/>
        <v>870816.84278234106</v>
      </c>
      <c r="X248">
        <v>0</v>
      </c>
      <c r="Y248" s="18">
        <v>2017</v>
      </c>
      <c r="Z248" t="s">
        <v>264</v>
      </c>
      <c r="AA248" s="21">
        <f t="shared" si="31"/>
        <v>1</v>
      </c>
    </row>
    <row r="249" spans="1:27">
      <c r="A249" t="s">
        <v>76</v>
      </c>
      <c r="B249" s="18">
        <v>2038</v>
      </c>
      <c r="C249" t="s">
        <v>201</v>
      </c>
      <c r="D249" s="20" t="s">
        <v>345</v>
      </c>
      <c r="E249" s="20" t="s">
        <v>346</v>
      </c>
      <c r="F249" s="20" t="s">
        <v>207</v>
      </c>
      <c r="G249" s="20" t="s">
        <v>336</v>
      </c>
      <c r="H249" s="20" t="s">
        <v>338</v>
      </c>
      <c r="I249" s="29">
        <v>1</v>
      </c>
      <c r="J249" s="30">
        <v>1</v>
      </c>
      <c r="K249" s="31">
        <v>4.0000000000000001E-3</v>
      </c>
      <c r="L249" s="9">
        <v>311906222.57839799</v>
      </c>
      <c r="M249" s="9">
        <v>311445837.13462502</v>
      </c>
      <c r="N249" s="32">
        <f>MIN(MAX((B249-Calculation_Assumptions!$B$5+1)/Calculation_Assumptions!$B$7,0),1)</f>
        <v>1</v>
      </c>
      <c r="O249" s="21">
        <f t="shared" si="24"/>
        <v>311906222.57839799</v>
      </c>
      <c r="P249" s="21">
        <f t="shared" si="25"/>
        <v>311445837.13462502</v>
      </c>
      <c r="Q249" s="21">
        <f>P249*Calculation_Assumptions!$B$14*J249*K249</f>
        <v>0</v>
      </c>
      <c r="R249" s="21">
        <f t="shared" si="26"/>
        <v>1247624.890313592</v>
      </c>
      <c r="S249" s="21">
        <f t="shared" si="27"/>
        <v>1247624.890313592</v>
      </c>
      <c r="T249" s="32">
        <f>1/(1+Calculation_Assumptions!$B$8)^(B249-Calculation_Assumptions!$B$2)</f>
        <v>0.68095133999317792</v>
      </c>
      <c r="U249" s="21">
        <f t="shared" si="28"/>
        <v>0</v>
      </c>
      <c r="V249" s="21">
        <f t="shared" si="29"/>
        <v>849571.84086788213</v>
      </c>
      <c r="W249" s="21">
        <f t="shared" si="30"/>
        <v>849571.84086788213</v>
      </c>
      <c r="X249">
        <v>0</v>
      </c>
      <c r="Y249" s="18">
        <v>2017</v>
      </c>
      <c r="Z249" t="s">
        <v>264</v>
      </c>
      <c r="AA249" s="21">
        <f t="shared" si="31"/>
        <v>1</v>
      </c>
    </row>
    <row r="250" spans="1:27">
      <c r="A250" t="s">
        <v>76</v>
      </c>
      <c r="B250" s="18">
        <v>2039</v>
      </c>
      <c r="C250" t="s">
        <v>201</v>
      </c>
      <c r="D250" s="20" t="s">
        <v>345</v>
      </c>
      <c r="E250" s="20" t="s">
        <v>346</v>
      </c>
      <c r="F250" s="20" t="s">
        <v>207</v>
      </c>
      <c r="G250" s="20" t="s">
        <v>336</v>
      </c>
      <c r="H250" s="20" t="s">
        <v>338</v>
      </c>
      <c r="I250" s="29">
        <v>1</v>
      </c>
      <c r="J250" s="30">
        <v>1</v>
      </c>
      <c r="K250" s="31">
        <v>4.0000000000000001E-3</v>
      </c>
      <c r="L250" s="9">
        <v>313363821.52061498</v>
      </c>
      <c r="M250" s="9">
        <v>312806989.71568501</v>
      </c>
      <c r="N250" s="32">
        <f>MIN(MAX((B250-Calculation_Assumptions!$B$5+1)/Calculation_Assumptions!$B$7,0),1)</f>
        <v>1</v>
      </c>
      <c r="O250" s="21">
        <f t="shared" si="24"/>
        <v>313363821.52061498</v>
      </c>
      <c r="P250" s="21">
        <f t="shared" si="25"/>
        <v>312806989.71568501</v>
      </c>
      <c r="Q250" s="21">
        <f>P250*Calculation_Assumptions!$B$14*J250*K250</f>
        <v>0</v>
      </c>
      <c r="R250" s="21">
        <f t="shared" si="26"/>
        <v>1253455.2860824598</v>
      </c>
      <c r="S250" s="21">
        <f t="shared" si="27"/>
        <v>1253455.2860824598</v>
      </c>
      <c r="T250" s="32">
        <f>1/(1+Calculation_Assumptions!$B$8)^(B250-Calculation_Assumptions!$B$2)</f>
        <v>0.66111780581861923</v>
      </c>
      <c r="U250" s="21">
        <f t="shared" si="28"/>
        <v>0</v>
      </c>
      <c r="V250" s="21">
        <f t="shared" si="29"/>
        <v>828681.60842658556</v>
      </c>
      <c r="W250" s="21">
        <f t="shared" si="30"/>
        <v>828681.60842658556</v>
      </c>
      <c r="X250">
        <v>0</v>
      </c>
      <c r="Y250" s="18">
        <v>2017</v>
      </c>
      <c r="Z250" t="s">
        <v>264</v>
      </c>
      <c r="AA250" s="21">
        <f t="shared" si="31"/>
        <v>1</v>
      </c>
    </row>
    <row r="251" spans="1:27">
      <c r="A251" t="s">
        <v>76</v>
      </c>
      <c r="B251" s="18">
        <v>2040</v>
      </c>
      <c r="C251" t="s">
        <v>201</v>
      </c>
      <c r="D251" s="20" t="s">
        <v>345</v>
      </c>
      <c r="E251" s="20" t="s">
        <v>346</v>
      </c>
      <c r="F251" s="20" t="s">
        <v>207</v>
      </c>
      <c r="G251" s="20" t="s">
        <v>336</v>
      </c>
      <c r="H251" s="20" t="s">
        <v>338</v>
      </c>
      <c r="I251" s="29">
        <v>1</v>
      </c>
      <c r="J251" s="30">
        <v>1</v>
      </c>
      <c r="K251" s="31">
        <v>4.0000000000000001E-3</v>
      </c>
      <c r="L251" s="9">
        <v>314768783.15463299</v>
      </c>
      <c r="M251" s="9">
        <v>314109251.58264899</v>
      </c>
      <c r="N251" s="32">
        <f>MIN(MAX((B251-Calculation_Assumptions!$B$5+1)/Calculation_Assumptions!$B$7,0),1)</f>
        <v>1</v>
      </c>
      <c r="O251" s="21">
        <f t="shared" si="24"/>
        <v>314768783.15463299</v>
      </c>
      <c r="P251" s="21">
        <f t="shared" si="25"/>
        <v>314109251.58264899</v>
      </c>
      <c r="Q251" s="21">
        <f>P251*Calculation_Assumptions!$B$14*J251*K251</f>
        <v>0</v>
      </c>
      <c r="R251" s="21">
        <f t="shared" si="26"/>
        <v>1259075.1326185321</v>
      </c>
      <c r="S251" s="21">
        <f t="shared" si="27"/>
        <v>1259075.1326185321</v>
      </c>
      <c r="T251" s="32">
        <f>1/(1+Calculation_Assumptions!$B$8)^(B251-Calculation_Assumptions!$B$2)</f>
        <v>0.64186194739671765</v>
      </c>
      <c r="U251" s="21">
        <f t="shared" si="28"/>
        <v>0</v>
      </c>
      <c r="V251" s="21">
        <f t="shared" si="29"/>
        <v>808152.41654131154</v>
      </c>
      <c r="W251" s="21">
        <f t="shared" si="30"/>
        <v>808152.41654131154</v>
      </c>
      <c r="X251">
        <v>0</v>
      </c>
      <c r="Y251" s="18">
        <v>2017</v>
      </c>
      <c r="Z251" t="s">
        <v>264</v>
      </c>
      <c r="AA251" s="21">
        <f t="shared" si="31"/>
        <v>1</v>
      </c>
    </row>
    <row r="252" spans="1:27">
      <c r="A252" t="s">
        <v>76</v>
      </c>
      <c r="B252" s="18">
        <v>2041</v>
      </c>
      <c r="C252" t="s">
        <v>201</v>
      </c>
      <c r="D252" s="20" t="s">
        <v>345</v>
      </c>
      <c r="E252" s="20" t="s">
        <v>346</v>
      </c>
      <c r="F252" s="20" t="s">
        <v>207</v>
      </c>
      <c r="G252" s="20" t="s">
        <v>336</v>
      </c>
      <c r="H252" s="20" t="s">
        <v>338</v>
      </c>
      <c r="I252" s="29">
        <v>1</v>
      </c>
      <c r="J252" s="30">
        <v>1</v>
      </c>
      <c r="K252" s="31">
        <v>4.0000000000000001E-3</v>
      </c>
      <c r="L252" s="9">
        <v>316119789.29580498</v>
      </c>
      <c r="M252" s="9">
        <v>315352079.81242299</v>
      </c>
      <c r="N252" s="32">
        <f>MIN(MAX((B252-Calculation_Assumptions!$B$5+1)/Calculation_Assumptions!$B$7,0),1)</f>
        <v>1</v>
      </c>
      <c r="O252" s="21">
        <f t="shared" si="24"/>
        <v>316119789.29580498</v>
      </c>
      <c r="P252" s="21">
        <f t="shared" si="25"/>
        <v>315352079.81242299</v>
      </c>
      <c r="Q252" s="21">
        <f>P252*Calculation_Assumptions!$B$14*J252*K252</f>
        <v>0</v>
      </c>
      <c r="R252" s="21">
        <f t="shared" si="26"/>
        <v>1264479.1571832199</v>
      </c>
      <c r="S252" s="21">
        <f t="shared" si="27"/>
        <v>1264479.1571832199</v>
      </c>
      <c r="T252" s="32">
        <f>1/(1+Calculation_Assumptions!$B$8)^(B252-Calculation_Assumptions!$B$2)</f>
        <v>0.62316693922011435</v>
      </c>
      <c r="U252" s="21">
        <f t="shared" si="28"/>
        <v>0</v>
      </c>
      <c r="V252" s="21">
        <f t="shared" si="29"/>
        <v>787981.60608949699</v>
      </c>
      <c r="W252" s="21">
        <f t="shared" si="30"/>
        <v>787981.60608949699</v>
      </c>
      <c r="X252">
        <v>0</v>
      </c>
      <c r="Y252" s="18">
        <v>2017</v>
      </c>
      <c r="Z252" t="s">
        <v>264</v>
      </c>
      <c r="AA252" s="21">
        <f t="shared" si="31"/>
        <v>1</v>
      </c>
    </row>
    <row r="253" spans="1:27">
      <c r="A253" t="s">
        <v>76</v>
      </c>
      <c r="B253" s="18">
        <v>2042</v>
      </c>
      <c r="C253" t="s">
        <v>201</v>
      </c>
      <c r="D253" s="20" t="s">
        <v>345</v>
      </c>
      <c r="E253" s="20" t="s">
        <v>346</v>
      </c>
      <c r="F253" s="20" t="s">
        <v>207</v>
      </c>
      <c r="G253" s="20" t="s">
        <v>336</v>
      </c>
      <c r="H253" s="20" t="s">
        <v>338</v>
      </c>
      <c r="I253" s="29">
        <v>1</v>
      </c>
      <c r="J253" s="30">
        <v>1</v>
      </c>
      <c r="K253" s="31">
        <v>4.0000000000000001E-3</v>
      </c>
      <c r="L253" s="9">
        <v>317417240.49647599</v>
      </c>
      <c r="M253" s="9">
        <v>316395286.31201601</v>
      </c>
      <c r="N253" s="32">
        <f>MIN(MAX((B253-Calculation_Assumptions!$B$5+1)/Calculation_Assumptions!$B$7,0),1)</f>
        <v>1</v>
      </c>
      <c r="O253" s="21">
        <f t="shared" si="24"/>
        <v>317417240.49647599</v>
      </c>
      <c r="P253" s="21">
        <f t="shared" si="25"/>
        <v>316395286.31201601</v>
      </c>
      <c r="Q253" s="21">
        <f>P253*Calculation_Assumptions!$B$14*J253*K253</f>
        <v>0</v>
      </c>
      <c r="R253" s="21">
        <f t="shared" si="26"/>
        <v>1269668.961985904</v>
      </c>
      <c r="S253" s="21">
        <f t="shared" si="27"/>
        <v>1269668.961985904</v>
      </c>
      <c r="T253" s="32">
        <f>1/(1+Calculation_Assumptions!$B$8)^(B253-Calculation_Assumptions!$B$2)</f>
        <v>0.60501644584477121</v>
      </c>
      <c r="U253" s="21">
        <f t="shared" si="28"/>
        <v>0</v>
      </c>
      <c r="V253" s="21">
        <f t="shared" si="29"/>
        <v>768170.60278013162</v>
      </c>
      <c r="W253" s="21">
        <f t="shared" si="30"/>
        <v>768170.60278013162</v>
      </c>
      <c r="X253">
        <v>0</v>
      </c>
      <c r="Y253" s="18">
        <v>2017</v>
      </c>
      <c r="Z253" t="s">
        <v>264</v>
      </c>
      <c r="AA253" s="21">
        <f t="shared" si="31"/>
        <v>1</v>
      </c>
    </row>
    <row r="254" spans="1:27">
      <c r="A254" t="s">
        <v>76</v>
      </c>
      <c r="B254" s="18">
        <v>2043</v>
      </c>
      <c r="C254" t="s">
        <v>201</v>
      </c>
      <c r="D254" s="20" t="s">
        <v>345</v>
      </c>
      <c r="E254" s="20" t="s">
        <v>346</v>
      </c>
      <c r="F254" s="20" t="s">
        <v>207</v>
      </c>
      <c r="G254" s="20" t="s">
        <v>336</v>
      </c>
      <c r="H254" s="20" t="s">
        <v>338</v>
      </c>
      <c r="I254" s="29">
        <v>1</v>
      </c>
      <c r="J254" s="30">
        <v>1</v>
      </c>
      <c r="K254" s="31">
        <v>4.0000000000000001E-3</v>
      </c>
      <c r="L254" s="9">
        <v>318779591.21990502</v>
      </c>
      <c r="M254" s="9">
        <v>317619735.68828899</v>
      </c>
      <c r="N254" s="32">
        <f>MIN(MAX((B254-Calculation_Assumptions!$B$5+1)/Calculation_Assumptions!$B$7,0),1)</f>
        <v>1</v>
      </c>
      <c r="O254" s="21">
        <f t="shared" si="24"/>
        <v>318779591.21990502</v>
      </c>
      <c r="P254" s="21">
        <f t="shared" si="25"/>
        <v>317619735.68828899</v>
      </c>
      <c r="Q254" s="21">
        <f>P254*Calculation_Assumptions!$B$14*J254*K254</f>
        <v>0</v>
      </c>
      <c r="R254" s="21">
        <f t="shared" si="26"/>
        <v>1275118.36487962</v>
      </c>
      <c r="S254" s="21">
        <f t="shared" si="27"/>
        <v>1275118.36487962</v>
      </c>
      <c r="T254" s="32">
        <f>1/(1+Calculation_Assumptions!$B$8)^(B254-Calculation_Assumptions!$B$2)</f>
        <v>0.5873946076162827</v>
      </c>
      <c r="U254" s="21">
        <f t="shared" si="28"/>
        <v>0</v>
      </c>
      <c r="V254" s="21">
        <f t="shared" si="29"/>
        <v>748997.65160278045</v>
      </c>
      <c r="W254" s="21">
        <f t="shared" si="30"/>
        <v>748997.65160278045</v>
      </c>
      <c r="X254">
        <v>0</v>
      </c>
      <c r="Y254" s="18">
        <v>2017</v>
      </c>
      <c r="Z254" t="s">
        <v>264</v>
      </c>
      <c r="AA254" s="21">
        <f t="shared" si="31"/>
        <v>1</v>
      </c>
    </row>
    <row r="255" spans="1:27">
      <c r="A255" t="s">
        <v>76</v>
      </c>
      <c r="B255" s="18">
        <v>2044</v>
      </c>
      <c r="C255" t="s">
        <v>201</v>
      </c>
      <c r="D255" s="20" t="s">
        <v>345</v>
      </c>
      <c r="E255" s="20" t="s">
        <v>346</v>
      </c>
      <c r="F255" s="20" t="s">
        <v>207</v>
      </c>
      <c r="G255" s="20" t="s">
        <v>336</v>
      </c>
      <c r="H255" s="20" t="s">
        <v>338</v>
      </c>
      <c r="I255" s="29">
        <v>1</v>
      </c>
      <c r="J255" s="30">
        <v>1</v>
      </c>
      <c r="K255" s="31">
        <v>4.0000000000000001E-3</v>
      </c>
      <c r="L255" s="9">
        <v>319985562.36722702</v>
      </c>
      <c r="M255" s="9">
        <v>318697135.86365199</v>
      </c>
      <c r="N255" s="32">
        <f>MIN(MAX((B255-Calculation_Assumptions!$B$5+1)/Calculation_Assumptions!$B$7,0),1)</f>
        <v>1</v>
      </c>
      <c r="O255" s="21">
        <f t="shared" si="24"/>
        <v>319985562.36722702</v>
      </c>
      <c r="P255" s="21">
        <f t="shared" si="25"/>
        <v>318697135.86365199</v>
      </c>
      <c r="Q255" s="21">
        <f>P255*Calculation_Assumptions!$B$14*J255*K255</f>
        <v>0</v>
      </c>
      <c r="R255" s="21">
        <f t="shared" si="26"/>
        <v>1279942.2494689082</v>
      </c>
      <c r="S255" s="21">
        <f t="shared" si="27"/>
        <v>1279942.2494689082</v>
      </c>
      <c r="T255" s="32">
        <f>1/(1+Calculation_Assumptions!$B$8)^(B255-Calculation_Assumptions!$B$2)</f>
        <v>0.57028602681192497</v>
      </c>
      <c r="U255" s="21">
        <f t="shared" si="28"/>
        <v>0</v>
      </c>
      <c r="V255" s="21">
        <f t="shared" si="29"/>
        <v>729933.17999834137</v>
      </c>
      <c r="W255" s="21">
        <f t="shared" si="30"/>
        <v>729933.17999834137</v>
      </c>
      <c r="X255">
        <v>0</v>
      </c>
      <c r="Y255" s="18">
        <v>2017</v>
      </c>
      <c r="Z255" t="s">
        <v>264</v>
      </c>
      <c r="AA255" s="21">
        <f t="shared" si="31"/>
        <v>1</v>
      </c>
    </row>
    <row r="256" spans="1:27">
      <c r="A256" t="s">
        <v>76</v>
      </c>
      <c r="B256" s="18">
        <v>2045</v>
      </c>
      <c r="C256" t="s">
        <v>201</v>
      </c>
      <c r="D256" s="20" t="s">
        <v>345</v>
      </c>
      <c r="E256" s="20" t="s">
        <v>346</v>
      </c>
      <c r="F256" s="20" t="s">
        <v>207</v>
      </c>
      <c r="G256" s="20" t="s">
        <v>336</v>
      </c>
      <c r="H256" s="20" t="s">
        <v>338</v>
      </c>
      <c r="I256" s="29">
        <v>1</v>
      </c>
      <c r="J256" s="30">
        <v>1</v>
      </c>
      <c r="K256" s="31">
        <v>4.0000000000000001E-3</v>
      </c>
      <c r="L256" s="9">
        <v>320960972.38609999</v>
      </c>
      <c r="M256" s="9">
        <v>319717840.85179001</v>
      </c>
      <c r="N256" s="32">
        <f>MIN(MAX((B256-Calculation_Assumptions!$B$5+1)/Calculation_Assumptions!$B$7,0),1)</f>
        <v>1</v>
      </c>
      <c r="O256" s="21">
        <f t="shared" si="24"/>
        <v>320960972.38609999</v>
      </c>
      <c r="P256" s="21">
        <f t="shared" si="25"/>
        <v>319717840.85179001</v>
      </c>
      <c r="Q256" s="21">
        <f>P256*Calculation_Assumptions!$B$14*J256*K256</f>
        <v>0</v>
      </c>
      <c r="R256" s="21">
        <f t="shared" si="26"/>
        <v>1283843.8895443999</v>
      </c>
      <c r="S256" s="21">
        <f t="shared" si="27"/>
        <v>1283843.8895443999</v>
      </c>
      <c r="T256" s="32">
        <f>1/(1+Calculation_Assumptions!$B$8)^(B256-Calculation_Assumptions!$B$2)</f>
        <v>0.55367575418633497</v>
      </c>
      <c r="U256" s="21">
        <f t="shared" si="28"/>
        <v>0</v>
      </c>
      <c r="V256" s="21">
        <f t="shared" si="29"/>
        <v>710833.23380101332</v>
      </c>
      <c r="W256" s="21">
        <f t="shared" si="30"/>
        <v>710833.23380101332</v>
      </c>
      <c r="X256">
        <v>0</v>
      </c>
      <c r="Y256" s="18">
        <v>2017</v>
      </c>
      <c r="Z256" t="s">
        <v>264</v>
      </c>
      <c r="AA256" s="21">
        <f t="shared" si="31"/>
        <v>1</v>
      </c>
    </row>
    <row r="257" spans="1:27">
      <c r="A257" t="s">
        <v>76</v>
      </c>
      <c r="B257" s="18">
        <v>2046</v>
      </c>
      <c r="C257" t="s">
        <v>201</v>
      </c>
      <c r="D257" s="20" t="s">
        <v>345</v>
      </c>
      <c r="E257" s="20" t="s">
        <v>346</v>
      </c>
      <c r="F257" s="20" t="s">
        <v>207</v>
      </c>
      <c r="G257" s="20" t="s">
        <v>336</v>
      </c>
      <c r="H257" s="20" t="s">
        <v>338</v>
      </c>
      <c r="I257" s="29">
        <v>1</v>
      </c>
      <c r="J257" s="30">
        <v>1</v>
      </c>
      <c r="K257" s="31">
        <v>4.0000000000000001E-3</v>
      </c>
      <c r="L257" s="9">
        <v>322053582.24950999</v>
      </c>
      <c r="M257" s="9">
        <v>320683879.80627602</v>
      </c>
      <c r="N257" s="32">
        <f>MIN(MAX((B257-Calculation_Assumptions!$B$5+1)/Calculation_Assumptions!$B$7,0),1)</f>
        <v>1</v>
      </c>
      <c r="O257" s="21">
        <f t="shared" si="24"/>
        <v>322053582.24950999</v>
      </c>
      <c r="P257" s="21">
        <f t="shared" si="25"/>
        <v>320683879.80627602</v>
      </c>
      <c r="Q257" s="21">
        <f>P257*Calculation_Assumptions!$B$14*J257*K257</f>
        <v>0</v>
      </c>
      <c r="R257" s="21">
        <f t="shared" si="26"/>
        <v>1288214.3289980399</v>
      </c>
      <c r="S257" s="21">
        <f t="shared" si="27"/>
        <v>1288214.3289980399</v>
      </c>
      <c r="T257" s="32">
        <f>1/(1+Calculation_Assumptions!$B$8)^(B257-Calculation_Assumptions!$B$2)</f>
        <v>0.5375492759090631</v>
      </c>
      <c r="U257" s="21">
        <f t="shared" si="28"/>
        <v>0</v>
      </c>
      <c r="V257" s="21">
        <f t="shared" si="29"/>
        <v>692478.67976857594</v>
      </c>
      <c r="W257" s="21">
        <f t="shared" si="30"/>
        <v>692478.67976857594</v>
      </c>
      <c r="X257">
        <v>0</v>
      </c>
      <c r="Y257" s="18">
        <v>2017</v>
      </c>
      <c r="Z257" t="s">
        <v>264</v>
      </c>
      <c r="AA257" s="21">
        <f t="shared" si="31"/>
        <v>1</v>
      </c>
    </row>
    <row r="258" spans="1:27">
      <c r="A258" t="s">
        <v>76</v>
      </c>
      <c r="B258" s="18">
        <v>2047</v>
      </c>
      <c r="C258" t="s">
        <v>201</v>
      </c>
      <c r="D258" s="20" t="s">
        <v>345</v>
      </c>
      <c r="E258" s="20" t="s">
        <v>346</v>
      </c>
      <c r="F258" s="20" t="s">
        <v>207</v>
      </c>
      <c r="G258" s="20" t="s">
        <v>336</v>
      </c>
      <c r="H258" s="20" t="s">
        <v>338</v>
      </c>
      <c r="I258" s="29">
        <v>1</v>
      </c>
      <c r="J258" s="30">
        <v>1</v>
      </c>
      <c r="K258" s="31">
        <v>4.0000000000000001E-3</v>
      </c>
      <c r="L258" s="9">
        <v>323093320.95173001</v>
      </c>
      <c r="M258" s="9">
        <v>321595541.38952601</v>
      </c>
      <c r="N258" s="32">
        <f>MIN(MAX((B258-Calculation_Assumptions!$B$5+1)/Calculation_Assumptions!$B$7,0),1)</f>
        <v>1</v>
      </c>
      <c r="O258" s="21">
        <f t="shared" ref="O258:O313" si="32">L258*I258</f>
        <v>323093320.95173001</v>
      </c>
      <c r="P258" s="21">
        <f t="shared" ref="P258:P313" si="33">M258*I258</f>
        <v>321595541.38952601</v>
      </c>
      <c r="Q258" s="21">
        <f>P258*Calculation_Assumptions!$B$14*J258*K258</f>
        <v>0</v>
      </c>
      <c r="R258" s="21">
        <f t="shared" ref="R258:R313" si="34">O258*N258*J258*K258</f>
        <v>1292373.2838069201</v>
      </c>
      <c r="S258" s="21">
        <f t="shared" ref="S258:S321" si="35">R258-Q258</f>
        <v>1292373.2838069201</v>
      </c>
      <c r="T258" s="32">
        <f>1/(1+Calculation_Assumptions!$B$8)^(B258-Calculation_Assumptions!$B$2)</f>
        <v>0.52189250088258554</v>
      </c>
      <c r="U258" s="21">
        <f t="shared" ref="U258:U321" si="36">Q258*T258</f>
        <v>0</v>
      </c>
      <c r="V258" s="21">
        <f t="shared" ref="V258:V313" si="37">R258*T258</f>
        <v>674479.92515983304</v>
      </c>
      <c r="W258" s="21">
        <f t="shared" ref="W258:W313" si="38">S258*T258</f>
        <v>674479.92515983304</v>
      </c>
      <c r="X258">
        <v>0</v>
      </c>
      <c r="Y258" s="18">
        <v>2017</v>
      </c>
      <c r="Z258" t="s">
        <v>264</v>
      </c>
      <c r="AA258" s="21">
        <f t="shared" ref="AA258:AA313" si="39">IF(G258="shared-count-once",COUNTIFS($A$2:$A$313,A258,$B$2:$B$313,B258,$D$2:$D$313,D258),1)</f>
        <v>1</v>
      </c>
    </row>
    <row r="259" spans="1:27">
      <c r="A259" t="s">
        <v>76</v>
      </c>
      <c r="B259" s="18">
        <v>2048</v>
      </c>
      <c r="C259" t="s">
        <v>201</v>
      </c>
      <c r="D259" s="20" t="s">
        <v>345</v>
      </c>
      <c r="E259" s="20" t="s">
        <v>346</v>
      </c>
      <c r="F259" s="20" t="s">
        <v>207</v>
      </c>
      <c r="G259" s="20" t="s">
        <v>336</v>
      </c>
      <c r="H259" s="20" t="s">
        <v>338</v>
      </c>
      <c r="I259" s="29">
        <v>1</v>
      </c>
      <c r="J259" s="30">
        <v>1</v>
      </c>
      <c r="K259" s="31">
        <v>4.0000000000000001E-3</v>
      </c>
      <c r="L259" s="9">
        <v>324080784.77517301</v>
      </c>
      <c r="M259" s="9">
        <v>322453622.66946399</v>
      </c>
      <c r="N259" s="32">
        <f>MIN(MAX((B259-Calculation_Assumptions!$B$5+1)/Calculation_Assumptions!$B$7,0),1)</f>
        <v>1</v>
      </c>
      <c r="O259" s="21">
        <f t="shared" si="32"/>
        <v>324080784.77517301</v>
      </c>
      <c r="P259" s="21">
        <f t="shared" si="33"/>
        <v>322453622.66946399</v>
      </c>
      <c r="Q259" s="21">
        <f>P259*Calculation_Assumptions!$B$14*J259*K259</f>
        <v>0</v>
      </c>
      <c r="R259" s="21">
        <f t="shared" si="34"/>
        <v>1296323.139100692</v>
      </c>
      <c r="S259" s="21">
        <f t="shared" si="35"/>
        <v>1296323.139100692</v>
      </c>
      <c r="T259" s="32">
        <f>1/(1+Calculation_Assumptions!$B$8)^(B259-Calculation_Assumptions!$B$2)</f>
        <v>0.50669174842969467</v>
      </c>
      <c r="U259" s="21">
        <f t="shared" si="36"/>
        <v>0</v>
      </c>
      <c r="V259" s="21">
        <f t="shared" si="37"/>
        <v>656836.23788079992</v>
      </c>
      <c r="W259" s="21">
        <f t="shared" si="38"/>
        <v>656836.23788079992</v>
      </c>
      <c r="X259">
        <v>0</v>
      </c>
      <c r="Y259" s="18">
        <v>2017</v>
      </c>
      <c r="Z259" t="s">
        <v>264</v>
      </c>
      <c r="AA259" s="21">
        <f t="shared" si="39"/>
        <v>1</v>
      </c>
    </row>
    <row r="260" spans="1:27">
      <c r="A260" t="s">
        <v>76</v>
      </c>
      <c r="B260" s="18">
        <v>2049</v>
      </c>
      <c r="C260" t="s">
        <v>201</v>
      </c>
      <c r="D260" s="20" t="s">
        <v>345</v>
      </c>
      <c r="E260" s="20" t="s">
        <v>346</v>
      </c>
      <c r="F260" s="20" t="s">
        <v>207</v>
      </c>
      <c r="G260" s="20" t="s">
        <v>336</v>
      </c>
      <c r="H260" s="20" t="s">
        <v>338</v>
      </c>
      <c r="I260" s="29">
        <v>1</v>
      </c>
      <c r="J260" s="30">
        <v>1</v>
      </c>
      <c r="K260" s="31">
        <v>4.0000000000000001E-3</v>
      </c>
      <c r="L260" s="9">
        <v>325016726.58335501</v>
      </c>
      <c r="M260" s="9">
        <v>323259246.71671897</v>
      </c>
      <c r="N260" s="32">
        <f>MIN(MAX((B260-Calculation_Assumptions!$B$5+1)/Calculation_Assumptions!$B$7,0),1)</f>
        <v>1</v>
      </c>
      <c r="O260" s="21">
        <f t="shared" si="32"/>
        <v>325016726.58335501</v>
      </c>
      <c r="P260" s="21">
        <f t="shared" si="33"/>
        <v>323259246.71671897</v>
      </c>
      <c r="Q260" s="21">
        <f>P260*Calculation_Assumptions!$B$14*J260*K260</f>
        <v>0</v>
      </c>
      <c r="R260" s="21">
        <f t="shared" si="34"/>
        <v>1300066.90633342</v>
      </c>
      <c r="S260" s="21">
        <f t="shared" si="35"/>
        <v>1300066.90633342</v>
      </c>
      <c r="T260" s="32">
        <f>1/(1+Calculation_Assumptions!$B$8)^(B260-Calculation_Assumptions!$B$2)</f>
        <v>0.49193373633950943</v>
      </c>
      <c r="U260" s="21">
        <f t="shared" si="36"/>
        <v>0</v>
      </c>
      <c r="V260" s="21">
        <f t="shared" si="37"/>
        <v>639546.77072394628</v>
      </c>
      <c r="W260" s="21">
        <f t="shared" si="38"/>
        <v>639546.77072394628</v>
      </c>
      <c r="X260">
        <v>0</v>
      </c>
      <c r="Y260" s="18">
        <v>2017</v>
      </c>
      <c r="Z260" t="s">
        <v>264</v>
      </c>
      <c r="AA260" s="21">
        <f t="shared" si="39"/>
        <v>1</v>
      </c>
    </row>
    <row r="261" spans="1:27">
      <c r="A261" t="s">
        <v>76</v>
      </c>
      <c r="B261" s="18">
        <v>2050</v>
      </c>
      <c r="C261" t="s">
        <v>201</v>
      </c>
      <c r="D261" s="20" t="s">
        <v>345</v>
      </c>
      <c r="E261" s="20" t="s">
        <v>346</v>
      </c>
      <c r="F261" s="20" t="s">
        <v>207</v>
      </c>
      <c r="G261" s="20" t="s">
        <v>336</v>
      </c>
      <c r="H261" s="20" t="s">
        <v>338</v>
      </c>
      <c r="I261" s="29">
        <v>1</v>
      </c>
      <c r="J261" s="30">
        <v>1</v>
      </c>
      <c r="K261" s="31">
        <v>4.0000000000000001E-3</v>
      </c>
      <c r="L261" s="9">
        <v>325902090.73091602</v>
      </c>
      <c r="M261" s="9">
        <v>324013738.18247902</v>
      </c>
      <c r="N261" s="32">
        <f>MIN(MAX((B261-Calculation_Assumptions!$B$5+1)/Calculation_Assumptions!$B$7,0),1)</f>
        <v>1</v>
      </c>
      <c r="O261" s="21">
        <f t="shared" si="32"/>
        <v>325902090.73091602</v>
      </c>
      <c r="P261" s="21">
        <f t="shared" si="33"/>
        <v>324013738.18247902</v>
      </c>
      <c r="Q261" s="21">
        <f>P261*Calculation_Assumptions!$B$14*J261*K261</f>
        <v>0</v>
      </c>
      <c r="R261" s="21">
        <f t="shared" si="34"/>
        <v>1303608.362923664</v>
      </c>
      <c r="S261" s="21">
        <f t="shared" si="35"/>
        <v>1303608.362923664</v>
      </c>
      <c r="T261" s="32">
        <f>1/(1+Calculation_Assumptions!$B$8)^(B261-Calculation_Assumptions!$B$2)</f>
        <v>0.47760556926165965</v>
      </c>
      <c r="U261" s="21">
        <f t="shared" si="36"/>
        <v>0</v>
      </c>
      <c r="V261" s="21">
        <f t="shared" si="37"/>
        <v>622610.61426841677</v>
      </c>
      <c r="W261" s="21">
        <f t="shared" si="38"/>
        <v>622610.61426841677</v>
      </c>
      <c r="X261">
        <v>0</v>
      </c>
      <c r="Y261" s="18">
        <v>2017</v>
      </c>
      <c r="Z261" t="s">
        <v>264</v>
      </c>
      <c r="AA261" s="21">
        <f t="shared" si="39"/>
        <v>1</v>
      </c>
    </row>
    <row r="262" spans="1:27">
      <c r="A262" t="s">
        <v>76</v>
      </c>
      <c r="B262" s="18">
        <v>2025</v>
      </c>
      <c r="C262" t="s">
        <v>212</v>
      </c>
      <c r="D262" s="20" t="s">
        <v>352</v>
      </c>
      <c r="E262" s="20" t="s">
        <v>353</v>
      </c>
      <c r="F262" s="20" t="s">
        <v>218</v>
      </c>
      <c r="G262" s="20" t="s">
        <v>336</v>
      </c>
      <c r="H262" s="20" t="s">
        <v>338</v>
      </c>
      <c r="I262" s="29">
        <v>1</v>
      </c>
      <c r="J262" s="30">
        <v>1</v>
      </c>
      <c r="K262" s="31">
        <v>2.3099999999999999E-2</v>
      </c>
      <c r="L262" s="9">
        <v>288000821.106462</v>
      </c>
      <c r="M262" s="9">
        <v>288000821.106462</v>
      </c>
      <c r="N262" s="32">
        <f>MIN(MAX((B262-Calculation_Assumptions!$B$5+1)/Calculation_Assumptions!$B$7,0),1)</f>
        <v>0</v>
      </c>
      <c r="O262" s="21">
        <f t="shared" si="32"/>
        <v>288000821.106462</v>
      </c>
      <c r="P262" s="21">
        <f t="shared" si="33"/>
        <v>288000821.106462</v>
      </c>
      <c r="Q262" s="21">
        <f>P262*Calculation_Assumptions!$B$14*J262*K262</f>
        <v>0</v>
      </c>
      <c r="R262" s="21">
        <f t="shared" si="34"/>
        <v>0</v>
      </c>
      <c r="S262" s="21">
        <f t="shared" si="35"/>
        <v>0</v>
      </c>
      <c r="T262" s="32">
        <f>1/(1+Calculation_Assumptions!$B$8)^(B262-Calculation_Assumptions!$B$2)</f>
        <v>1</v>
      </c>
      <c r="U262" s="21">
        <f t="shared" si="36"/>
        <v>0</v>
      </c>
      <c r="V262" s="21">
        <f t="shared" si="37"/>
        <v>0</v>
      </c>
      <c r="W262" s="21">
        <f t="shared" si="38"/>
        <v>0</v>
      </c>
      <c r="X262">
        <v>0</v>
      </c>
      <c r="Y262" s="18">
        <v>2017</v>
      </c>
      <c r="Z262" t="s">
        <v>264</v>
      </c>
      <c r="AA262" s="21">
        <f t="shared" si="39"/>
        <v>1</v>
      </c>
    </row>
    <row r="263" spans="1:27">
      <c r="A263" t="s">
        <v>76</v>
      </c>
      <c r="B263" s="18">
        <v>2026</v>
      </c>
      <c r="C263" t="s">
        <v>212</v>
      </c>
      <c r="D263" s="20" t="s">
        <v>352</v>
      </c>
      <c r="E263" s="20" t="s">
        <v>353</v>
      </c>
      <c r="F263" s="20" t="s">
        <v>218</v>
      </c>
      <c r="G263" s="20" t="s">
        <v>336</v>
      </c>
      <c r="H263" s="20" t="s">
        <v>338</v>
      </c>
      <c r="I263" s="29">
        <v>1</v>
      </c>
      <c r="J263" s="30">
        <v>1</v>
      </c>
      <c r="K263" s="31">
        <v>2.3099999999999999E-2</v>
      </c>
      <c r="L263" s="9">
        <v>290123496.10321897</v>
      </c>
      <c r="M263" s="9">
        <v>290123496.10321897</v>
      </c>
      <c r="N263" s="32">
        <f>MIN(MAX((B263-Calculation_Assumptions!$B$5+1)/Calculation_Assumptions!$B$7,0),1)</f>
        <v>0.33333333333333331</v>
      </c>
      <c r="O263" s="21">
        <f t="shared" si="32"/>
        <v>290123496.10321897</v>
      </c>
      <c r="P263" s="21">
        <f t="shared" si="33"/>
        <v>290123496.10321897</v>
      </c>
      <c r="Q263" s="21">
        <f>P263*Calculation_Assumptions!$B$14*J263*K263</f>
        <v>0</v>
      </c>
      <c r="R263" s="21">
        <f t="shared" si="34"/>
        <v>2233950.9199947859</v>
      </c>
      <c r="S263" s="21">
        <f t="shared" si="35"/>
        <v>2233950.9199947859</v>
      </c>
      <c r="T263" s="32">
        <f>1/(1+Calculation_Assumptions!$B$8)^(B263-Calculation_Assumptions!$B$2)</f>
        <v>0.970873786407767</v>
      </c>
      <c r="U263" s="21">
        <f t="shared" si="36"/>
        <v>0</v>
      </c>
      <c r="V263" s="21">
        <f t="shared" si="37"/>
        <v>2168884.3883444523</v>
      </c>
      <c r="W263" s="21">
        <f t="shared" si="38"/>
        <v>2168884.3883444523</v>
      </c>
      <c r="X263">
        <v>0</v>
      </c>
      <c r="Y263" s="18">
        <v>2017</v>
      </c>
      <c r="Z263" t="s">
        <v>264</v>
      </c>
      <c r="AA263" s="21">
        <f t="shared" si="39"/>
        <v>1</v>
      </c>
    </row>
    <row r="264" spans="1:27">
      <c r="A264" t="s">
        <v>76</v>
      </c>
      <c r="B264" s="18">
        <v>2027</v>
      </c>
      <c r="C264" t="s">
        <v>212</v>
      </c>
      <c r="D264" s="20" t="s">
        <v>352</v>
      </c>
      <c r="E264" s="20" t="s">
        <v>353</v>
      </c>
      <c r="F264" s="20" t="s">
        <v>218</v>
      </c>
      <c r="G264" s="20" t="s">
        <v>336</v>
      </c>
      <c r="H264" s="20" t="s">
        <v>338</v>
      </c>
      <c r="I264" s="29">
        <v>1</v>
      </c>
      <c r="J264" s="30">
        <v>1</v>
      </c>
      <c r="K264" s="31">
        <v>2.3099999999999999E-2</v>
      </c>
      <c r="L264" s="9">
        <v>292252895.09695601</v>
      </c>
      <c r="M264" s="9">
        <v>292252895.09695601</v>
      </c>
      <c r="N264" s="32">
        <f>MIN(MAX((B264-Calculation_Assumptions!$B$5+1)/Calculation_Assumptions!$B$7,0),1)</f>
        <v>0.66666666666666663</v>
      </c>
      <c r="O264" s="21">
        <f t="shared" si="32"/>
        <v>292252895.09695601</v>
      </c>
      <c r="P264" s="21">
        <f t="shared" si="33"/>
        <v>292252895.09695601</v>
      </c>
      <c r="Q264" s="21">
        <f>P264*Calculation_Assumptions!$B$14*J264*K264</f>
        <v>0</v>
      </c>
      <c r="R264" s="21">
        <f t="shared" si="34"/>
        <v>4500694.5844931221</v>
      </c>
      <c r="S264" s="21">
        <f t="shared" si="35"/>
        <v>4500694.5844931221</v>
      </c>
      <c r="T264" s="32">
        <f>1/(1+Calculation_Assumptions!$B$8)^(B264-Calculation_Assumptions!$B$2)</f>
        <v>0.94259590913375435</v>
      </c>
      <c r="U264" s="21">
        <f t="shared" si="36"/>
        <v>0</v>
      </c>
      <c r="V264" s="21">
        <f t="shared" si="37"/>
        <v>4242336.3036036594</v>
      </c>
      <c r="W264" s="21">
        <f t="shared" si="38"/>
        <v>4242336.3036036594</v>
      </c>
      <c r="X264">
        <v>0</v>
      </c>
      <c r="Y264" s="18">
        <v>2017</v>
      </c>
      <c r="Z264" t="s">
        <v>264</v>
      </c>
      <c r="AA264" s="21">
        <f t="shared" si="39"/>
        <v>1</v>
      </c>
    </row>
    <row r="265" spans="1:27">
      <c r="A265" t="s">
        <v>76</v>
      </c>
      <c r="B265" s="18">
        <v>2028</v>
      </c>
      <c r="C265" t="s">
        <v>212</v>
      </c>
      <c r="D265" s="20" t="s">
        <v>352</v>
      </c>
      <c r="E265" s="20" t="s">
        <v>353</v>
      </c>
      <c r="F265" s="20" t="s">
        <v>218</v>
      </c>
      <c r="G265" s="20" t="s">
        <v>336</v>
      </c>
      <c r="H265" s="20" t="s">
        <v>338</v>
      </c>
      <c r="I265" s="29">
        <v>1</v>
      </c>
      <c r="J265" s="30">
        <v>1</v>
      </c>
      <c r="K265" s="31">
        <v>2.3099999999999999E-2</v>
      </c>
      <c r="L265" s="9">
        <v>294318750.70606601</v>
      </c>
      <c r="M265" s="9">
        <v>294314895.30546498</v>
      </c>
      <c r="N265" s="32">
        <f>MIN(MAX((B265-Calculation_Assumptions!$B$5+1)/Calculation_Assumptions!$B$7,0),1)</f>
        <v>1</v>
      </c>
      <c r="O265" s="21">
        <f t="shared" si="32"/>
        <v>294318750.70606601</v>
      </c>
      <c r="P265" s="21">
        <f t="shared" si="33"/>
        <v>294314895.30546498</v>
      </c>
      <c r="Q265" s="21">
        <f>P265*Calculation_Assumptions!$B$14*J265*K265</f>
        <v>0</v>
      </c>
      <c r="R265" s="21">
        <f t="shared" si="34"/>
        <v>6798763.1413101247</v>
      </c>
      <c r="S265" s="21">
        <f t="shared" si="35"/>
        <v>6798763.1413101247</v>
      </c>
      <c r="T265" s="32">
        <f>1/(1+Calculation_Assumptions!$B$8)^(B265-Calculation_Assumptions!$B$2)</f>
        <v>0.91514165935315961</v>
      </c>
      <c r="U265" s="21">
        <f t="shared" si="36"/>
        <v>0</v>
      </c>
      <c r="V265" s="21">
        <f t="shared" si="37"/>
        <v>6221831.3826876478</v>
      </c>
      <c r="W265" s="21">
        <f t="shared" si="38"/>
        <v>6221831.3826876478</v>
      </c>
      <c r="X265">
        <v>0</v>
      </c>
      <c r="Y265" s="18">
        <v>2017</v>
      </c>
      <c r="Z265" t="s">
        <v>264</v>
      </c>
      <c r="AA265" s="21">
        <f t="shared" si="39"/>
        <v>1</v>
      </c>
    </row>
    <row r="266" spans="1:27">
      <c r="A266" t="s">
        <v>76</v>
      </c>
      <c r="B266" s="18">
        <v>2029</v>
      </c>
      <c r="C266" t="s">
        <v>212</v>
      </c>
      <c r="D266" s="20" t="s">
        <v>352</v>
      </c>
      <c r="E266" s="20" t="s">
        <v>353</v>
      </c>
      <c r="F266" s="20" t="s">
        <v>218</v>
      </c>
      <c r="G266" s="20" t="s">
        <v>336</v>
      </c>
      <c r="H266" s="20" t="s">
        <v>338</v>
      </c>
      <c r="I266" s="29">
        <v>1</v>
      </c>
      <c r="J266" s="30">
        <v>1</v>
      </c>
      <c r="K266" s="31">
        <v>2.3099999999999999E-2</v>
      </c>
      <c r="L266" s="9">
        <v>296356322.26615602</v>
      </c>
      <c r="M266" s="9">
        <v>296341062.542853</v>
      </c>
      <c r="N266" s="32">
        <f>MIN(MAX((B266-Calculation_Assumptions!$B$5+1)/Calculation_Assumptions!$B$7,0),1)</f>
        <v>1</v>
      </c>
      <c r="O266" s="21">
        <f t="shared" si="32"/>
        <v>296356322.26615602</v>
      </c>
      <c r="P266" s="21">
        <f t="shared" si="33"/>
        <v>296341062.542853</v>
      </c>
      <c r="Q266" s="21">
        <f>P266*Calculation_Assumptions!$B$14*J266*K266</f>
        <v>0</v>
      </c>
      <c r="R266" s="21">
        <f t="shared" si="34"/>
        <v>6845831.0443482036</v>
      </c>
      <c r="S266" s="21">
        <f t="shared" si="35"/>
        <v>6845831.0443482036</v>
      </c>
      <c r="T266" s="32">
        <f>1/(1+Calculation_Assumptions!$B$8)^(B266-Calculation_Assumptions!$B$2)</f>
        <v>0.888487047915689</v>
      </c>
      <c r="U266" s="21">
        <f t="shared" si="36"/>
        <v>0</v>
      </c>
      <c r="V266" s="21">
        <f t="shared" si="37"/>
        <v>6082432.2151225135</v>
      </c>
      <c r="W266" s="21">
        <f t="shared" si="38"/>
        <v>6082432.2151225135</v>
      </c>
      <c r="X266">
        <v>0</v>
      </c>
      <c r="Y266" s="18">
        <v>2017</v>
      </c>
      <c r="Z266" t="s">
        <v>264</v>
      </c>
      <c r="AA266" s="21">
        <f t="shared" si="39"/>
        <v>1</v>
      </c>
    </row>
    <row r="267" spans="1:27">
      <c r="A267" t="s">
        <v>76</v>
      </c>
      <c r="B267" s="18">
        <v>2030</v>
      </c>
      <c r="C267" t="s">
        <v>212</v>
      </c>
      <c r="D267" s="20" t="s">
        <v>352</v>
      </c>
      <c r="E267" s="20" t="s">
        <v>353</v>
      </c>
      <c r="F267" s="20" t="s">
        <v>218</v>
      </c>
      <c r="G267" s="20" t="s">
        <v>336</v>
      </c>
      <c r="H267" s="20" t="s">
        <v>338</v>
      </c>
      <c r="I267" s="29">
        <v>1</v>
      </c>
      <c r="J267" s="30">
        <v>1</v>
      </c>
      <c r="K267" s="31">
        <v>2.3099999999999999E-2</v>
      </c>
      <c r="L267" s="9">
        <v>298317004.67873597</v>
      </c>
      <c r="M267" s="9">
        <v>298280286.05726302</v>
      </c>
      <c r="N267" s="32">
        <f>MIN(MAX((B267-Calculation_Assumptions!$B$5+1)/Calculation_Assumptions!$B$7,0),1)</f>
        <v>1</v>
      </c>
      <c r="O267" s="21">
        <f t="shared" si="32"/>
        <v>298317004.67873597</v>
      </c>
      <c r="P267" s="21">
        <f t="shared" si="33"/>
        <v>298280286.05726302</v>
      </c>
      <c r="Q267" s="21">
        <f>P267*Calculation_Assumptions!$B$14*J267*K267</f>
        <v>0</v>
      </c>
      <c r="R267" s="21">
        <f t="shared" si="34"/>
        <v>6891122.8080788003</v>
      </c>
      <c r="S267" s="21">
        <f t="shared" si="35"/>
        <v>6891122.8080788003</v>
      </c>
      <c r="T267" s="32">
        <f>1/(1+Calculation_Assumptions!$B$8)^(B267-Calculation_Assumptions!$B$2)</f>
        <v>0.86260878438416411</v>
      </c>
      <c r="U267" s="21">
        <f t="shared" si="36"/>
        <v>0</v>
      </c>
      <c r="V267" s="21">
        <f t="shared" si="37"/>
        <v>5944343.0685188416</v>
      </c>
      <c r="W267" s="21">
        <f t="shared" si="38"/>
        <v>5944343.0685188416</v>
      </c>
      <c r="X267">
        <v>0</v>
      </c>
      <c r="Y267" s="18">
        <v>2017</v>
      </c>
      <c r="Z267" t="s">
        <v>264</v>
      </c>
      <c r="AA267" s="21">
        <f t="shared" si="39"/>
        <v>1</v>
      </c>
    </row>
    <row r="268" spans="1:27">
      <c r="A268" t="s">
        <v>76</v>
      </c>
      <c r="B268" s="18">
        <v>2031</v>
      </c>
      <c r="C268" t="s">
        <v>212</v>
      </c>
      <c r="D268" s="20" t="s">
        <v>352</v>
      </c>
      <c r="E268" s="20" t="s">
        <v>353</v>
      </c>
      <c r="F268" s="20" t="s">
        <v>218</v>
      </c>
      <c r="G268" s="20" t="s">
        <v>336</v>
      </c>
      <c r="H268" s="20" t="s">
        <v>338</v>
      </c>
      <c r="I268" s="29">
        <v>1</v>
      </c>
      <c r="J268" s="30">
        <v>1</v>
      </c>
      <c r="K268" s="31">
        <v>2.3099999999999999E-2</v>
      </c>
      <c r="L268" s="9">
        <v>300222863.16561598</v>
      </c>
      <c r="M268" s="9">
        <v>300152603.25478202</v>
      </c>
      <c r="N268" s="32">
        <f>MIN(MAX((B268-Calculation_Assumptions!$B$5+1)/Calculation_Assumptions!$B$7,0),1)</f>
        <v>1</v>
      </c>
      <c r="O268" s="21">
        <f t="shared" si="32"/>
        <v>300222863.16561598</v>
      </c>
      <c r="P268" s="21">
        <f t="shared" si="33"/>
        <v>300152603.25478202</v>
      </c>
      <c r="Q268" s="21">
        <f>P268*Calculation_Assumptions!$B$14*J268*K268</f>
        <v>0</v>
      </c>
      <c r="R268" s="21">
        <f t="shared" si="34"/>
        <v>6935148.139125729</v>
      </c>
      <c r="S268" s="21">
        <f t="shared" si="35"/>
        <v>6935148.139125729</v>
      </c>
      <c r="T268" s="32">
        <f>1/(1+Calculation_Assumptions!$B$8)^(B268-Calculation_Assumptions!$B$2)</f>
        <v>0.83748425668365445</v>
      </c>
      <c r="U268" s="21">
        <f t="shared" si="36"/>
        <v>0</v>
      </c>
      <c r="V268" s="21">
        <f t="shared" si="37"/>
        <v>5808077.3842867408</v>
      </c>
      <c r="W268" s="21">
        <f t="shared" si="38"/>
        <v>5808077.3842867408</v>
      </c>
      <c r="X268">
        <v>0</v>
      </c>
      <c r="Y268" s="18">
        <v>2017</v>
      </c>
      <c r="Z268" t="s">
        <v>264</v>
      </c>
      <c r="AA268" s="21">
        <f t="shared" si="39"/>
        <v>1</v>
      </c>
    </row>
    <row r="269" spans="1:27">
      <c r="A269" t="s">
        <v>76</v>
      </c>
      <c r="B269" s="18">
        <v>2032</v>
      </c>
      <c r="C269" t="s">
        <v>212</v>
      </c>
      <c r="D269" s="20" t="s">
        <v>352</v>
      </c>
      <c r="E269" s="20" t="s">
        <v>353</v>
      </c>
      <c r="F269" s="20" t="s">
        <v>218</v>
      </c>
      <c r="G269" s="20" t="s">
        <v>336</v>
      </c>
      <c r="H269" s="20" t="s">
        <v>338</v>
      </c>
      <c r="I269" s="29">
        <v>1</v>
      </c>
      <c r="J269" s="30">
        <v>1</v>
      </c>
      <c r="K269" s="31">
        <v>2.3099999999999999E-2</v>
      </c>
      <c r="L269" s="9">
        <v>302002258.96739</v>
      </c>
      <c r="M269" s="9">
        <v>301959399.63388801</v>
      </c>
      <c r="N269" s="32">
        <f>MIN(MAX((B269-Calculation_Assumptions!$B$5+1)/Calculation_Assumptions!$B$7,0),1)</f>
        <v>1</v>
      </c>
      <c r="O269" s="21">
        <f t="shared" si="32"/>
        <v>302002258.96739</v>
      </c>
      <c r="P269" s="21">
        <f t="shared" si="33"/>
        <v>301959399.63388801</v>
      </c>
      <c r="Q269" s="21">
        <f>P269*Calculation_Assumptions!$B$14*J269*K269</f>
        <v>0</v>
      </c>
      <c r="R269" s="21">
        <f t="shared" si="34"/>
        <v>6976252.1821467085</v>
      </c>
      <c r="S269" s="21">
        <f t="shared" si="35"/>
        <v>6976252.1821467085</v>
      </c>
      <c r="T269" s="32">
        <f>1/(1+Calculation_Assumptions!$B$8)^(B269-Calculation_Assumptions!$B$2)</f>
        <v>0.81309151134335378</v>
      </c>
      <c r="U269" s="21">
        <f t="shared" si="36"/>
        <v>0</v>
      </c>
      <c r="V269" s="21">
        <f t="shared" si="37"/>
        <v>5672331.4302940369</v>
      </c>
      <c r="W269" s="21">
        <f t="shared" si="38"/>
        <v>5672331.4302940369</v>
      </c>
      <c r="X269">
        <v>0</v>
      </c>
      <c r="Y269" s="18">
        <v>2017</v>
      </c>
      <c r="Z269" t="s">
        <v>264</v>
      </c>
      <c r="AA269" s="21">
        <f t="shared" si="39"/>
        <v>1</v>
      </c>
    </row>
    <row r="270" spans="1:27">
      <c r="A270" t="s">
        <v>76</v>
      </c>
      <c r="B270" s="18">
        <v>2033</v>
      </c>
      <c r="C270" t="s">
        <v>212</v>
      </c>
      <c r="D270" s="20" t="s">
        <v>352</v>
      </c>
      <c r="E270" s="20" t="s">
        <v>353</v>
      </c>
      <c r="F270" s="20" t="s">
        <v>218</v>
      </c>
      <c r="G270" s="20" t="s">
        <v>336</v>
      </c>
      <c r="H270" s="20" t="s">
        <v>338</v>
      </c>
      <c r="I270" s="29">
        <v>1</v>
      </c>
      <c r="J270" s="30">
        <v>1</v>
      </c>
      <c r="K270" s="31">
        <v>2.3099999999999999E-2</v>
      </c>
      <c r="L270" s="9">
        <v>303792531.13349903</v>
      </c>
      <c r="M270" s="9">
        <v>303701035.20205098</v>
      </c>
      <c r="N270" s="32">
        <f>MIN(MAX((B270-Calculation_Assumptions!$B$5+1)/Calculation_Assumptions!$B$7,0),1)</f>
        <v>1</v>
      </c>
      <c r="O270" s="21">
        <f t="shared" si="32"/>
        <v>303792531.13349903</v>
      </c>
      <c r="P270" s="21">
        <f t="shared" si="33"/>
        <v>303701035.20205098</v>
      </c>
      <c r="Q270" s="21">
        <f>P270*Calculation_Assumptions!$B$14*J270*K270</f>
        <v>0</v>
      </c>
      <c r="R270" s="21">
        <f t="shared" si="34"/>
        <v>7017607.4691838268</v>
      </c>
      <c r="S270" s="21">
        <f t="shared" si="35"/>
        <v>7017607.4691838268</v>
      </c>
      <c r="T270" s="32">
        <f>1/(1+Calculation_Assumptions!$B$8)^(B270-Calculation_Assumptions!$B$2)</f>
        <v>0.78940923431393573</v>
      </c>
      <c r="U270" s="21">
        <f t="shared" si="36"/>
        <v>0</v>
      </c>
      <c r="V270" s="21">
        <f t="shared" si="37"/>
        <v>5539764.1389641613</v>
      </c>
      <c r="W270" s="21">
        <f t="shared" si="38"/>
        <v>5539764.1389641613</v>
      </c>
      <c r="X270">
        <v>0</v>
      </c>
      <c r="Y270" s="18">
        <v>2017</v>
      </c>
      <c r="Z270" t="s">
        <v>264</v>
      </c>
      <c r="AA270" s="21">
        <f t="shared" si="39"/>
        <v>1</v>
      </c>
    </row>
    <row r="271" spans="1:27">
      <c r="A271" t="s">
        <v>76</v>
      </c>
      <c r="B271" s="18">
        <v>2034</v>
      </c>
      <c r="C271" t="s">
        <v>212</v>
      </c>
      <c r="D271" s="20" t="s">
        <v>352</v>
      </c>
      <c r="E271" s="20" t="s">
        <v>353</v>
      </c>
      <c r="F271" s="20" t="s">
        <v>218</v>
      </c>
      <c r="G271" s="20" t="s">
        <v>336</v>
      </c>
      <c r="H271" s="20" t="s">
        <v>338</v>
      </c>
      <c r="I271" s="29">
        <v>1</v>
      </c>
      <c r="J271" s="30">
        <v>1</v>
      </c>
      <c r="K271" s="31">
        <v>2.3099999999999999E-2</v>
      </c>
      <c r="L271" s="9">
        <v>305527186.92935503</v>
      </c>
      <c r="M271" s="9">
        <v>305377998.093319</v>
      </c>
      <c r="N271" s="32">
        <f>MIN(MAX((B271-Calculation_Assumptions!$B$5+1)/Calculation_Assumptions!$B$7,0),1)</f>
        <v>1</v>
      </c>
      <c r="O271" s="21">
        <f t="shared" si="32"/>
        <v>305527186.92935503</v>
      </c>
      <c r="P271" s="21">
        <f t="shared" si="33"/>
        <v>305377998.093319</v>
      </c>
      <c r="Q271" s="21">
        <f>P271*Calculation_Assumptions!$B$14*J271*K271</f>
        <v>0</v>
      </c>
      <c r="R271" s="21">
        <f t="shared" si="34"/>
        <v>7057678.0180681003</v>
      </c>
      <c r="S271" s="21">
        <f t="shared" si="35"/>
        <v>7057678.0180681003</v>
      </c>
      <c r="T271" s="32">
        <f>1/(1+Calculation_Assumptions!$B$8)^(B271-Calculation_Assumptions!$B$2)</f>
        <v>0.76641673234362695</v>
      </c>
      <c r="U271" s="21">
        <f t="shared" si="36"/>
        <v>0</v>
      </c>
      <c r="V271" s="21">
        <f t="shared" si="37"/>
        <v>5409122.5245411992</v>
      </c>
      <c r="W271" s="21">
        <f t="shared" si="38"/>
        <v>5409122.5245411992</v>
      </c>
      <c r="X271">
        <v>0</v>
      </c>
      <c r="Y271" s="18">
        <v>2017</v>
      </c>
      <c r="Z271" t="s">
        <v>264</v>
      </c>
      <c r="AA271" s="21">
        <f t="shared" si="39"/>
        <v>1</v>
      </c>
    </row>
    <row r="272" spans="1:27">
      <c r="A272" t="s">
        <v>76</v>
      </c>
      <c r="B272" s="18">
        <v>2035</v>
      </c>
      <c r="C272" t="s">
        <v>212</v>
      </c>
      <c r="D272" s="20" t="s">
        <v>352</v>
      </c>
      <c r="E272" s="20" t="s">
        <v>353</v>
      </c>
      <c r="F272" s="20" t="s">
        <v>218</v>
      </c>
      <c r="G272" s="20" t="s">
        <v>336</v>
      </c>
      <c r="H272" s="20" t="s">
        <v>338</v>
      </c>
      <c r="I272" s="29">
        <v>1</v>
      </c>
      <c r="J272" s="30">
        <v>1</v>
      </c>
      <c r="K272" s="31">
        <v>2.3099999999999999E-2</v>
      </c>
      <c r="L272" s="9">
        <v>307204550.86510098</v>
      </c>
      <c r="M272" s="9">
        <v>306989258.29407001</v>
      </c>
      <c r="N272" s="32">
        <f>MIN(MAX((B272-Calculation_Assumptions!$B$5+1)/Calculation_Assumptions!$B$7,0),1)</f>
        <v>1</v>
      </c>
      <c r="O272" s="21">
        <f t="shared" si="32"/>
        <v>307204550.86510098</v>
      </c>
      <c r="P272" s="21">
        <f t="shared" si="33"/>
        <v>306989258.29407001</v>
      </c>
      <c r="Q272" s="21">
        <f>P272*Calculation_Assumptions!$B$14*J272*K272</f>
        <v>0</v>
      </c>
      <c r="R272" s="21">
        <f t="shared" si="34"/>
        <v>7096425.1249838322</v>
      </c>
      <c r="S272" s="21">
        <f t="shared" si="35"/>
        <v>7096425.1249838322</v>
      </c>
      <c r="T272" s="32">
        <f>1/(1+Calculation_Assumptions!$B$8)^(B272-Calculation_Assumptions!$B$2)</f>
        <v>0.74409391489672516</v>
      </c>
      <c r="U272" s="21">
        <f t="shared" si="36"/>
        <v>0</v>
      </c>
      <c r="V272" s="21">
        <f t="shared" si="37"/>
        <v>5280406.7530207019</v>
      </c>
      <c r="W272" s="21">
        <f t="shared" si="38"/>
        <v>5280406.7530207019</v>
      </c>
      <c r="X272">
        <v>0</v>
      </c>
      <c r="Y272" s="18">
        <v>2017</v>
      </c>
      <c r="Z272" t="s">
        <v>264</v>
      </c>
      <c r="AA272" s="21">
        <f t="shared" si="39"/>
        <v>1</v>
      </c>
    </row>
    <row r="273" spans="1:27">
      <c r="A273" t="s">
        <v>76</v>
      </c>
      <c r="B273" s="18">
        <v>2036</v>
      </c>
      <c r="C273" t="s">
        <v>212</v>
      </c>
      <c r="D273" s="20" t="s">
        <v>352</v>
      </c>
      <c r="E273" s="20" t="s">
        <v>353</v>
      </c>
      <c r="F273" s="20" t="s">
        <v>218</v>
      </c>
      <c r="G273" s="20" t="s">
        <v>336</v>
      </c>
      <c r="H273" s="20" t="s">
        <v>338</v>
      </c>
      <c r="I273" s="29">
        <v>1</v>
      </c>
      <c r="J273" s="30">
        <v>1</v>
      </c>
      <c r="K273" s="31">
        <v>2.3099999999999999E-2</v>
      </c>
      <c r="L273" s="9">
        <v>308826793.60124999</v>
      </c>
      <c r="M273" s="9">
        <v>308537399.67209399</v>
      </c>
      <c r="N273" s="32">
        <f>MIN(MAX((B273-Calculation_Assumptions!$B$5+1)/Calculation_Assumptions!$B$7,0),1)</f>
        <v>1</v>
      </c>
      <c r="O273" s="21">
        <f t="shared" si="32"/>
        <v>308826793.60124999</v>
      </c>
      <c r="P273" s="21">
        <f t="shared" si="33"/>
        <v>308537399.67209399</v>
      </c>
      <c r="Q273" s="21">
        <f>P273*Calculation_Assumptions!$B$14*J273*K273</f>
        <v>0</v>
      </c>
      <c r="R273" s="21">
        <f t="shared" si="34"/>
        <v>7133898.9321888741</v>
      </c>
      <c r="S273" s="21">
        <f t="shared" si="35"/>
        <v>7133898.9321888741</v>
      </c>
      <c r="T273" s="32">
        <f>1/(1+Calculation_Assumptions!$B$8)^(B273-Calculation_Assumptions!$B$2)</f>
        <v>0.72242127659876232</v>
      </c>
      <c r="U273" s="21">
        <f t="shared" si="36"/>
        <v>0</v>
      </c>
      <c r="V273" s="21">
        <f t="shared" si="37"/>
        <v>5153680.373718434</v>
      </c>
      <c r="W273" s="21">
        <f t="shared" si="38"/>
        <v>5153680.373718434</v>
      </c>
      <c r="X273">
        <v>0</v>
      </c>
      <c r="Y273" s="18">
        <v>2017</v>
      </c>
      <c r="Z273" t="s">
        <v>264</v>
      </c>
      <c r="AA273" s="21">
        <f t="shared" si="39"/>
        <v>1</v>
      </c>
    </row>
    <row r="274" spans="1:27">
      <c r="A274" t="s">
        <v>76</v>
      </c>
      <c r="B274" s="18">
        <v>2037</v>
      </c>
      <c r="C274" t="s">
        <v>212</v>
      </c>
      <c r="D274" s="20" t="s">
        <v>352</v>
      </c>
      <c r="E274" s="20" t="s">
        <v>353</v>
      </c>
      <c r="F274" s="20" t="s">
        <v>218</v>
      </c>
      <c r="G274" s="20" t="s">
        <v>336</v>
      </c>
      <c r="H274" s="20" t="s">
        <v>338</v>
      </c>
      <c r="I274" s="29">
        <v>1</v>
      </c>
      <c r="J274" s="30">
        <v>1</v>
      </c>
      <c r="K274" s="31">
        <v>2.3099999999999999E-2</v>
      </c>
      <c r="L274" s="9">
        <v>310394148.51148498</v>
      </c>
      <c r="M274" s="9">
        <v>310023120.39347202</v>
      </c>
      <c r="N274" s="32">
        <f>MIN(MAX((B274-Calculation_Assumptions!$B$5+1)/Calculation_Assumptions!$B$7,0),1)</f>
        <v>1</v>
      </c>
      <c r="O274" s="21">
        <f t="shared" si="32"/>
        <v>310394148.51148498</v>
      </c>
      <c r="P274" s="21">
        <f t="shared" si="33"/>
        <v>310023120.39347202</v>
      </c>
      <c r="Q274" s="21">
        <f>P274*Calculation_Assumptions!$B$14*J274*K274</f>
        <v>0</v>
      </c>
      <c r="R274" s="21">
        <f t="shared" si="34"/>
        <v>7170104.8306153025</v>
      </c>
      <c r="S274" s="21">
        <f t="shared" si="35"/>
        <v>7170104.8306153025</v>
      </c>
      <c r="T274" s="32">
        <f>1/(1+Calculation_Assumptions!$B$8)^(B274-Calculation_Assumptions!$B$2)</f>
        <v>0.70137988019297326</v>
      </c>
      <c r="U274" s="21">
        <f t="shared" si="36"/>
        <v>0</v>
      </c>
      <c r="V274" s="21">
        <f t="shared" si="37"/>
        <v>5028967.2670680201</v>
      </c>
      <c r="W274" s="21">
        <f t="shared" si="38"/>
        <v>5028967.2670680201</v>
      </c>
      <c r="X274">
        <v>0</v>
      </c>
      <c r="Y274" s="18">
        <v>2017</v>
      </c>
      <c r="Z274" t="s">
        <v>264</v>
      </c>
      <c r="AA274" s="21">
        <f t="shared" si="39"/>
        <v>1</v>
      </c>
    </row>
    <row r="275" spans="1:27">
      <c r="A275" t="s">
        <v>76</v>
      </c>
      <c r="B275" s="18">
        <v>2038</v>
      </c>
      <c r="C275" t="s">
        <v>212</v>
      </c>
      <c r="D275" s="20" t="s">
        <v>352</v>
      </c>
      <c r="E275" s="20" t="s">
        <v>353</v>
      </c>
      <c r="F275" s="20" t="s">
        <v>218</v>
      </c>
      <c r="G275" s="20" t="s">
        <v>336</v>
      </c>
      <c r="H275" s="20" t="s">
        <v>338</v>
      </c>
      <c r="I275" s="29">
        <v>1</v>
      </c>
      <c r="J275" s="30">
        <v>1</v>
      </c>
      <c r="K275" s="31">
        <v>2.3099999999999999E-2</v>
      </c>
      <c r="L275" s="9">
        <v>311906222.57839799</v>
      </c>
      <c r="M275" s="9">
        <v>311445837.13462502</v>
      </c>
      <c r="N275" s="32">
        <f>MIN(MAX((B275-Calculation_Assumptions!$B$5+1)/Calculation_Assumptions!$B$7,0),1)</f>
        <v>1</v>
      </c>
      <c r="O275" s="21">
        <f t="shared" si="32"/>
        <v>311906222.57839799</v>
      </c>
      <c r="P275" s="21">
        <f t="shared" si="33"/>
        <v>311445837.13462502</v>
      </c>
      <c r="Q275" s="21">
        <f>P275*Calculation_Assumptions!$B$14*J275*K275</f>
        <v>0</v>
      </c>
      <c r="R275" s="21">
        <f t="shared" si="34"/>
        <v>7205033.7415609928</v>
      </c>
      <c r="S275" s="21">
        <f t="shared" si="35"/>
        <v>7205033.7415609928</v>
      </c>
      <c r="T275" s="32">
        <f>1/(1+Calculation_Assumptions!$B$8)^(B275-Calculation_Assumptions!$B$2)</f>
        <v>0.68095133999317792</v>
      </c>
      <c r="U275" s="21">
        <f t="shared" si="36"/>
        <v>0</v>
      </c>
      <c r="V275" s="21">
        <f t="shared" si="37"/>
        <v>4906277.3810120188</v>
      </c>
      <c r="W275" s="21">
        <f t="shared" si="38"/>
        <v>4906277.3810120188</v>
      </c>
      <c r="X275">
        <v>0</v>
      </c>
      <c r="Y275" s="18">
        <v>2017</v>
      </c>
      <c r="Z275" t="s">
        <v>264</v>
      </c>
      <c r="AA275" s="21">
        <f t="shared" si="39"/>
        <v>1</v>
      </c>
    </row>
    <row r="276" spans="1:27">
      <c r="A276" t="s">
        <v>76</v>
      </c>
      <c r="B276" s="18">
        <v>2039</v>
      </c>
      <c r="C276" t="s">
        <v>212</v>
      </c>
      <c r="D276" s="20" t="s">
        <v>352</v>
      </c>
      <c r="E276" s="20" t="s">
        <v>353</v>
      </c>
      <c r="F276" s="20" t="s">
        <v>218</v>
      </c>
      <c r="G276" s="20" t="s">
        <v>336</v>
      </c>
      <c r="H276" s="20" t="s">
        <v>338</v>
      </c>
      <c r="I276" s="29">
        <v>1</v>
      </c>
      <c r="J276" s="30">
        <v>1</v>
      </c>
      <c r="K276" s="31">
        <v>2.3099999999999999E-2</v>
      </c>
      <c r="L276" s="9">
        <v>313363821.52061498</v>
      </c>
      <c r="M276" s="9">
        <v>312806989.71568501</v>
      </c>
      <c r="N276" s="32">
        <f>MIN(MAX((B276-Calculation_Assumptions!$B$5+1)/Calculation_Assumptions!$B$7,0),1)</f>
        <v>1</v>
      </c>
      <c r="O276" s="21">
        <f t="shared" si="32"/>
        <v>313363821.52061498</v>
      </c>
      <c r="P276" s="21">
        <f t="shared" si="33"/>
        <v>312806989.71568501</v>
      </c>
      <c r="Q276" s="21">
        <f>P276*Calculation_Assumptions!$B$14*J276*K276</f>
        <v>0</v>
      </c>
      <c r="R276" s="21">
        <f t="shared" si="34"/>
        <v>7238704.2771262061</v>
      </c>
      <c r="S276" s="21">
        <f t="shared" si="35"/>
        <v>7238704.2771262061</v>
      </c>
      <c r="T276" s="32">
        <f>1/(1+Calculation_Assumptions!$B$8)^(B276-Calculation_Assumptions!$B$2)</f>
        <v>0.66111780581861923</v>
      </c>
      <c r="U276" s="21">
        <f t="shared" si="36"/>
        <v>0</v>
      </c>
      <c r="V276" s="21">
        <f t="shared" si="37"/>
        <v>4785636.2886635317</v>
      </c>
      <c r="W276" s="21">
        <f t="shared" si="38"/>
        <v>4785636.2886635317</v>
      </c>
      <c r="X276">
        <v>0</v>
      </c>
      <c r="Y276" s="18">
        <v>2017</v>
      </c>
      <c r="Z276" t="s">
        <v>264</v>
      </c>
      <c r="AA276" s="21">
        <f t="shared" si="39"/>
        <v>1</v>
      </c>
    </row>
    <row r="277" spans="1:27">
      <c r="A277" t="s">
        <v>76</v>
      </c>
      <c r="B277" s="18">
        <v>2040</v>
      </c>
      <c r="C277" t="s">
        <v>212</v>
      </c>
      <c r="D277" s="20" t="s">
        <v>352</v>
      </c>
      <c r="E277" s="20" t="s">
        <v>353</v>
      </c>
      <c r="F277" s="20" t="s">
        <v>218</v>
      </c>
      <c r="G277" s="20" t="s">
        <v>336</v>
      </c>
      <c r="H277" s="20" t="s">
        <v>338</v>
      </c>
      <c r="I277" s="29">
        <v>1</v>
      </c>
      <c r="J277" s="30">
        <v>1</v>
      </c>
      <c r="K277" s="31">
        <v>2.3099999999999999E-2</v>
      </c>
      <c r="L277" s="9">
        <v>314768783.15463299</v>
      </c>
      <c r="M277" s="9">
        <v>314109251.58264899</v>
      </c>
      <c r="N277" s="32">
        <f>MIN(MAX((B277-Calculation_Assumptions!$B$5+1)/Calculation_Assumptions!$B$7,0),1)</f>
        <v>1</v>
      </c>
      <c r="O277" s="21">
        <f t="shared" si="32"/>
        <v>314768783.15463299</v>
      </c>
      <c r="P277" s="21">
        <f t="shared" si="33"/>
        <v>314109251.58264899</v>
      </c>
      <c r="Q277" s="21">
        <f>P277*Calculation_Assumptions!$B$14*J277*K277</f>
        <v>0</v>
      </c>
      <c r="R277" s="21">
        <f t="shared" si="34"/>
        <v>7271158.8908720212</v>
      </c>
      <c r="S277" s="21">
        <f t="shared" si="35"/>
        <v>7271158.8908720212</v>
      </c>
      <c r="T277" s="32">
        <f>1/(1+Calculation_Assumptions!$B$8)^(B277-Calculation_Assumptions!$B$2)</f>
        <v>0.64186194739671765</v>
      </c>
      <c r="U277" s="21">
        <f t="shared" si="36"/>
        <v>0</v>
      </c>
      <c r="V277" s="21">
        <f t="shared" si="37"/>
        <v>4667080.2055260735</v>
      </c>
      <c r="W277" s="21">
        <f t="shared" si="38"/>
        <v>4667080.2055260735</v>
      </c>
      <c r="X277">
        <v>0</v>
      </c>
      <c r="Y277" s="18">
        <v>2017</v>
      </c>
      <c r="Z277" t="s">
        <v>264</v>
      </c>
      <c r="AA277" s="21">
        <f t="shared" si="39"/>
        <v>1</v>
      </c>
    </row>
    <row r="278" spans="1:27">
      <c r="A278" t="s">
        <v>76</v>
      </c>
      <c r="B278" s="18">
        <v>2041</v>
      </c>
      <c r="C278" t="s">
        <v>212</v>
      </c>
      <c r="D278" s="20" t="s">
        <v>352</v>
      </c>
      <c r="E278" s="20" t="s">
        <v>353</v>
      </c>
      <c r="F278" s="20" t="s">
        <v>218</v>
      </c>
      <c r="G278" s="20" t="s">
        <v>336</v>
      </c>
      <c r="H278" s="20" t="s">
        <v>338</v>
      </c>
      <c r="I278" s="29">
        <v>1</v>
      </c>
      <c r="J278" s="30">
        <v>1</v>
      </c>
      <c r="K278" s="31">
        <v>2.3099999999999999E-2</v>
      </c>
      <c r="L278" s="9">
        <v>316119789.29580498</v>
      </c>
      <c r="M278" s="9">
        <v>315352079.81242299</v>
      </c>
      <c r="N278" s="32">
        <f>MIN(MAX((B278-Calculation_Assumptions!$B$5+1)/Calculation_Assumptions!$B$7,0),1)</f>
        <v>1</v>
      </c>
      <c r="O278" s="21">
        <f t="shared" si="32"/>
        <v>316119789.29580498</v>
      </c>
      <c r="P278" s="21">
        <f t="shared" si="33"/>
        <v>315352079.81242299</v>
      </c>
      <c r="Q278" s="21">
        <f>P278*Calculation_Assumptions!$B$14*J278*K278</f>
        <v>0</v>
      </c>
      <c r="R278" s="21">
        <f t="shared" si="34"/>
        <v>7302367.1327330945</v>
      </c>
      <c r="S278" s="21">
        <f t="shared" si="35"/>
        <v>7302367.1327330945</v>
      </c>
      <c r="T278" s="32">
        <f>1/(1+Calculation_Assumptions!$B$8)^(B278-Calculation_Assumptions!$B$2)</f>
        <v>0.62316693922011435</v>
      </c>
      <c r="U278" s="21">
        <f t="shared" si="36"/>
        <v>0</v>
      </c>
      <c r="V278" s="21">
        <f t="shared" si="37"/>
        <v>4550593.7751668449</v>
      </c>
      <c r="W278" s="21">
        <f t="shared" si="38"/>
        <v>4550593.7751668449</v>
      </c>
      <c r="X278">
        <v>0</v>
      </c>
      <c r="Y278" s="18">
        <v>2017</v>
      </c>
      <c r="Z278" t="s">
        <v>264</v>
      </c>
      <c r="AA278" s="21">
        <f t="shared" si="39"/>
        <v>1</v>
      </c>
    </row>
    <row r="279" spans="1:27">
      <c r="A279" t="s">
        <v>76</v>
      </c>
      <c r="B279" s="18">
        <v>2042</v>
      </c>
      <c r="C279" t="s">
        <v>212</v>
      </c>
      <c r="D279" s="20" t="s">
        <v>352</v>
      </c>
      <c r="E279" s="20" t="s">
        <v>353</v>
      </c>
      <c r="F279" s="20" t="s">
        <v>218</v>
      </c>
      <c r="G279" s="20" t="s">
        <v>336</v>
      </c>
      <c r="H279" s="20" t="s">
        <v>338</v>
      </c>
      <c r="I279" s="29">
        <v>1</v>
      </c>
      <c r="J279" s="30">
        <v>1</v>
      </c>
      <c r="K279" s="31">
        <v>2.3099999999999999E-2</v>
      </c>
      <c r="L279" s="9">
        <v>317417240.49647599</v>
      </c>
      <c r="M279" s="9">
        <v>316395286.31201601</v>
      </c>
      <c r="N279" s="32">
        <f>MIN(MAX((B279-Calculation_Assumptions!$B$5+1)/Calculation_Assumptions!$B$7,0),1)</f>
        <v>1</v>
      </c>
      <c r="O279" s="21">
        <f t="shared" si="32"/>
        <v>317417240.49647599</v>
      </c>
      <c r="P279" s="21">
        <f t="shared" si="33"/>
        <v>316395286.31201601</v>
      </c>
      <c r="Q279" s="21">
        <f>P279*Calculation_Assumptions!$B$14*J279*K279</f>
        <v>0</v>
      </c>
      <c r="R279" s="21">
        <f t="shared" si="34"/>
        <v>7332338.2554685948</v>
      </c>
      <c r="S279" s="21">
        <f t="shared" si="35"/>
        <v>7332338.2554685948</v>
      </c>
      <c r="T279" s="32">
        <f>1/(1+Calculation_Assumptions!$B$8)^(B279-Calculation_Assumptions!$B$2)</f>
        <v>0.60501644584477121</v>
      </c>
      <c r="U279" s="21">
        <f t="shared" si="36"/>
        <v>0</v>
      </c>
      <c r="V279" s="21">
        <f t="shared" si="37"/>
        <v>4436185.2310552597</v>
      </c>
      <c r="W279" s="21">
        <f t="shared" si="38"/>
        <v>4436185.2310552597</v>
      </c>
      <c r="X279">
        <v>0</v>
      </c>
      <c r="Y279" s="18">
        <v>2017</v>
      </c>
      <c r="Z279" t="s">
        <v>264</v>
      </c>
      <c r="AA279" s="21">
        <f t="shared" si="39"/>
        <v>1</v>
      </c>
    </row>
    <row r="280" spans="1:27">
      <c r="A280" t="s">
        <v>76</v>
      </c>
      <c r="B280" s="18">
        <v>2043</v>
      </c>
      <c r="C280" t="s">
        <v>212</v>
      </c>
      <c r="D280" s="20" t="s">
        <v>352</v>
      </c>
      <c r="E280" s="20" t="s">
        <v>353</v>
      </c>
      <c r="F280" s="20" t="s">
        <v>218</v>
      </c>
      <c r="G280" s="20" t="s">
        <v>336</v>
      </c>
      <c r="H280" s="20" t="s">
        <v>338</v>
      </c>
      <c r="I280" s="29">
        <v>1</v>
      </c>
      <c r="J280" s="30">
        <v>1</v>
      </c>
      <c r="K280" s="31">
        <v>2.3099999999999999E-2</v>
      </c>
      <c r="L280" s="9">
        <v>318779591.21990502</v>
      </c>
      <c r="M280" s="9">
        <v>317619735.68828899</v>
      </c>
      <c r="N280" s="32">
        <f>MIN(MAX((B280-Calculation_Assumptions!$B$5+1)/Calculation_Assumptions!$B$7,0),1)</f>
        <v>1</v>
      </c>
      <c r="O280" s="21">
        <f t="shared" si="32"/>
        <v>318779591.21990502</v>
      </c>
      <c r="P280" s="21">
        <f t="shared" si="33"/>
        <v>317619735.68828899</v>
      </c>
      <c r="Q280" s="21">
        <f>P280*Calculation_Assumptions!$B$14*J280*K280</f>
        <v>0</v>
      </c>
      <c r="R280" s="21">
        <f t="shared" si="34"/>
        <v>7363808.5571798058</v>
      </c>
      <c r="S280" s="21">
        <f t="shared" si="35"/>
        <v>7363808.5571798058</v>
      </c>
      <c r="T280" s="32">
        <f>1/(1+Calculation_Assumptions!$B$8)^(B280-Calculation_Assumptions!$B$2)</f>
        <v>0.5873946076162827</v>
      </c>
      <c r="U280" s="21">
        <f t="shared" si="36"/>
        <v>0</v>
      </c>
      <c r="V280" s="21">
        <f t="shared" si="37"/>
        <v>4325461.4380060565</v>
      </c>
      <c r="W280" s="21">
        <f t="shared" si="38"/>
        <v>4325461.4380060565</v>
      </c>
      <c r="X280">
        <v>0</v>
      </c>
      <c r="Y280" s="18">
        <v>2017</v>
      </c>
      <c r="Z280" t="s">
        <v>264</v>
      </c>
      <c r="AA280" s="21">
        <f t="shared" si="39"/>
        <v>1</v>
      </c>
    </row>
    <row r="281" spans="1:27">
      <c r="A281" t="s">
        <v>76</v>
      </c>
      <c r="B281" s="18">
        <v>2044</v>
      </c>
      <c r="C281" t="s">
        <v>212</v>
      </c>
      <c r="D281" s="20" t="s">
        <v>352</v>
      </c>
      <c r="E281" s="20" t="s">
        <v>353</v>
      </c>
      <c r="F281" s="20" t="s">
        <v>218</v>
      </c>
      <c r="G281" s="20" t="s">
        <v>336</v>
      </c>
      <c r="H281" s="20" t="s">
        <v>338</v>
      </c>
      <c r="I281" s="29">
        <v>1</v>
      </c>
      <c r="J281" s="30">
        <v>1</v>
      </c>
      <c r="K281" s="31">
        <v>2.3099999999999999E-2</v>
      </c>
      <c r="L281" s="9">
        <v>319985562.36722702</v>
      </c>
      <c r="M281" s="9">
        <v>318697135.86365199</v>
      </c>
      <c r="N281" s="32">
        <f>MIN(MAX((B281-Calculation_Assumptions!$B$5+1)/Calculation_Assumptions!$B$7,0),1)</f>
        <v>1</v>
      </c>
      <c r="O281" s="21">
        <f t="shared" si="32"/>
        <v>319985562.36722702</v>
      </c>
      <c r="P281" s="21">
        <f t="shared" si="33"/>
        <v>318697135.86365199</v>
      </c>
      <c r="Q281" s="21">
        <f>P281*Calculation_Assumptions!$B$14*J281*K281</f>
        <v>0</v>
      </c>
      <c r="R281" s="21">
        <f t="shared" si="34"/>
        <v>7391666.4906829437</v>
      </c>
      <c r="S281" s="21">
        <f t="shared" si="35"/>
        <v>7391666.4906829437</v>
      </c>
      <c r="T281" s="32">
        <f>1/(1+Calculation_Assumptions!$B$8)^(B281-Calculation_Assumptions!$B$2)</f>
        <v>0.57028602681192497</v>
      </c>
      <c r="U281" s="21">
        <f t="shared" si="36"/>
        <v>0</v>
      </c>
      <c r="V281" s="21">
        <f t="shared" si="37"/>
        <v>4215364.1144904206</v>
      </c>
      <c r="W281" s="21">
        <f t="shared" si="38"/>
        <v>4215364.1144904206</v>
      </c>
      <c r="X281">
        <v>0</v>
      </c>
      <c r="Y281" s="18">
        <v>2017</v>
      </c>
      <c r="Z281" t="s">
        <v>264</v>
      </c>
      <c r="AA281" s="21">
        <f t="shared" si="39"/>
        <v>1</v>
      </c>
    </row>
    <row r="282" spans="1:27">
      <c r="A282" t="s">
        <v>76</v>
      </c>
      <c r="B282" s="18">
        <v>2045</v>
      </c>
      <c r="C282" t="s">
        <v>212</v>
      </c>
      <c r="D282" s="20" t="s">
        <v>352</v>
      </c>
      <c r="E282" s="20" t="s">
        <v>353</v>
      </c>
      <c r="F282" s="20" t="s">
        <v>218</v>
      </c>
      <c r="G282" s="20" t="s">
        <v>336</v>
      </c>
      <c r="H282" s="20" t="s">
        <v>338</v>
      </c>
      <c r="I282" s="29">
        <v>1</v>
      </c>
      <c r="J282" s="30">
        <v>1</v>
      </c>
      <c r="K282" s="31">
        <v>2.3099999999999999E-2</v>
      </c>
      <c r="L282" s="9">
        <v>320960972.38609999</v>
      </c>
      <c r="M282" s="9">
        <v>319717840.85179001</v>
      </c>
      <c r="N282" s="32">
        <f>MIN(MAX((B282-Calculation_Assumptions!$B$5+1)/Calculation_Assumptions!$B$7,0),1)</f>
        <v>1</v>
      </c>
      <c r="O282" s="21">
        <f t="shared" si="32"/>
        <v>320960972.38609999</v>
      </c>
      <c r="P282" s="21">
        <f t="shared" si="33"/>
        <v>319717840.85179001</v>
      </c>
      <c r="Q282" s="21">
        <f>P282*Calculation_Assumptions!$B$14*J282*K282</f>
        <v>0</v>
      </c>
      <c r="R282" s="21">
        <f t="shared" si="34"/>
        <v>7414198.4621189097</v>
      </c>
      <c r="S282" s="21">
        <f t="shared" si="35"/>
        <v>7414198.4621189097</v>
      </c>
      <c r="T282" s="32">
        <f>1/(1+Calculation_Assumptions!$B$8)^(B282-Calculation_Assumptions!$B$2)</f>
        <v>0.55367575418633497</v>
      </c>
      <c r="U282" s="21">
        <f t="shared" si="36"/>
        <v>0</v>
      </c>
      <c r="V282" s="21">
        <f t="shared" si="37"/>
        <v>4105061.9252008521</v>
      </c>
      <c r="W282" s="21">
        <f t="shared" si="38"/>
        <v>4105061.9252008521</v>
      </c>
      <c r="X282">
        <v>0</v>
      </c>
      <c r="Y282" s="18">
        <v>2017</v>
      </c>
      <c r="Z282" t="s">
        <v>264</v>
      </c>
      <c r="AA282" s="21">
        <f t="shared" si="39"/>
        <v>1</v>
      </c>
    </row>
    <row r="283" spans="1:27">
      <c r="A283" t="s">
        <v>76</v>
      </c>
      <c r="B283" s="18">
        <v>2046</v>
      </c>
      <c r="C283" t="s">
        <v>212</v>
      </c>
      <c r="D283" s="20" t="s">
        <v>352</v>
      </c>
      <c r="E283" s="20" t="s">
        <v>353</v>
      </c>
      <c r="F283" s="20" t="s">
        <v>218</v>
      </c>
      <c r="G283" s="20" t="s">
        <v>336</v>
      </c>
      <c r="H283" s="20" t="s">
        <v>338</v>
      </c>
      <c r="I283" s="29">
        <v>1</v>
      </c>
      <c r="J283" s="30">
        <v>1</v>
      </c>
      <c r="K283" s="31">
        <v>2.3099999999999999E-2</v>
      </c>
      <c r="L283" s="9">
        <v>322053582.24950999</v>
      </c>
      <c r="M283" s="9">
        <v>320683879.80627602</v>
      </c>
      <c r="N283" s="32">
        <f>MIN(MAX((B283-Calculation_Assumptions!$B$5+1)/Calculation_Assumptions!$B$7,0),1)</f>
        <v>1</v>
      </c>
      <c r="O283" s="21">
        <f t="shared" si="32"/>
        <v>322053582.24950999</v>
      </c>
      <c r="P283" s="21">
        <f t="shared" si="33"/>
        <v>320683879.80627602</v>
      </c>
      <c r="Q283" s="21">
        <f>P283*Calculation_Assumptions!$B$14*J283*K283</f>
        <v>0</v>
      </c>
      <c r="R283" s="21">
        <f t="shared" si="34"/>
        <v>7439437.7499636803</v>
      </c>
      <c r="S283" s="21">
        <f t="shared" si="35"/>
        <v>7439437.7499636803</v>
      </c>
      <c r="T283" s="32">
        <f>1/(1+Calculation_Assumptions!$B$8)^(B283-Calculation_Assumptions!$B$2)</f>
        <v>0.5375492759090631</v>
      </c>
      <c r="U283" s="21">
        <f t="shared" si="36"/>
        <v>0</v>
      </c>
      <c r="V283" s="21">
        <f t="shared" si="37"/>
        <v>3999064.3756635259</v>
      </c>
      <c r="W283" s="21">
        <f t="shared" si="38"/>
        <v>3999064.3756635259</v>
      </c>
      <c r="X283">
        <v>0</v>
      </c>
      <c r="Y283" s="18">
        <v>2017</v>
      </c>
      <c r="Z283" t="s">
        <v>264</v>
      </c>
      <c r="AA283" s="21">
        <f t="shared" si="39"/>
        <v>1</v>
      </c>
    </row>
    <row r="284" spans="1:27">
      <c r="A284" t="s">
        <v>76</v>
      </c>
      <c r="B284" s="18">
        <v>2047</v>
      </c>
      <c r="C284" t="s">
        <v>212</v>
      </c>
      <c r="D284" s="20" t="s">
        <v>352</v>
      </c>
      <c r="E284" s="20" t="s">
        <v>353</v>
      </c>
      <c r="F284" s="20" t="s">
        <v>218</v>
      </c>
      <c r="G284" s="20" t="s">
        <v>336</v>
      </c>
      <c r="H284" s="20" t="s">
        <v>338</v>
      </c>
      <c r="I284" s="29">
        <v>1</v>
      </c>
      <c r="J284" s="30">
        <v>1</v>
      </c>
      <c r="K284" s="31">
        <v>2.3099999999999999E-2</v>
      </c>
      <c r="L284" s="9">
        <v>323093320.95173001</v>
      </c>
      <c r="M284" s="9">
        <v>321595541.38952601</v>
      </c>
      <c r="N284" s="32">
        <f>MIN(MAX((B284-Calculation_Assumptions!$B$5+1)/Calculation_Assumptions!$B$7,0),1)</f>
        <v>1</v>
      </c>
      <c r="O284" s="21">
        <f t="shared" si="32"/>
        <v>323093320.95173001</v>
      </c>
      <c r="P284" s="21">
        <f t="shared" si="33"/>
        <v>321595541.38952601</v>
      </c>
      <c r="Q284" s="21">
        <f>P284*Calculation_Assumptions!$B$14*J284*K284</f>
        <v>0</v>
      </c>
      <c r="R284" s="21">
        <f t="shared" si="34"/>
        <v>7463455.7139849626</v>
      </c>
      <c r="S284" s="21">
        <f t="shared" si="35"/>
        <v>7463455.7139849626</v>
      </c>
      <c r="T284" s="32">
        <f>1/(1+Calculation_Assumptions!$B$8)^(B284-Calculation_Assumptions!$B$2)</f>
        <v>0.52189250088258554</v>
      </c>
      <c r="U284" s="21">
        <f t="shared" si="36"/>
        <v>0</v>
      </c>
      <c r="V284" s="21">
        <f t="shared" si="37"/>
        <v>3895121.5677980352</v>
      </c>
      <c r="W284" s="21">
        <f t="shared" si="38"/>
        <v>3895121.5677980352</v>
      </c>
      <c r="X284">
        <v>0</v>
      </c>
      <c r="Y284" s="18">
        <v>2017</v>
      </c>
      <c r="Z284" t="s">
        <v>264</v>
      </c>
      <c r="AA284" s="21">
        <f t="shared" si="39"/>
        <v>1</v>
      </c>
    </row>
    <row r="285" spans="1:27">
      <c r="A285" t="s">
        <v>76</v>
      </c>
      <c r="B285" s="18">
        <v>2048</v>
      </c>
      <c r="C285" t="s">
        <v>212</v>
      </c>
      <c r="D285" s="20" t="s">
        <v>352</v>
      </c>
      <c r="E285" s="20" t="s">
        <v>353</v>
      </c>
      <c r="F285" s="20" t="s">
        <v>218</v>
      </c>
      <c r="G285" s="20" t="s">
        <v>336</v>
      </c>
      <c r="H285" s="20" t="s">
        <v>338</v>
      </c>
      <c r="I285" s="29">
        <v>1</v>
      </c>
      <c r="J285" s="30">
        <v>1</v>
      </c>
      <c r="K285" s="31">
        <v>2.3099999999999999E-2</v>
      </c>
      <c r="L285" s="9">
        <v>324080784.77517301</v>
      </c>
      <c r="M285" s="9">
        <v>322453622.66946399</v>
      </c>
      <c r="N285" s="32">
        <f>MIN(MAX((B285-Calculation_Assumptions!$B$5+1)/Calculation_Assumptions!$B$7,0),1)</f>
        <v>1</v>
      </c>
      <c r="O285" s="21">
        <f t="shared" si="32"/>
        <v>324080784.77517301</v>
      </c>
      <c r="P285" s="21">
        <f t="shared" si="33"/>
        <v>322453622.66946399</v>
      </c>
      <c r="Q285" s="21">
        <f>P285*Calculation_Assumptions!$B$14*J285*K285</f>
        <v>0</v>
      </c>
      <c r="R285" s="21">
        <f t="shared" si="34"/>
        <v>7486266.128306496</v>
      </c>
      <c r="S285" s="21">
        <f t="shared" si="35"/>
        <v>7486266.128306496</v>
      </c>
      <c r="T285" s="32">
        <f>1/(1+Calculation_Assumptions!$B$8)^(B285-Calculation_Assumptions!$B$2)</f>
        <v>0.50669174842969467</v>
      </c>
      <c r="U285" s="21">
        <f t="shared" si="36"/>
        <v>0</v>
      </c>
      <c r="V285" s="21">
        <f t="shared" si="37"/>
        <v>3793229.2737616193</v>
      </c>
      <c r="W285" s="21">
        <f t="shared" si="38"/>
        <v>3793229.2737616193</v>
      </c>
      <c r="X285">
        <v>0</v>
      </c>
      <c r="Y285" s="18">
        <v>2017</v>
      </c>
      <c r="Z285" t="s">
        <v>264</v>
      </c>
      <c r="AA285" s="21">
        <f t="shared" si="39"/>
        <v>1</v>
      </c>
    </row>
    <row r="286" spans="1:27">
      <c r="A286" t="s">
        <v>76</v>
      </c>
      <c r="B286" s="18">
        <v>2049</v>
      </c>
      <c r="C286" t="s">
        <v>212</v>
      </c>
      <c r="D286" s="20" t="s">
        <v>352</v>
      </c>
      <c r="E286" s="20" t="s">
        <v>353</v>
      </c>
      <c r="F286" s="20" t="s">
        <v>218</v>
      </c>
      <c r="G286" s="20" t="s">
        <v>336</v>
      </c>
      <c r="H286" s="20" t="s">
        <v>338</v>
      </c>
      <c r="I286" s="29">
        <v>1</v>
      </c>
      <c r="J286" s="30">
        <v>1</v>
      </c>
      <c r="K286" s="31">
        <v>2.3099999999999999E-2</v>
      </c>
      <c r="L286" s="9">
        <v>325016726.58335501</v>
      </c>
      <c r="M286" s="9">
        <v>323259246.71671897</v>
      </c>
      <c r="N286" s="32">
        <f>MIN(MAX((B286-Calculation_Assumptions!$B$5+1)/Calculation_Assumptions!$B$7,0),1)</f>
        <v>1</v>
      </c>
      <c r="O286" s="21">
        <f t="shared" si="32"/>
        <v>325016726.58335501</v>
      </c>
      <c r="P286" s="21">
        <f t="shared" si="33"/>
        <v>323259246.71671897</v>
      </c>
      <c r="Q286" s="21">
        <f>P286*Calculation_Assumptions!$B$14*J286*K286</f>
        <v>0</v>
      </c>
      <c r="R286" s="21">
        <f t="shared" si="34"/>
        <v>7507886.3840755001</v>
      </c>
      <c r="S286" s="21">
        <f t="shared" si="35"/>
        <v>7507886.3840755001</v>
      </c>
      <c r="T286" s="32">
        <f>1/(1+Calculation_Assumptions!$B$8)^(B286-Calculation_Assumptions!$B$2)</f>
        <v>0.49193373633950943</v>
      </c>
      <c r="U286" s="21">
        <f t="shared" si="36"/>
        <v>0</v>
      </c>
      <c r="V286" s="21">
        <f t="shared" si="37"/>
        <v>3693382.60093079</v>
      </c>
      <c r="W286" s="21">
        <f t="shared" si="38"/>
        <v>3693382.60093079</v>
      </c>
      <c r="X286">
        <v>0</v>
      </c>
      <c r="Y286" s="18">
        <v>2017</v>
      </c>
      <c r="Z286" t="s">
        <v>264</v>
      </c>
      <c r="AA286" s="21">
        <f t="shared" si="39"/>
        <v>1</v>
      </c>
    </row>
    <row r="287" spans="1:27">
      <c r="A287" t="s">
        <v>76</v>
      </c>
      <c r="B287" s="18">
        <v>2050</v>
      </c>
      <c r="C287" t="s">
        <v>212</v>
      </c>
      <c r="D287" s="20" t="s">
        <v>352</v>
      </c>
      <c r="E287" s="20" t="s">
        <v>353</v>
      </c>
      <c r="F287" s="20" t="s">
        <v>218</v>
      </c>
      <c r="G287" s="20" t="s">
        <v>336</v>
      </c>
      <c r="H287" s="20" t="s">
        <v>338</v>
      </c>
      <c r="I287" s="29">
        <v>1</v>
      </c>
      <c r="J287" s="30">
        <v>1</v>
      </c>
      <c r="K287" s="31">
        <v>2.3099999999999999E-2</v>
      </c>
      <c r="L287" s="9">
        <v>325902090.73091602</v>
      </c>
      <c r="M287" s="9">
        <v>324013738.18247902</v>
      </c>
      <c r="N287" s="32">
        <f>MIN(MAX((B287-Calculation_Assumptions!$B$5+1)/Calculation_Assumptions!$B$7,0),1)</f>
        <v>1</v>
      </c>
      <c r="O287" s="21">
        <f t="shared" si="32"/>
        <v>325902090.73091602</v>
      </c>
      <c r="P287" s="21">
        <f t="shared" si="33"/>
        <v>324013738.18247902</v>
      </c>
      <c r="Q287" s="21">
        <f>P287*Calculation_Assumptions!$B$14*J287*K287</f>
        <v>0</v>
      </c>
      <c r="R287" s="21">
        <f t="shared" si="34"/>
        <v>7528338.2958841594</v>
      </c>
      <c r="S287" s="21">
        <f t="shared" si="35"/>
        <v>7528338.2958841594</v>
      </c>
      <c r="T287" s="32">
        <f>1/(1+Calculation_Assumptions!$B$8)^(B287-Calculation_Assumptions!$B$2)</f>
        <v>0.47760556926165965</v>
      </c>
      <c r="U287" s="21">
        <f t="shared" si="36"/>
        <v>0</v>
      </c>
      <c r="V287" s="21">
        <f t="shared" si="37"/>
        <v>3595576.2974001067</v>
      </c>
      <c r="W287" s="21">
        <f t="shared" si="38"/>
        <v>3595576.2974001067</v>
      </c>
      <c r="X287">
        <v>0</v>
      </c>
      <c r="Y287" s="18">
        <v>2017</v>
      </c>
      <c r="Z287" t="s">
        <v>264</v>
      </c>
      <c r="AA287" s="21">
        <f t="shared" si="39"/>
        <v>1</v>
      </c>
    </row>
    <row r="288" spans="1:27">
      <c r="A288" t="s">
        <v>76</v>
      </c>
      <c r="B288" s="18">
        <v>2025</v>
      </c>
      <c r="C288" t="s">
        <v>223</v>
      </c>
      <c r="D288" s="20" t="s">
        <v>354</v>
      </c>
      <c r="E288" s="20" t="s">
        <v>355</v>
      </c>
      <c r="F288" s="20" t="s">
        <v>226</v>
      </c>
      <c r="G288" s="20" t="s">
        <v>336</v>
      </c>
      <c r="H288" s="20" t="s">
        <v>338</v>
      </c>
      <c r="I288" s="29">
        <v>1</v>
      </c>
      <c r="J288" s="30">
        <v>1</v>
      </c>
      <c r="K288" s="31">
        <v>4.0000000000000001E-3</v>
      </c>
      <c r="L288" s="9">
        <v>288000821.106462</v>
      </c>
      <c r="M288" s="9">
        <v>288000821.106462</v>
      </c>
      <c r="N288" s="32">
        <f>MIN(MAX((B288-Calculation_Assumptions!$B$5+1)/Calculation_Assumptions!$B$7,0),1)</f>
        <v>0</v>
      </c>
      <c r="O288" s="21">
        <f t="shared" si="32"/>
        <v>288000821.106462</v>
      </c>
      <c r="P288" s="21">
        <f t="shared" si="33"/>
        <v>288000821.106462</v>
      </c>
      <c r="Q288" s="21">
        <f>P288*Calculation_Assumptions!$B$14*J288*K288</f>
        <v>0</v>
      </c>
      <c r="R288" s="21">
        <f t="shared" si="34"/>
        <v>0</v>
      </c>
      <c r="S288" s="21">
        <f t="shared" si="35"/>
        <v>0</v>
      </c>
      <c r="T288" s="32">
        <f>1/(1+Calculation_Assumptions!$B$8)^(B288-Calculation_Assumptions!$B$2)</f>
        <v>1</v>
      </c>
      <c r="U288" s="21">
        <f t="shared" si="36"/>
        <v>0</v>
      </c>
      <c r="V288" s="21">
        <f t="shared" si="37"/>
        <v>0</v>
      </c>
      <c r="W288" s="21">
        <f t="shared" si="38"/>
        <v>0</v>
      </c>
      <c r="X288">
        <v>0</v>
      </c>
      <c r="Y288" s="18">
        <v>2017</v>
      </c>
      <c r="Z288" t="s">
        <v>264</v>
      </c>
      <c r="AA288" s="21">
        <f t="shared" si="39"/>
        <v>1</v>
      </c>
    </row>
    <row r="289" spans="1:27">
      <c r="A289" t="s">
        <v>76</v>
      </c>
      <c r="B289" s="18">
        <v>2026</v>
      </c>
      <c r="C289" t="s">
        <v>223</v>
      </c>
      <c r="D289" s="20" t="s">
        <v>354</v>
      </c>
      <c r="E289" s="20" t="s">
        <v>355</v>
      </c>
      <c r="F289" s="20" t="s">
        <v>226</v>
      </c>
      <c r="G289" s="20" t="s">
        <v>336</v>
      </c>
      <c r="H289" s="20" t="s">
        <v>338</v>
      </c>
      <c r="I289" s="29">
        <v>1</v>
      </c>
      <c r="J289" s="30">
        <v>1</v>
      </c>
      <c r="K289" s="31">
        <v>4.0000000000000001E-3</v>
      </c>
      <c r="L289" s="9">
        <v>290123496.10321897</v>
      </c>
      <c r="M289" s="9">
        <v>290123496.10321897</v>
      </c>
      <c r="N289" s="32">
        <f>MIN(MAX((B289-Calculation_Assumptions!$B$5+1)/Calculation_Assumptions!$B$7,0),1)</f>
        <v>0.33333333333333331</v>
      </c>
      <c r="O289" s="21">
        <f t="shared" si="32"/>
        <v>290123496.10321897</v>
      </c>
      <c r="P289" s="21">
        <f t="shared" si="33"/>
        <v>290123496.10321897</v>
      </c>
      <c r="Q289" s="21">
        <f>P289*Calculation_Assumptions!$B$14*J289*K289</f>
        <v>0</v>
      </c>
      <c r="R289" s="21">
        <f t="shared" si="34"/>
        <v>386831.3281376253</v>
      </c>
      <c r="S289" s="21">
        <f t="shared" si="35"/>
        <v>386831.3281376253</v>
      </c>
      <c r="T289" s="32">
        <f>1/(1+Calculation_Assumptions!$B$8)^(B289-Calculation_Assumptions!$B$2)</f>
        <v>0.970873786407767</v>
      </c>
      <c r="U289" s="21">
        <f t="shared" si="36"/>
        <v>0</v>
      </c>
      <c r="V289" s="21">
        <f t="shared" si="37"/>
        <v>375564.39625012164</v>
      </c>
      <c r="W289" s="21">
        <f t="shared" si="38"/>
        <v>375564.39625012164</v>
      </c>
      <c r="X289">
        <v>0</v>
      </c>
      <c r="Y289" s="18">
        <v>2017</v>
      </c>
      <c r="Z289" t="s">
        <v>264</v>
      </c>
      <c r="AA289" s="21">
        <f t="shared" si="39"/>
        <v>1</v>
      </c>
    </row>
    <row r="290" spans="1:27">
      <c r="A290" t="s">
        <v>76</v>
      </c>
      <c r="B290" s="18">
        <v>2027</v>
      </c>
      <c r="C290" t="s">
        <v>223</v>
      </c>
      <c r="D290" s="20" t="s">
        <v>354</v>
      </c>
      <c r="E290" s="20" t="s">
        <v>355</v>
      </c>
      <c r="F290" s="20" t="s">
        <v>226</v>
      </c>
      <c r="G290" s="20" t="s">
        <v>336</v>
      </c>
      <c r="H290" s="20" t="s">
        <v>338</v>
      </c>
      <c r="I290" s="29">
        <v>1</v>
      </c>
      <c r="J290" s="30">
        <v>1</v>
      </c>
      <c r="K290" s="31">
        <v>4.0000000000000001E-3</v>
      </c>
      <c r="L290" s="9">
        <v>292252895.09695601</v>
      </c>
      <c r="M290" s="9">
        <v>292252895.09695601</v>
      </c>
      <c r="N290" s="32">
        <f>MIN(MAX((B290-Calculation_Assumptions!$B$5+1)/Calculation_Assumptions!$B$7,0),1)</f>
        <v>0.66666666666666663</v>
      </c>
      <c r="O290" s="21">
        <f t="shared" si="32"/>
        <v>292252895.09695601</v>
      </c>
      <c r="P290" s="21">
        <f t="shared" si="33"/>
        <v>292252895.09695601</v>
      </c>
      <c r="Q290" s="21">
        <f>P290*Calculation_Assumptions!$B$14*J290*K290</f>
        <v>0</v>
      </c>
      <c r="R290" s="21">
        <f t="shared" si="34"/>
        <v>779341.05359188269</v>
      </c>
      <c r="S290" s="21">
        <f t="shared" si="35"/>
        <v>779341.05359188269</v>
      </c>
      <c r="T290" s="32">
        <f>1/(1+Calculation_Assumptions!$B$8)^(B290-Calculation_Assumptions!$B$2)</f>
        <v>0.94259590913375435</v>
      </c>
      <c r="U290" s="21">
        <f t="shared" si="36"/>
        <v>0</v>
      </c>
      <c r="V290" s="21">
        <f t="shared" si="37"/>
        <v>734603.68893569859</v>
      </c>
      <c r="W290" s="21">
        <f t="shared" si="38"/>
        <v>734603.68893569859</v>
      </c>
      <c r="X290">
        <v>0</v>
      </c>
      <c r="Y290" s="18">
        <v>2017</v>
      </c>
      <c r="Z290" t="s">
        <v>264</v>
      </c>
      <c r="AA290" s="21">
        <f t="shared" si="39"/>
        <v>1</v>
      </c>
    </row>
    <row r="291" spans="1:27">
      <c r="A291" t="s">
        <v>76</v>
      </c>
      <c r="B291" s="18">
        <v>2028</v>
      </c>
      <c r="C291" t="s">
        <v>223</v>
      </c>
      <c r="D291" s="20" t="s">
        <v>354</v>
      </c>
      <c r="E291" s="20" t="s">
        <v>355</v>
      </c>
      <c r="F291" s="20" t="s">
        <v>226</v>
      </c>
      <c r="G291" s="20" t="s">
        <v>336</v>
      </c>
      <c r="H291" s="20" t="s">
        <v>338</v>
      </c>
      <c r="I291" s="29">
        <v>1</v>
      </c>
      <c r="J291" s="30">
        <v>1</v>
      </c>
      <c r="K291" s="31">
        <v>4.0000000000000001E-3</v>
      </c>
      <c r="L291" s="9">
        <v>294318750.70606601</v>
      </c>
      <c r="M291" s="9">
        <v>294314895.30546498</v>
      </c>
      <c r="N291" s="32">
        <f>MIN(MAX((B291-Calculation_Assumptions!$B$5+1)/Calculation_Assumptions!$B$7,0),1)</f>
        <v>1</v>
      </c>
      <c r="O291" s="21">
        <f t="shared" si="32"/>
        <v>294318750.70606601</v>
      </c>
      <c r="P291" s="21">
        <f t="shared" si="33"/>
        <v>294314895.30546498</v>
      </c>
      <c r="Q291" s="21">
        <f>P291*Calculation_Assumptions!$B$14*J291*K291</f>
        <v>0</v>
      </c>
      <c r="R291" s="21">
        <f t="shared" si="34"/>
        <v>1177275.0028242641</v>
      </c>
      <c r="S291" s="21">
        <f t="shared" si="35"/>
        <v>1177275.0028242641</v>
      </c>
      <c r="T291" s="32">
        <f>1/(1+Calculation_Assumptions!$B$8)^(B291-Calculation_Assumptions!$B$2)</f>
        <v>0.91514165935315961</v>
      </c>
      <c r="U291" s="21">
        <f t="shared" si="36"/>
        <v>0</v>
      </c>
      <c r="V291" s="21">
        <f t="shared" si="37"/>
        <v>1077373.3995995927</v>
      </c>
      <c r="W291" s="21">
        <f t="shared" si="38"/>
        <v>1077373.3995995927</v>
      </c>
      <c r="X291">
        <v>0</v>
      </c>
      <c r="Y291" s="18">
        <v>2017</v>
      </c>
      <c r="Z291" t="s">
        <v>264</v>
      </c>
      <c r="AA291" s="21">
        <f t="shared" si="39"/>
        <v>1</v>
      </c>
    </row>
    <row r="292" spans="1:27">
      <c r="A292" t="s">
        <v>76</v>
      </c>
      <c r="B292" s="18">
        <v>2029</v>
      </c>
      <c r="C292" t="s">
        <v>223</v>
      </c>
      <c r="D292" s="20" t="s">
        <v>354</v>
      </c>
      <c r="E292" s="20" t="s">
        <v>355</v>
      </c>
      <c r="F292" s="20" t="s">
        <v>226</v>
      </c>
      <c r="G292" s="20" t="s">
        <v>336</v>
      </c>
      <c r="H292" s="20" t="s">
        <v>338</v>
      </c>
      <c r="I292" s="29">
        <v>1</v>
      </c>
      <c r="J292" s="30">
        <v>1</v>
      </c>
      <c r="K292" s="31">
        <v>4.0000000000000001E-3</v>
      </c>
      <c r="L292" s="9">
        <v>296356322.26615602</v>
      </c>
      <c r="M292" s="9">
        <v>296341062.542853</v>
      </c>
      <c r="N292" s="32">
        <f>MIN(MAX((B292-Calculation_Assumptions!$B$5+1)/Calculation_Assumptions!$B$7,0),1)</f>
        <v>1</v>
      </c>
      <c r="O292" s="21">
        <f t="shared" si="32"/>
        <v>296356322.26615602</v>
      </c>
      <c r="P292" s="21">
        <f t="shared" si="33"/>
        <v>296341062.542853</v>
      </c>
      <c r="Q292" s="21">
        <f>P292*Calculation_Assumptions!$B$14*J292*K292</f>
        <v>0</v>
      </c>
      <c r="R292" s="21">
        <f t="shared" si="34"/>
        <v>1185425.2890646241</v>
      </c>
      <c r="S292" s="21">
        <f t="shared" si="35"/>
        <v>1185425.2890646241</v>
      </c>
      <c r="T292" s="32">
        <f>1/(1+Calculation_Assumptions!$B$8)^(B292-Calculation_Assumptions!$B$2)</f>
        <v>0.888487047915689</v>
      </c>
      <c r="U292" s="21">
        <f t="shared" si="36"/>
        <v>0</v>
      </c>
      <c r="V292" s="21">
        <f t="shared" si="37"/>
        <v>1053235.0156056301</v>
      </c>
      <c r="W292" s="21">
        <f t="shared" si="38"/>
        <v>1053235.0156056301</v>
      </c>
      <c r="X292">
        <v>0</v>
      </c>
      <c r="Y292" s="18">
        <v>2017</v>
      </c>
      <c r="Z292" t="s">
        <v>264</v>
      </c>
      <c r="AA292" s="21">
        <f t="shared" si="39"/>
        <v>1</v>
      </c>
    </row>
    <row r="293" spans="1:27">
      <c r="A293" t="s">
        <v>76</v>
      </c>
      <c r="B293" s="18">
        <v>2030</v>
      </c>
      <c r="C293" t="s">
        <v>223</v>
      </c>
      <c r="D293" s="20" t="s">
        <v>354</v>
      </c>
      <c r="E293" s="20" t="s">
        <v>355</v>
      </c>
      <c r="F293" s="20" t="s">
        <v>226</v>
      </c>
      <c r="G293" s="20" t="s">
        <v>336</v>
      </c>
      <c r="H293" s="20" t="s">
        <v>338</v>
      </c>
      <c r="I293" s="29">
        <v>1</v>
      </c>
      <c r="J293" s="30">
        <v>1</v>
      </c>
      <c r="K293" s="31">
        <v>4.0000000000000001E-3</v>
      </c>
      <c r="L293" s="9">
        <v>298317004.67873597</v>
      </c>
      <c r="M293" s="9">
        <v>298280286.05726302</v>
      </c>
      <c r="N293" s="32">
        <f>MIN(MAX((B293-Calculation_Assumptions!$B$5+1)/Calculation_Assumptions!$B$7,0),1)</f>
        <v>1</v>
      </c>
      <c r="O293" s="21">
        <f t="shared" si="32"/>
        <v>298317004.67873597</v>
      </c>
      <c r="P293" s="21">
        <f t="shared" si="33"/>
        <v>298280286.05726302</v>
      </c>
      <c r="Q293" s="21">
        <f>P293*Calculation_Assumptions!$B$14*J293*K293</f>
        <v>0</v>
      </c>
      <c r="R293" s="21">
        <f t="shared" si="34"/>
        <v>1193268.0187149439</v>
      </c>
      <c r="S293" s="21">
        <f t="shared" si="35"/>
        <v>1193268.0187149439</v>
      </c>
      <c r="T293" s="32">
        <f>1/(1+Calculation_Assumptions!$B$8)^(B293-Calculation_Assumptions!$B$2)</f>
        <v>0.86260878438416411</v>
      </c>
      <c r="U293" s="21">
        <f t="shared" si="36"/>
        <v>0</v>
      </c>
      <c r="V293" s="21">
        <f t="shared" si="37"/>
        <v>1029323.4750681977</v>
      </c>
      <c r="W293" s="21">
        <f t="shared" si="38"/>
        <v>1029323.4750681977</v>
      </c>
      <c r="X293">
        <v>0</v>
      </c>
      <c r="Y293" s="18">
        <v>2017</v>
      </c>
      <c r="Z293" t="s">
        <v>264</v>
      </c>
      <c r="AA293" s="21">
        <f t="shared" si="39"/>
        <v>1</v>
      </c>
    </row>
    <row r="294" spans="1:27">
      <c r="A294" t="s">
        <v>76</v>
      </c>
      <c r="B294" s="18">
        <v>2031</v>
      </c>
      <c r="C294" t="s">
        <v>223</v>
      </c>
      <c r="D294" s="20" t="s">
        <v>354</v>
      </c>
      <c r="E294" s="20" t="s">
        <v>355</v>
      </c>
      <c r="F294" s="20" t="s">
        <v>226</v>
      </c>
      <c r="G294" s="20" t="s">
        <v>336</v>
      </c>
      <c r="H294" s="20" t="s">
        <v>338</v>
      </c>
      <c r="I294" s="29">
        <v>1</v>
      </c>
      <c r="J294" s="30">
        <v>1</v>
      </c>
      <c r="K294" s="31">
        <v>4.0000000000000001E-3</v>
      </c>
      <c r="L294" s="9">
        <v>300222863.16561598</v>
      </c>
      <c r="M294" s="9">
        <v>300152603.25478202</v>
      </c>
      <c r="N294" s="32">
        <f>MIN(MAX((B294-Calculation_Assumptions!$B$5+1)/Calculation_Assumptions!$B$7,0),1)</f>
        <v>1</v>
      </c>
      <c r="O294" s="21">
        <f t="shared" si="32"/>
        <v>300222863.16561598</v>
      </c>
      <c r="P294" s="21">
        <f t="shared" si="33"/>
        <v>300152603.25478202</v>
      </c>
      <c r="Q294" s="21">
        <f>P294*Calculation_Assumptions!$B$14*J294*K294</f>
        <v>0</v>
      </c>
      <c r="R294" s="21">
        <f t="shared" si="34"/>
        <v>1200891.452662464</v>
      </c>
      <c r="S294" s="21">
        <f t="shared" si="35"/>
        <v>1200891.452662464</v>
      </c>
      <c r="T294" s="32">
        <f>1/(1+Calculation_Assumptions!$B$8)^(B294-Calculation_Assumptions!$B$2)</f>
        <v>0.83748425668365445</v>
      </c>
      <c r="U294" s="21">
        <f t="shared" si="36"/>
        <v>0</v>
      </c>
      <c r="V294" s="21">
        <f t="shared" si="37"/>
        <v>1005727.6855907777</v>
      </c>
      <c r="W294" s="21">
        <f t="shared" si="38"/>
        <v>1005727.6855907777</v>
      </c>
      <c r="X294">
        <v>0</v>
      </c>
      <c r="Y294" s="18">
        <v>2017</v>
      </c>
      <c r="Z294" t="s">
        <v>264</v>
      </c>
      <c r="AA294" s="21">
        <f t="shared" si="39"/>
        <v>1</v>
      </c>
    </row>
    <row r="295" spans="1:27">
      <c r="A295" t="s">
        <v>76</v>
      </c>
      <c r="B295" s="18">
        <v>2032</v>
      </c>
      <c r="C295" t="s">
        <v>223</v>
      </c>
      <c r="D295" s="20" t="s">
        <v>354</v>
      </c>
      <c r="E295" s="20" t="s">
        <v>355</v>
      </c>
      <c r="F295" s="20" t="s">
        <v>226</v>
      </c>
      <c r="G295" s="20" t="s">
        <v>336</v>
      </c>
      <c r="H295" s="20" t="s">
        <v>338</v>
      </c>
      <c r="I295" s="29">
        <v>1</v>
      </c>
      <c r="J295" s="30">
        <v>1</v>
      </c>
      <c r="K295" s="31">
        <v>4.0000000000000001E-3</v>
      </c>
      <c r="L295" s="9">
        <v>302002258.96739</v>
      </c>
      <c r="M295" s="9">
        <v>301959399.63388801</v>
      </c>
      <c r="N295" s="32">
        <f>MIN(MAX((B295-Calculation_Assumptions!$B$5+1)/Calculation_Assumptions!$B$7,0),1)</f>
        <v>1</v>
      </c>
      <c r="O295" s="21">
        <f t="shared" si="32"/>
        <v>302002258.96739</v>
      </c>
      <c r="P295" s="21">
        <f t="shared" si="33"/>
        <v>301959399.63388801</v>
      </c>
      <c r="Q295" s="21">
        <f>P295*Calculation_Assumptions!$B$14*J295*K295</f>
        <v>0</v>
      </c>
      <c r="R295" s="21">
        <f t="shared" si="34"/>
        <v>1208009.03586956</v>
      </c>
      <c r="S295" s="21">
        <f t="shared" si="35"/>
        <v>1208009.03586956</v>
      </c>
      <c r="T295" s="32">
        <f>1/(1+Calculation_Assumptions!$B$8)^(B295-Calculation_Assumptions!$B$2)</f>
        <v>0.81309151134335378</v>
      </c>
      <c r="U295" s="21">
        <f t="shared" si="36"/>
        <v>0</v>
      </c>
      <c r="V295" s="21">
        <f t="shared" si="37"/>
        <v>982221.89269160817</v>
      </c>
      <c r="W295" s="21">
        <f t="shared" si="38"/>
        <v>982221.89269160817</v>
      </c>
      <c r="X295">
        <v>0</v>
      </c>
      <c r="Y295" s="18">
        <v>2017</v>
      </c>
      <c r="Z295" t="s">
        <v>264</v>
      </c>
      <c r="AA295" s="21">
        <f t="shared" si="39"/>
        <v>1</v>
      </c>
    </row>
    <row r="296" spans="1:27">
      <c r="A296" t="s">
        <v>76</v>
      </c>
      <c r="B296" s="18">
        <v>2033</v>
      </c>
      <c r="C296" t="s">
        <v>223</v>
      </c>
      <c r="D296" s="20" t="s">
        <v>354</v>
      </c>
      <c r="E296" s="20" t="s">
        <v>355</v>
      </c>
      <c r="F296" s="20" t="s">
        <v>226</v>
      </c>
      <c r="G296" s="20" t="s">
        <v>336</v>
      </c>
      <c r="H296" s="20" t="s">
        <v>338</v>
      </c>
      <c r="I296" s="29">
        <v>1</v>
      </c>
      <c r="J296" s="30">
        <v>1</v>
      </c>
      <c r="K296" s="31">
        <v>4.0000000000000001E-3</v>
      </c>
      <c r="L296" s="9">
        <v>303792531.13349903</v>
      </c>
      <c r="M296" s="9">
        <v>303701035.20205098</v>
      </c>
      <c r="N296" s="32">
        <f>MIN(MAX((B296-Calculation_Assumptions!$B$5+1)/Calculation_Assumptions!$B$7,0),1)</f>
        <v>1</v>
      </c>
      <c r="O296" s="21">
        <f t="shared" si="32"/>
        <v>303792531.13349903</v>
      </c>
      <c r="P296" s="21">
        <f t="shared" si="33"/>
        <v>303701035.20205098</v>
      </c>
      <c r="Q296" s="21">
        <f>P296*Calculation_Assumptions!$B$14*J296*K296</f>
        <v>0</v>
      </c>
      <c r="R296" s="21">
        <f t="shared" si="34"/>
        <v>1215170.1245339962</v>
      </c>
      <c r="S296" s="21">
        <f t="shared" si="35"/>
        <v>1215170.1245339962</v>
      </c>
      <c r="T296" s="32">
        <f>1/(1+Calculation_Assumptions!$B$8)^(B296-Calculation_Assumptions!$B$2)</f>
        <v>0.78940923431393573</v>
      </c>
      <c r="U296" s="21">
        <f t="shared" si="36"/>
        <v>0</v>
      </c>
      <c r="V296" s="21">
        <f t="shared" si="37"/>
        <v>959266.51756955183</v>
      </c>
      <c r="W296" s="21">
        <f t="shared" si="38"/>
        <v>959266.51756955183</v>
      </c>
      <c r="X296">
        <v>0</v>
      </c>
      <c r="Y296" s="18">
        <v>2017</v>
      </c>
      <c r="Z296" t="s">
        <v>264</v>
      </c>
      <c r="AA296" s="21">
        <f t="shared" si="39"/>
        <v>1</v>
      </c>
    </row>
    <row r="297" spans="1:27">
      <c r="A297" t="s">
        <v>76</v>
      </c>
      <c r="B297" s="18">
        <v>2034</v>
      </c>
      <c r="C297" t="s">
        <v>223</v>
      </c>
      <c r="D297" s="20" t="s">
        <v>354</v>
      </c>
      <c r="E297" s="20" t="s">
        <v>355</v>
      </c>
      <c r="F297" s="20" t="s">
        <v>226</v>
      </c>
      <c r="G297" s="20" t="s">
        <v>336</v>
      </c>
      <c r="H297" s="20" t="s">
        <v>338</v>
      </c>
      <c r="I297" s="29">
        <v>1</v>
      </c>
      <c r="J297" s="30">
        <v>1</v>
      </c>
      <c r="K297" s="31">
        <v>4.0000000000000001E-3</v>
      </c>
      <c r="L297" s="9">
        <v>305527186.92935503</v>
      </c>
      <c r="M297" s="9">
        <v>305377998.093319</v>
      </c>
      <c r="N297" s="32">
        <f>MIN(MAX((B297-Calculation_Assumptions!$B$5+1)/Calculation_Assumptions!$B$7,0),1)</f>
        <v>1</v>
      </c>
      <c r="O297" s="21">
        <f t="shared" si="32"/>
        <v>305527186.92935503</v>
      </c>
      <c r="P297" s="21">
        <f t="shared" si="33"/>
        <v>305377998.093319</v>
      </c>
      <c r="Q297" s="21">
        <f>P297*Calculation_Assumptions!$B$14*J297*K297</f>
        <v>0</v>
      </c>
      <c r="R297" s="21">
        <f t="shared" si="34"/>
        <v>1222108.7477174201</v>
      </c>
      <c r="S297" s="21">
        <f t="shared" si="35"/>
        <v>1222108.7477174201</v>
      </c>
      <c r="T297" s="32">
        <f>1/(1+Calculation_Assumptions!$B$8)^(B297-Calculation_Assumptions!$B$2)</f>
        <v>0.76641673234362695</v>
      </c>
      <c r="U297" s="21">
        <f t="shared" si="36"/>
        <v>0</v>
      </c>
      <c r="V297" s="21">
        <f t="shared" si="37"/>
        <v>936644.5929941471</v>
      </c>
      <c r="W297" s="21">
        <f t="shared" si="38"/>
        <v>936644.5929941471</v>
      </c>
      <c r="X297">
        <v>0</v>
      </c>
      <c r="Y297" s="18">
        <v>2017</v>
      </c>
      <c r="Z297" t="s">
        <v>264</v>
      </c>
      <c r="AA297" s="21">
        <f t="shared" si="39"/>
        <v>1</v>
      </c>
    </row>
    <row r="298" spans="1:27">
      <c r="A298" t="s">
        <v>76</v>
      </c>
      <c r="B298" s="18">
        <v>2035</v>
      </c>
      <c r="C298" t="s">
        <v>223</v>
      </c>
      <c r="D298" s="20" t="s">
        <v>354</v>
      </c>
      <c r="E298" s="20" t="s">
        <v>355</v>
      </c>
      <c r="F298" s="20" t="s">
        <v>226</v>
      </c>
      <c r="G298" s="20" t="s">
        <v>336</v>
      </c>
      <c r="H298" s="20" t="s">
        <v>338</v>
      </c>
      <c r="I298" s="29">
        <v>1</v>
      </c>
      <c r="J298" s="30">
        <v>1</v>
      </c>
      <c r="K298" s="31">
        <v>4.0000000000000001E-3</v>
      </c>
      <c r="L298" s="9">
        <v>307204550.86510098</v>
      </c>
      <c r="M298" s="9">
        <v>306989258.29407001</v>
      </c>
      <c r="N298" s="32">
        <f>MIN(MAX((B298-Calculation_Assumptions!$B$5+1)/Calculation_Assumptions!$B$7,0),1)</f>
        <v>1</v>
      </c>
      <c r="O298" s="21">
        <f t="shared" si="32"/>
        <v>307204550.86510098</v>
      </c>
      <c r="P298" s="21">
        <f t="shared" si="33"/>
        <v>306989258.29407001</v>
      </c>
      <c r="Q298" s="21">
        <f>P298*Calculation_Assumptions!$B$14*J298*K298</f>
        <v>0</v>
      </c>
      <c r="R298" s="21">
        <f t="shared" si="34"/>
        <v>1228818.203460404</v>
      </c>
      <c r="S298" s="21">
        <f t="shared" si="35"/>
        <v>1228818.203460404</v>
      </c>
      <c r="T298" s="32">
        <f>1/(1+Calculation_Assumptions!$B$8)^(B298-Calculation_Assumptions!$B$2)</f>
        <v>0.74409391489672516</v>
      </c>
      <c r="U298" s="21">
        <f t="shared" si="36"/>
        <v>0</v>
      </c>
      <c r="V298" s="21">
        <f t="shared" si="37"/>
        <v>914356.1477092125</v>
      </c>
      <c r="W298" s="21">
        <f t="shared" si="38"/>
        <v>914356.1477092125</v>
      </c>
      <c r="X298">
        <v>0</v>
      </c>
      <c r="Y298" s="18">
        <v>2017</v>
      </c>
      <c r="Z298" t="s">
        <v>264</v>
      </c>
      <c r="AA298" s="21">
        <f t="shared" si="39"/>
        <v>1</v>
      </c>
    </row>
    <row r="299" spans="1:27">
      <c r="A299" t="s">
        <v>76</v>
      </c>
      <c r="B299" s="18">
        <v>2036</v>
      </c>
      <c r="C299" t="s">
        <v>223</v>
      </c>
      <c r="D299" s="20" t="s">
        <v>354</v>
      </c>
      <c r="E299" s="20" t="s">
        <v>355</v>
      </c>
      <c r="F299" s="20" t="s">
        <v>226</v>
      </c>
      <c r="G299" s="20" t="s">
        <v>336</v>
      </c>
      <c r="H299" s="20" t="s">
        <v>338</v>
      </c>
      <c r="I299" s="29">
        <v>1</v>
      </c>
      <c r="J299" s="30">
        <v>1</v>
      </c>
      <c r="K299" s="31">
        <v>4.0000000000000001E-3</v>
      </c>
      <c r="L299" s="9">
        <v>308826793.60124999</v>
      </c>
      <c r="M299" s="9">
        <v>308537399.67209399</v>
      </c>
      <c r="N299" s="32">
        <f>MIN(MAX((B299-Calculation_Assumptions!$B$5+1)/Calculation_Assumptions!$B$7,0),1)</f>
        <v>1</v>
      </c>
      <c r="O299" s="21">
        <f t="shared" si="32"/>
        <v>308826793.60124999</v>
      </c>
      <c r="P299" s="21">
        <f t="shared" si="33"/>
        <v>308537399.67209399</v>
      </c>
      <c r="Q299" s="21">
        <f>P299*Calculation_Assumptions!$B$14*J299*K299</f>
        <v>0</v>
      </c>
      <c r="R299" s="21">
        <f t="shared" si="34"/>
        <v>1235307.1744049999</v>
      </c>
      <c r="S299" s="21">
        <f t="shared" si="35"/>
        <v>1235307.1744049999</v>
      </c>
      <c r="T299" s="32">
        <f>1/(1+Calculation_Assumptions!$B$8)^(B299-Calculation_Assumptions!$B$2)</f>
        <v>0.72242127659876232</v>
      </c>
      <c r="U299" s="21">
        <f t="shared" si="36"/>
        <v>0</v>
      </c>
      <c r="V299" s="21">
        <f t="shared" si="37"/>
        <v>892412.18592526997</v>
      </c>
      <c r="W299" s="21">
        <f t="shared" si="38"/>
        <v>892412.18592526997</v>
      </c>
      <c r="X299">
        <v>0</v>
      </c>
      <c r="Y299" s="18">
        <v>2017</v>
      </c>
      <c r="Z299" t="s">
        <v>264</v>
      </c>
      <c r="AA299" s="21">
        <f t="shared" si="39"/>
        <v>1</v>
      </c>
    </row>
    <row r="300" spans="1:27">
      <c r="A300" t="s">
        <v>76</v>
      </c>
      <c r="B300" s="18">
        <v>2037</v>
      </c>
      <c r="C300" t="s">
        <v>223</v>
      </c>
      <c r="D300" s="20" t="s">
        <v>354</v>
      </c>
      <c r="E300" s="20" t="s">
        <v>355</v>
      </c>
      <c r="F300" s="20" t="s">
        <v>226</v>
      </c>
      <c r="G300" s="20" t="s">
        <v>336</v>
      </c>
      <c r="H300" s="20" t="s">
        <v>338</v>
      </c>
      <c r="I300" s="29">
        <v>1</v>
      </c>
      <c r="J300" s="30">
        <v>1</v>
      </c>
      <c r="K300" s="31">
        <v>4.0000000000000001E-3</v>
      </c>
      <c r="L300" s="9">
        <v>310394148.51148498</v>
      </c>
      <c r="M300" s="9">
        <v>310023120.39347202</v>
      </c>
      <c r="N300" s="32">
        <f>MIN(MAX((B300-Calculation_Assumptions!$B$5+1)/Calculation_Assumptions!$B$7,0),1)</f>
        <v>1</v>
      </c>
      <c r="O300" s="21">
        <f t="shared" si="32"/>
        <v>310394148.51148498</v>
      </c>
      <c r="P300" s="21">
        <f t="shared" si="33"/>
        <v>310023120.39347202</v>
      </c>
      <c r="Q300" s="21">
        <f>P300*Calculation_Assumptions!$B$14*J300*K300</f>
        <v>0</v>
      </c>
      <c r="R300" s="21">
        <f t="shared" si="34"/>
        <v>1241576.5940459399</v>
      </c>
      <c r="S300" s="21">
        <f t="shared" si="35"/>
        <v>1241576.5940459399</v>
      </c>
      <c r="T300" s="32">
        <f>1/(1+Calculation_Assumptions!$B$8)^(B300-Calculation_Assumptions!$B$2)</f>
        <v>0.70137988019297326</v>
      </c>
      <c r="U300" s="21">
        <f t="shared" si="36"/>
        <v>0</v>
      </c>
      <c r="V300" s="21">
        <f t="shared" si="37"/>
        <v>870816.84278234106</v>
      </c>
      <c r="W300" s="21">
        <f t="shared" si="38"/>
        <v>870816.84278234106</v>
      </c>
      <c r="X300">
        <v>0</v>
      </c>
      <c r="Y300" s="18">
        <v>2017</v>
      </c>
      <c r="Z300" t="s">
        <v>264</v>
      </c>
      <c r="AA300" s="21">
        <f t="shared" si="39"/>
        <v>1</v>
      </c>
    </row>
    <row r="301" spans="1:27">
      <c r="A301" t="s">
        <v>76</v>
      </c>
      <c r="B301" s="18">
        <v>2038</v>
      </c>
      <c r="C301" t="s">
        <v>223</v>
      </c>
      <c r="D301" s="20" t="s">
        <v>354</v>
      </c>
      <c r="E301" s="20" t="s">
        <v>355</v>
      </c>
      <c r="F301" s="20" t="s">
        <v>226</v>
      </c>
      <c r="G301" s="20" t="s">
        <v>336</v>
      </c>
      <c r="H301" s="20" t="s">
        <v>338</v>
      </c>
      <c r="I301" s="29">
        <v>1</v>
      </c>
      <c r="J301" s="30">
        <v>1</v>
      </c>
      <c r="K301" s="31">
        <v>4.0000000000000001E-3</v>
      </c>
      <c r="L301" s="9">
        <v>311906222.57839799</v>
      </c>
      <c r="M301" s="9">
        <v>311445837.13462502</v>
      </c>
      <c r="N301" s="32">
        <f>MIN(MAX((B301-Calculation_Assumptions!$B$5+1)/Calculation_Assumptions!$B$7,0),1)</f>
        <v>1</v>
      </c>
      <c r="O301" s="21">
        <f t="shared" si="32"/>
        <v>311906222.57839799</v>
      </c>
      <c r="P301" s="21">
        <f t="shared" si="33"/>
        <v>311445837.13462502</v>
      </c>
      <c r="Q301" s="21">
        <f>P301*Calculation_Assumptions!$B$14*J301*K301</f>
        <v>0</v>
      </c>
      <c r="R301" s="21">
        <f t="shared" si="34"/>
        <v>1247624.890313592</v>
      </c>
      <c r="S301" s="21">
        <f t="shared" si="35"/>
        <v>1247624.890313592</v>
      </c>
      <c r="T301" s="32">
        <f>1/(1+Calculation_Assumptions!$B$8)^(B301-Calculation_Assumptions!$B$2)</f>
        <v>0.68095133999317792</v>
      </c>
      <c r="U301" s="21">
        <f t="shared" si="36"/>
        <v>0</v>
      </c>
      <c r="V301" s="21">
        <f t="shared" si="37"/>
        <v>849571.84086788213</v>
      </c>
      <c r="W301" s="21">
        <f t="shared" si="38"/>
        <v>849571.84086788213</v>
      </c>
      <c r="X301">
        <v>0</v>
      </c>
      <c r="Y301" s="18">
        <v>2017</v>
      </c>
      <c r="Z301" t="s">
        <v>264</v>
      </c>
      <c r="AA301" s="21">
        <f t="shared" si="39"/>
        <v>1</v>
      </c>
    </row>
    <row r="302" spans="1:27">
      <c r="A302" t="s">
        <v>76</v>
      </c>
      <c r="B302" s="18">
        <v>2039</v>
      </c>
      <c r="C302" t="s">
        <v>223</v>
      </c>
      <c r="D302" s="20" t="s">
        <v>354</v>
      </c>
      <c r="E302" s="20" t="s">
        <v>355</v>
      </c>
      <c r="F302" s="20" t="s">
        <v>226</v>
      </c>
      <c r="G302" s="20" t="s">
        <v>336</v>
      </c>
      <c r="H302" s="20" t="s">
        <v>338</v>
      </c>
      <c r="I302" s="29">
        <v>1</v>
      </c>
      <c r="J302" s="30">
        <v>1</v>
      </c>
      <c r="K302" s="31">
        <v>4.0000000000000001E-3</v>
      </c>
      <c r="L302" s="9">
        <v>313363821.52061498</v>
      </c>
      <c r="M302" s="9">
        <v>312806989.71568501</v>
      </c>
      <c r="N302" s="32">
        <f>MIN(MAX((B302-Calculation_Assumptions!$B$5+1)/Calculation_Assumptions!$B$7,0),1)</f>
        <v>1</v>
      </c>
      <c r="O302" s="21">
        <f t="shared" si="32"/>
        <v>313363821.52061498</v>
      </c>
      <c r="P302" s="21">
        <f t="shared" si="33"/>
        <v>312806989.71568501</v>
      </c>
      <c r="Q302" s="21">
        <f>P302*Calculation_Assumptions!$B$14*J302*K302</f>
        <v>0</v>
      </c>
      <c r="R302" s="21">
        <f t="shared" si="34"/>
        <v>1253455.2860824598</v>
      </c>
      <c r="S302" s="21">
        <f t="shared" si="35"/>
        <v>1253455.2860824598</v>
      </c>
      <c r="T302" s="32">
        <f>1/(1+Calculation_Assumptions!$B$8)^(B302-Calculation_Assumptions!$B$2)</f>
        <v>0.66111780581861923</v>
      </c>
      <c r="U302" s="21">
        <f t="shared" si="36"/>
        <v>0</v>
      </c>
      <c r="V302" s="21">
        <f t="shared" si="37"/>
        <v>828681.60842658556</v>
      </c>
      <c r="W302" s="21">
        <f t="shared" si="38"/>
        <v>828681.60842658556</v>
      </c>
      <c r="X302">
        <v>0</v>
      </c>
      <c r="Y302" s="18">
        <v>2017</v>
      </c>
      <c r="Z302" t="s">
        <v>264</v>
      </c>
      <c r="AA302" s="21">
        <f t="shared" si="39"/>
        <v>1</v>
      </c>
    </row>
    <row r="303" spans="1:27">
      <c r="A303" t="s">
        <v>76</v>
      </c>
      <c r="B303" s="18">
        <v>2040</v>
      </c>
      <c r="C303" t="s">
        <v>223</v>
      </c>
      <c r="D303" s="20" t="s">
        <v>354</v>
      </c>
      <c r="E303" s="20" t="s">
        <v>355</v>
      </c>
      <c r="F303" s="20" t="s">
        <v>226</v>
      </c>
      <c r="G303" s="20" t="s">
        <v>336</v>
      </c>
      <c r="H303" s="20" t="s">
        <v>338</v>
      </c>
      <c r="I303" s="29">
        <v>1</v>
      </c>
      <c r="J303" s="30">
        <v>1</v>
      </c>
      <c r="K303" s="31">
        <v>4.0000000000000001E-3</v>
      </c>
      <c r="L303" s="9">
        <v>314768783.15463299</v>
      </c>
      <c r="M303" s="9">
        <v>314109251.58264899</v>
      </c>
      <c r="N303" s="32">
        <f>MIN(MAX((B303-Calculation_Assumptions!$B$5+1)/Calculation_Assumptions!$B$7,0),1)</f>
        <v>1</v>
      </c>
      <c r="O303" s="21">
        <f t="shared" si="32"/>
        <v>314768783.15463299</v>
      </c>
      <c r="P303" s="21">
        <f t="shared" si="33"/>
        <v>314109251.58264899</v>
      </c>
      <c r="Q303" s="21">
        <f>P303*Calculation_Assumptions!$B$14*J303*K303</f>
        <v>0</v>
      </c>
      <c r="R303" s="21">
        <f t="shared" si="34"/>
        <v>1259075.1326185321</v>
      </c>
      <c r="S303" s="21">
        <f t="shared" si="35"/>
        <v>1259075.1326185321</v>
      </c>
      <c r="T303" s="32">
        <f>1/(1+Calculation_Assumptions!$B$8)^(B303-Calculation_Assumptions!$B$2)</f>
        <v>0.64186194739671765</v>
      </c>
      <c r="U303" s="21">
        <f t="shared" si="36"/>
        <v>0</v>
      </c>
      <c r="V303" s="21">
        <f t="shared" si="37"/>
        <v>808152.41654131154</v>
      </c>
      <c r="W303" s="21">
        <f t="shared" si="38"/>
        <v>808152.41654131154</v>
      </c>
      <c r="X303">
        <v>0</v>
      </c>
      <c r="Y303" s="18">
        <v>2017</v>
      </c>
      <c r="Z303" t="s">
        <v>264</v>
      </c>
      <c r="AA303" s="21">
        <f t="shared" si="39"/>
        <v>1</v>
      </c>
    </row>
    <row r="304" spans="1:27">
      <c r="A304" t="s">
        <v>76</v>
      </c>
      <c r="B304" s="18">
        <v>2041</v>
      </c>
      <c r="C304" t="s">
        <v>223</v>
      </c>
      <c r="D304" s="20" t="s">
        <v>354</v>
      </c>
      <c r="E304" s="20" t="s">
        <v>355</v>
      </c>
      <c r="F304" s="20" t="s">
        <v>226</v>
      </c>
      <c r="G304" s="20" t="s">
        <v>336</v>
      </c>
      <c r="H304" s="20" t="s">
        <v>338</v>
      </c>
      <c r="I304" s="29">
        <v>1</v>
      </c>
      <c r="J304" s="30">
        <v>1</v>
      </c>
      <c r="K304" s="31">
        <v>4.0000000000000001E-3</v>
      </c>
      <c r="L304" s="9">
        <v>316119789.29580498</v>
      </c>
      <c r="M304" s="9">
        <v>315352079.81242299</v>
      </c>
      <c r="N304" s="32">
        <f>MIN(MAX((B304-Calculation_Assumptions!$B$5+1)/Calculation_Assumptions!$B$7,0),1)</f>
        <v>1</v>
      </c>
      <c r="O304" s="21">
        <f t="shared" si="32"/>
        <v>316119789.29580498</v>
      </c>
      <c r="P304" s="21">
        <f t="shared" si="33"/>
        <v>315352079.81242299</v>
      </c>
      <c r="Q304" s="21">
        <f>P304*Calculation_Assumptions!$B$14*J304*K304</f>
        <v>0</v>
      </c>
      <c r="R304" s="21">
        <f t="shared" si="34"/>
        <v>1264479.1571832199</v>
      </c>
      <c r="S304" s="21">
        <f t="shared" si="35"/>
        <v>1264479.1571832199</v>
      </c>
      <c r="T304" s="32">
        <f>1/(1+Calculation_Assumptions!$B$8)^(B304-Calculation_Assumptions!$B$2)</f>
        <v>0.62316693922011435</v>
      </c>
      <c r="U304" s="21">
        <f t="shared" si="36"/>
        <v>0</v>
      </c>
      <c r="V304" s="21">
        <f t="shared" si="37"/>
        <v>787981.60608949699</v>
      </c>
      <c r="W304" s="21">
        <f t="shared" si="38"/>
        <v>787981.60608949699</v>
      </c>
      <c r="X304">
        <v>0</v>
      </c>
      <c r="Y304" s="18">
        <v>2017</v>
      </c>
      <c r="Z304" t="s">
        <v>264</v>
      </c>
      <c r="AA304" s="21">
        <f t="shared" si="39"/>
        <v>1</v>
      </c>
    </row>
    <row r="305" spans="1:27">
      <c r="A305" t="s">
        <v>76</v>
      </c>
      <c r="B305" s="18">
        <v>2042</v>
      </c>
      <c r="C305" t="s">
        <v>223</v>
      </c>
      <c r="D305" s="20" t="s">
        <v>354</v>
      </c>
      <c r="E305" s="20" t="s">
        <v>355</v>
      </c>
      <c r="F305" s="20" t="s">
        <v>226</v>
      </c>
      <c r="G305" s="20" t="s">
        <v>336</v>
      </c>
      <c r="H305" s="20" t="s">
        <v>338</v>
      </c>
      <c r="I305" s="29">
        <v>1</v>
      </c>
      <c r="J305" s="30">
        <v>1</v>
      </c>
      <c r="K305" s="31">
        <v>4.0000000000000001E-3</v>
      </c>
      <c r="L305" s="9">
        <v>317417240.49647599</v>
      </c>
      <c r="M305" s="9">
        <v>316395286.31201601</v>
      </c>
      <c r="N305" s="32">
        <f>MIN(MAX((B305-Calculation_Assumptions!$B$5+1)/Calculation_Assumptions!$B$7,0),1)</f>
        <v>1</v>
      </c>
      <c r="O305" s="21">
        <f t="shared" si="32"/>
        <v>317417240.49647599</v>
      </c>
      <c r="P305" s="21">
        <f t="shared" si="33"/>
        <v>316395286.31201601</v>
      </c>
      <c r="Q305" s="21">
        <f>P305*Calculation_Assumptions!$B$14*J305*K305</f>
        <v>0</v>
      </c>
      <c r="R305" s="21">
        <f t="shared" si="34"/>
        <v>1269668.961985904</v>
      </c>
      <c r="S305" s="21">
        <f t="shared" si="35"/>
        <v>1269668.961985904</v>
      </c>
      <c r="T305" s="32">
        <f>1/(1+Calculation_Assumptions!$B$8)^(B305-Calculation_Assumptions!$B$2)</f>
        <v>0.60501644584477121</v>
      </c>
      <c r="U305" s="21">
        <f t="shared" si="36"/>
        <v>0</v>
      </c>
      <c r="V305" s="21">
        <f t="shared" si="37"/>
        <v>768170.60278013162</v>
      </c>
      <c r="W305" s="21">
        <f t="shared" si="38"/>
        <v>768170.60278013162</v>
      </c>
      <c r="X305">
        <v>0</v>
      </c>
      <c r="Y305" s="18">
        <v>2017</v>
      </c>
      <c r="Z305" t="s">
        <v>264</v>
      </c>
      <c r="AA305" s="21">
        <f t="shared" si="39"/>
        <v>1</v>
      </c>
    </row>
    <row r="306" spans="1:27">
      <c r="A306" t="s">
        <v>76</v>
      </c>
      <c r="B306" s="18">
        <v>2043</v>
      </c>
      <c r="C306" t="s">
        <v>223</v>
      </c>
      <c r="D306" s="20" t="s">
        <v>354</v>
      </c>
      <c r="E306" s="20" t="s">
        <v>355</v>
      </c>
      <c r="F306" s="20" t="s">
        <v>226</v>
      </c>
      <c r="G306" s="20" t="s">
        <v>336</v>
      </c>
      <c r="H306" s="20" t="s">
        <v>338</v>
      </c>
      <c r="I306" s="29">
        <v>1</v>
      </c>
      <c r="J306" s="30">
        <v>1</v>
      </c>
      <c r="K306" s="31">
        <v>4.0000000000000001E-3</v>
      </c>
      <c r="L306" s="9">
        <v>318779591.21990502</v>
      </c>
      <c r="M306" s="9">
        <v>317619735.68828899</v>
      </c>
      <c r="N306" s="32">
        <f>MIN(MAX((B306-Calculation_Assumptions!$B$5+1)/Calculation_Assumptions!$B$7,0),1)</f>
        <v>1</v>
      </c>
      <c r="O306" s="21">
        <f t="shared" si="32"/>
        <v>318779591.21990502</v>
      </c>
      <c r="P306" s="21">
        <f t="shared" si="33"/>
        <v>317619735.68828899</v>
      </c>
      <c r="Q306" s="21">
        <f>P306*Calculation_Assumptions!$B$14*J306*K306</f>
        <v>0</v>
      </c>
      <c r="R306" s="21">
        <f t="shared" si="34"/>
        <v>1275118.36487962</v>
      </c>
      <c r="S306" s="21">
        <f t="shared" si="35"/>
        <v>1275118.36487962</v>
      </c>
      <c r="T306" s="32">
        <f>1/(1+Calculation_Assumptions!$B$8)^(B306-Calculation_Assumptions!$B$2)</f>
        <v>0.5873946076162827</v>
      </c>
      <c r="U306" s="21">
        <f t="shared" si="36"/>
        <v>0</v>
      </c>
      <c r="V306" s="21">
        <f t="shared" si="37"/>
        <v>748997.65160278045</v>
      </c>
      <c r="W306" s="21">
        <f t="shared" si="38"/>
        <v>748997.65160278045</v>
      </c>
      <c r="X306">
        <v>0</v>
      </c>
      <c r="Y306" s="18">
        <v>2017</v>
      </c>
      <c r="Z306" t="s">
        <v>264</v>
      </c>
      <c r="AA306" s="21">
        <f t="shared" si="39"/>
        <v>1</v>
      </c>
    </row>
    <row r="307" spans="1:27">
      <c r="A307" t="s">
        <v>76</v>
      </c>
      <c r="B307" s="18">
        <v>2044</v>
      </c>
      <c r="C307" t="s">
        <v>223</v>
      </c>
      <c r="D307" s="20" t="s">
        <v>354</v>
      </c>
      <c r="E307" s="20" t="s">
        <v>355</v>
      </c>
      <c r="F307" s="20" t="s">
        <v>226</v>
      </c>
      <c r="G307" s="20" t="s">
        <v>336</v>
      </c>
      <c r="H307" s="20" t="s">
        <v>338</v>
      </c>
      <c r="I307" s="29">
        <v>1</v>
      </c>
      <c r="J307" s="30">
        <v>1</v>
      </c>
      <c r="K307" s="31">
        <v>4.0000000000000001E-3</v>
      </c>
      <c r="L307" s="9">
        <v>319985562.36722702</v>
      </c>
      <c r="M307" s="9">
        <v>318697135.86365199</v>
      </c>
      <c r="N307" s="32">
        <f>MIN(MAX((B307-Calculation_Assumptions!$B$5+1)/Calculation_Assumptions!$B$7,0),1)</f>
        <v>1</v>
      </c>
      <c r="O307" s="21">
        <f t="shared" si="32"/>
        <v>319985562.36722702</v>
      </c>
      <c r="P307" s="21">
        <f t="shared" si="33"/>
        <v>318697135.86365199</v>
      </c>
      <c r="Q307" s="21">
        <f>P307*Calculation_Assumptions!$B$14*J307*K307</f>
        <v>0</v>
      </c>
      <c r="R307" s="21">
        <f t="shared" si="34"/>
        <v>1279942.2494689082</v>
      </c>
      <c r="S307" s="21">
        <f t="shared" si="35"/>
        <v>1279942.2494689082</v>
      </c>
      <c r="T307" s="32">
        <f>1/(1+Calculation_Assumptions!$B$8)^(B307-Calculation_Assumptions!$B$2)</f>
        <v>0.57028602681192497</v>
      </c>
      <c r="U307" s="21">
        <f t="shared" si="36"/>
        <v>0</v>
      </c>
      <c r="V307" s="21">
        <f t="shared" si="37"/>
        <v>729933.17999834137</v>
      </c>
      <c r="W307" s="21">
        <f t="shared" si="38"/>
        <v>729933.17999834137</v>
      </c>
      <c r="X307">
        <v>0</v>
      </c>
      <c r="Y307" s="18">
        <v>2017</v>
      </c>
      <c r="Z307" t="s">
        <v>264</v>
      </c>
      <c r="AA307" s="21">
        <f t="shared" si="39"/>
        <v>1</v>
      </c>
    </row>
    <row r="308" spans="1:27">
      <c r="A308" t="s">
        <v>76</v>
      </c>
      <c r="B308" s="18">
        <v>2045</v>
      </c>
      <c r="C308" t="s">
        <v>223</v>
      </c>
      <c r="D308" s="20" t="s">
        <v>354</v>
      </c>
      <c r="E308" s="20" t="s">
        <v>355</v>
      </c>
      <c r="F308" s="20" t="s">
        <v>226</v>
      </c>
      <c r="G308" s="20" t="s">
        <v>336</v>
      </c>
      <c r="H308" s="20" t="s">
        <v>338</v>
      </c>
      <c r="I308" s="29">
        <v>1</v>
      </c>
      <c r="J308" s="30">
        <v>1</v>
      </c>
      <c r="K308" s="31">
        <v>4.0000000000000001E-3</v>
      </c>
      <c r="L308" s="9">
        <v>320960972.38609999</v>
      </c>
      <c r="M308" s="9">
        <v>319717840.85179001</v>
      </c>
      <c r="N308" s="32">
        <f>MIN(MAX((B308-Calculation_Assumptions!$B$5+1)/Calculation_Assumptions!$B$7,0),1)</f>
        <v>1</v>
      </c>
      <c r="O308" s="21">
        <f t="shared" si="32"/>
        <v>320960972.38609999</v>
      </c>
      <c r="P308" s="21">
        <f t="shared" si="33"/>
        <v>319717840.85179001</v>
      </c>
      <c r="Q308" s="21">
        <f>P308*Calculation_Assumptions!$B$14*J308*K308</f>
        <v>0</v>
      </c>
      <c r="R308" s="21">
        <f t="shared" si="34"/>
        <v>1283843.8895443999</v>
      </c>
      <c r="S308" s="21">
        <f t="shared" si="35"/>
        <v>1283843.8895443999</v>
      </c>
      <c r="T308" s="32">
        <f>1/(1+Calculation_Assumptions!$B$8)^(B308-Calculation_Assumptions!$B$2)</f>
        <v>0.55367575418633497</v>
      </c>
      <c r="U308" s="21">
        <f t="shared" si="36"/>
        <v>0</v>
      </c>
      <c r="V308" s="21">
        <f t="shared" si="37"/>
        <v>710833.23380101332</v>
      </c>
      <c r="W308" s="21">
        <f t="shared" si="38"/>
        <v>710833.23380101332</v>
      </c>
      <c r="X308">
        <v>0</v>
      </c>
      <c r="Y308" s="18">
        <v>2017</v>
      </c>
      <c r="Z308" t="s">
        <v>264</v>
      </c>
      <c r="AA308" s="21">
        <f t="shared" si="39"/>
        <v>1</v>
      </c>
    </row>
    <row r="309" spans="1:27">
      <c r="A309" t="s">
        <v>76</v>
      </c>
      <c r="B309" s="18">
        <v>2046</v>
      </c>
      <c r="C309" t="s">
        <v>223</v>
      </c>
      <c r="D309" s="20" t="s">
        <v>354</v>
      </c>
      <c r="E309" s="20" t="s">
        <v>355</v>
      </c>
      <c r="F309" s="20" t="s">
        <v>226</v>
      </c>
      <c r="G309" s="20" t="s">
        <v>336</v>
      </c>
      <c r="H309" s="20" t="s">
        <v>338</v>
      </c>
      <c r="I309" s="29">
        <v>1</v>
      </c>
      <c r="J309" s="30">
        <v>1</v>
      </c>
      <c r="K309" s="31">
        <v>4.0000000000000001E-3</v>
      </c>
      <c r="L309" s="9">
        <v>322053582.24950999</v>
      </c>
      <c r="M309" s="9">
        <v>320683879.80627602</v>
      </c>
      <c r="N309" s="32">
        <f>MIN(MAX((B309-Calculation_Assumptions!$B$5+1)/Calculation_Assumptions!$B$7,0),1)</f>
        <v>1</v>
      </c>
      <c r="O309" s="21">
        <f t="shared" si="32"/>
        <v>322053582.24950999</v>
      </c>
      <c r="P309" s="21">
        <f t="shared" si="33"/>
        <v>320683879.80627602</v>
      </c>
      <c r="Q309" s="21">
        <f>P309*Calculation_Assumptions!$B$14*J309*K309</f>
        <v>0</v>
      </c>
      <c r="R309" s="21">
        <f t="shared" si="34"/>
        <v>1288214.3289980399</v>
      </c>
      <c r="S309" s="21">
        <f t="shared" si="35"/>
        <v>1288214.3289980399</v>
      </c>
      <c r="T309" s="32">
        <f>1/(1+Calculation_Assumptions!$B$8)^(B309-Calculation_Assumptions!$B$2)</f>
        <v>0.5375492759090631</v>
      </c>
      <c r="U309" s="21">
        <f t="shared" si="36"/>
        <v>0</v>
      </c>
      <c r="V309" s="21">
        <f t="shared" si="37"/>
        <v>692478.67976857594</v>
      </c>
      <c r="W309" s="21">
        <f t="shared" si="38"/>
        <v>692478.67976857594</v>
      </c>
      <c r="X309">
        <v>0</v>
      </c>
      <c r="Y309" s="18">
        <v>2017</v>
      </c>
      <c r="Z309" t="s">
        <v>264</v>
      </c>
      <c r="AA309" s="21">
        <f t="shared" si="39"/>
        <v>1</v>
      </c>
    </row>
    <row r="310" spans="1:27">
      <c r="A310" t="s">
        <v>76</v>
      </c>
      <c r="B310" s="18">
        <v>2047</v>
      </c>
      <c r="C310" t="s">
        <v>223</v>
      </c>
      <c r="D310" s="20" t="s">
        <v>354</v>
      </c>
      <c r="E310" s="20" t="s">
        <v>355</v>
      </c>
      <c r="F310" s="20" t="s">
        <v>226</v>
      </c>
      <c r="G310" s="20" t="s">
        <v>336</v>
      </c>
      <c r="H310" s="20" t="s">
        <v>338</v>
      </c>
      <c r="I310" s="29">
        <v>1</v>
      </c>
      <c r="J310" s="30">
        <v>1</v>
      </c>
      <c r="K310" s="31">
        <v>4.0000000000000001E-3</v>
      </c>
      <c r="L310" s="9">
        <v>323093320.95173001</v>
      </c>
      <c r="M310" s="9">
        <v>321595541.38952601</v>
      </c>
      <c r="N310" s="32">
        <f>MIN(MAX((B310-Calculation_Assumptions!$B$5+1)/Calculation_Assumptions!$B$7,0),1)</f>
        <v>1</v>
      </c>
      <c r="O310" s="21">
        <f t="shared" si="32"/>
        <v>323093320.95173001</v>
      </c>
      <c r="P310" s="21">
        <f t="shared" si="33"/>
        <v>321595541.38952601</v>
      </c>
      <c r="Q310" s="21">
        <f>P310*Calculation_Assumptions!$B$14*J310*K310</f>
        <v>0</v>
      </c>
      <c r="R310" s="21">
        <f t="shared" si="34"/>
        <v>1292373.2838069201</v>
      </c>
      <c r="S310" s="21">
        <f t="shared" si="35"/>
        <v>1292373.2838069201</v>
      </c>
      <c r="T310" s="32">
        <f>1/(1+Calculation_Assumptions!$B$8)^(B310-Calculation_Assumptions!$B$2)</f>
        <v>0.52189250088258554</v>
      </c>
      <c r="U310" s="21">
        <f t="shared" si="36"/>
        <v>0</v>
      </c>
      <c r="V310" s="21">
        <f t="shared" si="37"/>
        <v>674479.92515983304</v>
      </c>
      <c r="W310" s="21">
        <f t="shared" si="38"/>
        <v>674479.92515983304</v>
      </c>
      <c r="X310">
        <v>0</v>
      </c>
      <c r="Y310" s="18">
        <v>2017</v>
      </c>
      <c r="Z310" t="s">
        <v>264</v>
      </c>
      <c r="AA310" s="21">
        <f t="shared" si="39"/>
        <v>1</v>
      </c>
    </row>
    <row r="311" spans="1:27">
      <c r="A311" t="s">
        <v>76</v>
      </c>
      <c r="B311" s="18">
        <v>2048</v>
      </c>
      <c r="C311" t="s">
        <v>223</v>
      </c>
      <c r="D311" s="20" t="s">
        <v>354</v>
      </c>
      <c r="E311" s="20" t="s">
        <v>355</v>
      </c>
      <c r="F311" s="20" t="s">
        <v>226</v>
      </c>
      <c r="G311" s="20" t="s">
        <v>336</v>
      </c>
      <c r="H311" s="20" t="s">
        <v>338</v>
      </c>
      <c r="I311" s="29">
        <v>1</v>
      </c>
      <c r="J311" s="30">
        <v>1</v>
      </c>
      <c r="K311" s="31">
        <v>4.0000000000000001E-3</v>
      </c>
      <c r="L311" s="9">
        <v>324080784.77517301</v>
      </c>
      <c r="M311" s="9">
        <v>322453622.66946399</v>
      </c>
      <c r="N311" s="32">
        <f>MIN(MAX((B311-Calculation_Assumptions!$B$5+1)/Calculation_Assumptions!$B$7,0),1)</f>
        <v>1</v>
      </c>
      <c r="O311" s="21">
        <f t="shared" si="32"/>
        <v>324080784.77517301</v>
      </c>
      <c r="P311" s="21">
        <f t="shared" si="33"/>
        <v>322453622.66946399</v>
      </c>
      <c r="Q311" s="21">
        <f>P311*Calculation_Assumptions!$B$14*J311*K311</f>
        <v>0</v>
      </c>
      <c r="R311" s="21">
        <f t="shared" si="34"/>
        <v>1296323.139100692</v>
      </c>
      <c r="S311" s="21">
        <f t="shared" si="35"/>
        <v>1296323.139100692</v>
      </c>
      <c r="T311" s="32">
        <f>1/(1+Calculation_Assumptions!$B$8)^(B311-Calculation_Assumptions!$B$2)</f>
        <v>0.50669174842969467</v>
      </c>
      <c r="U311" s="21">
        <f t="shared" si="36"/>
        <v>0</v>
      </c>
      <c r="V311" s="21">
        <f t="shared" si="37"/>
        <v>656836.23788079992</v>
      </c>
      <c r="W311" s="21">
        <f t="shared" si="38"/>
        <v>656836.23788079992</v>
      </c>
      <c r="X311">
        <v>0</v>
      </c>
      <c r="Y311" s="18">
        <v>2017</v>
      </c>
      <c r="Z311" t="s">
        <v>264</v>
      </c>
      <c r="AA311" s="21">
        <f t="shared" si="39"/>
        <v>1</v>
      </c>
    </row>
    <row r="312" spans="1:27">
      <c r="A312" t="s">
        <v>76</v>
      </c>
      <c r="B312" s="18">
        <v>2049</v>
      </c>
      <c r="C312" t="s">
        <v>223</v>
      </c>
      <c r="D312" s="20" t="s">
        <v>354</v>
      </c>
      <c r="E312" s="20" t="s">
        <v>355</v>
      </c>
      <c r="F312" s="20" t="s">
        <v>226</v>
      </c>
      <c r="G312" s="20" t="s">
        <v>336</v>
      </c>
      <c r="H312" s="20" t="s">
        <v>338</v>
      </c>
      <c r="I312" s="29">
        <v>1</v>
      </c>
      <c r="J312" s="30">
        <v>1</v>
      </c>
      <c r="K312" s="31">
        <v>4.0000000000000001E-3</v>
      </c>
      <c r="L312" s="9">
        <v>325016726.58335501</v>
      </c>
      <c r="M312" s="9">
        <v>323259246.71671897</v>
      </c>
      <c r="N312" s="32">
        <f>MIN(MAX((B312-Calculation_Assumptions!$B$5+1)/Calculation_Assumptions!$B$7,0),1)</f>
        <v>1</v>
      </c>
      <c r="O312" s="21">
        <f t="shared" si="32"/>
        <v>325016726.58335501</v>
      </c>
      <c r="P312" s="21">
        <f t="shared" si="33"/>
        <v>323259246.71671897</v>
      </c>
      <c r="Q312" s="21">
        <f>P312*Calculation_Assumptions!$B$14*J312*K312</f>
        <v>0</v>
      </c>
      <c r="R312" s="21">
        <f t="shared" si="34"/>
        <v>1300066.90633342</v>
      </c>
      <c r="S312" s="21">
        <f t="shared" si="35"/>
        <v>1300066.90633342</v>
      </c>
      <c r="T312" s="32">
        <f>1/(1+Calculation_Assumptions!$B$8)^(B312-Calculation_Assumptions!$B$2)</f>
        <v>0.49193373633950943</v>
      </c>
      <c r="U312" s="21">
        <f t="shared" si="36"/>
        <v>0</v>
      </c>
      <c r="V312" s="21">
        <f t="shared" si="37"/>
        <v>639546.77072394628</v>
      </c>
      <c r="W312" s="21">
        <f t="shared" si="38"/>
        <v>639546.77072394628</v>
      </c>
      <c r="X312">
        <v>0</v>
      </c>
      <c r="Y312" s="18">
        <v>2017</v>
      </c>
      <c r="Z312" t="s">
        <v>264</v>
      </c>
      <c r="AA312" s="21">
        <f t="shared" si="39"/>
        <v>1</v>
      </c>
    </row>
    <row r="313" spans="1:27">
      <c r="A313" t="s">
        <v>76</v>
      </c>
      <c r="B313" s="18">
        <v>2050</v>
      </c>
      <c r="C313" t="s">
        <v>223</v>
      </c>
      <c r="D313" s="20" t="s">
        <v>354</v>
      </c>
      <c r="E313" s="20" t="s">
        <v>355</v>
      </c>
      <c r="F313" s="20" t="s">
        <v>226</v>
      </c>
      <c r="G313" s="20" t="s">
        <v>336</v>
      </c>
      <c r="H313" s="20" t="s">
        <v>338</v>
      </c>
      <c r="I313" s="29">
        <v>1</v>
      </c>
      <c r="J313" s="30">
        <v>1</v>
      </c>
      <c r="K313" s="31">
        <v>4.0000000000000001E-3</v>
      </c>
      <c r="L313" s="9">
        <v>325902090.73091602</v>
      </c>
      <c r="M313" s="9">
        <v>324013738.18247902</v>
      </c>
      <c r="N313" s="32">
        <f>MIN(MAX((B313-Calculation_Assumptions!$B$5+1)/Calculation_Assumptions!$B$7,0),1)</f>
        <v>1</v>
      </c>
      <c r="O313" s="21">
        <f t="shared" si="32"/>
        <v>325902090.73091602</v>
      </c>
      <c r="P313" s="21">
        <f t="shared" si="33"/>
        <v>324013738.18247902</v>
      </c>
      <c r="Q313" s="21">
        <f>P313*Calculation_Assumptions!$B$14*J313*K313</f>
        <v>0</v>
      </c>
      <c r="R313" s="21">
        <f t="shared" si="34"/>
        <v>1303608.362923664</v>
      </c>
      <c r="S313" s="21">
        <f t="shared" si="35"/>
        <v>1303608.362923664</v>
      </c>
      <c r="T313" s="32">
        <f>1/(1+Calculation_Assumptions!$B$8)^(B313-Calculation_Assumptions!$B$2)</f>
        <v>0.47760556926165965</v>
      </c>
      <c r="U313" s="21">
        <f t="shared" si="36"/>
        <v>0</v>
      </c>
      <c r="V313" s="21">
        <f t="shared" si="37"/>
        <v>622610.61426841677</v>
      </c>
      <c r="W313" s="21">
        <f t="shared" si="38"/>
        <v>622610.61426841677</v>
      </c>
      <c r="X313">
        <v>0</v>
      </c>
      <c r="Y313" s="18">
        <v>2017</v>
      </c>
      <c r="Z313" t="s">
        <v>264</v>
      </c>
      <c r="AA313" s="21">
        <f t="shared" si="39"/>
        <v>1</v>
      </c>
    </row>
  </sheetData>
  <autoFilter ref="A1:AA1" xr:uid="{00000000-0009-0000-0000-000009000000}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8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4" width="15.69921875" customWidth="1"/>
    <col min="5" max="5" width="18.69921875" customWidth="1"/>
    <col min="6" max="6" width="23.69921875" customWidth="1"/>
    <col min="7" max="7" width="29.69921875" customWidth="1"/>
    <col min="8" max="8" width="34.69921875" customWidth="1"/>
  </cols>
  <sheetData>
    <row r="1" spans="1:8" ht="28.05" customHeight="1">
      <c r="A1" s="1" t="s">
        <v>356</v>
      </c>
      <c r="B1" s="1" t="s">
        <v>28</v>
      </c>
      <c r="C1" s="1" t="s">
        <v>380</v>
      </c>
      <c r="D1" s="1" t="s">
        <v>381</v>
      </c>
      <c r="E1" s="1" t="s">
        <v>382</v>
      </c>
      <c r="F1" s="1" t="s">
        <v>383</v>
      </c>
      <c r="G1" s="1" t="s">
        <v>384</v>
      </c>
      <c r="H1" s="1" t="s">
        <v>385</v>
      </c>
    </row>
    <row r="2" spans="1:8">
      <c r="A2" t="s">
        <v>162</v>
      </c>
      <c r="B2" s="18">
        <v>2025</v>
      </c>
      <c r="C2" s="21">
        <f>SUMIFS(Annual_Cost!$Q$2:$Q$313,Annual_Cost!$A$2:$A$313,A2,Annual_Cost!$B$2:$B$313,B2)</f>
        <v>0</v>
      </c>
      <c r="D2" s="21">
        <f>SUMIFS(Annual_Cost!$R$2:$R$313,Annual_Cost!$A$2:$A$313,A2,Annual_Cost!$B$2:$B$313,B2)</f>
        <v>0</v>
      </c>
      <c r="E2" s="21">
        <f>SUMIFS(Annual_Cost!$S$2:$S$313,Annual_Cost!$A$2:$A$313,A2,Annual_Cost!$B$2:$B$313,B2)</f>
        <v>0</v>
      </c>
      <c r="F2" s="21">
        <f>SUMIFS(Annual_Cost!$W$2:$W$313,Annual_Cost!$A$2:$A$313,A2,Annual_Cost!$B$2:$B$313,B2)</f>
        <v>0</v>
      </c>
      <c r="G2" s="21">
        <f>SUMIFS($E$2:E2,$A$2:A2,A2)</f>
        <v>0</v>
      </c>
      <c r="H2" s="21">
        <f>SUMIFS($F$2:F2,$A$2:A2,A2)</f>
        <v>0</v>
      </c>
    </row>
    <row r="3" spans="1:8">
      <c r="A3" t="s">
        <v>162</v>
      </c>
      <c r="B3" s="18">
        <v>2026</v>
      </c>
      <c r="C3" s="21">
        <f>SUMIFS(Annual_Cost!$Q$2:$Q$313,Annual_Cost!$A$2:$A$313,A3,Annual_Cost!$B$2:$B$313,B3)</f>
        <v>0</v>
      </c>
      <c r="D3" s="21">
        <f>SUMIFS(Annual_Cost!$R$2:$R$313,Annual_Cost!$A$2:$A$313,A3,Annual_Cost!$B$2:$B$313,B3)</f>
        <v>541563.85939267534</v>
      </c>
      <c r="E3" s="21">
        <f>SUMIFS(Annual_Cost!$S$2:$S$313,Annual_Cost!$A$2:$A$313,A3,Annual_Cost!$B$2:$B$313,B3)</f>
        <v>541563.85939267534</v>
      </c>
      <c r="F3" s="21">
        <f>SUMIFS(Annual_Cost!$W$2:$W$313,Annual_Cost!$A$2:$A$313,A3,Annual_Cost!$B$2:$B$313,B3)</f>
        <v>525790.15475017019</v>
      </c>
      <c r="G3" s="21">
        <f>SUMIFS($E$2:E3,$A$2:A3,A3)</f>
        <v>541563.85939267534</v>
      </c>
      <c r="H3" s="21">
        <f>SUMIFS($F$2:F3,$A$2:A3,A3)</f>
        <v>525790.15475017019</v>
      </c>
    </row>
    <row r="4" spans="1:8">
      <c r="A4" t="s">
        <v>162</v>
      </c>
      <c r="B4" s="18">
        <v>2027</v>
      </c>
      <c r="C4" s="21">
        <f>SUMIFS(Annual_Cost!$Q$2:$Q$313,Annual_Cost!$A$2:$A$313,A4,Annual_Cost!$B$2:$B$313,B4)</f>
        <v>0</v>
      </c>
      <c r="D4" s="21">
        <f>SUMIFS(Annual_Cost!$R$2:$R$313,Annual_Cost!$A$2:$A$313,A4,Annual_Cost!$B$2:$B$313,B4)</f>
        <v>1091077.4750286357</v>
      </c>
      <c r="E4" s="21">
        <f>SUMIFS(Annual_Cost!$S$2:$S$313,Annual_Cost!$A$2:$A$313,A4,Annual_Cost!$B$2:$B$313,B4)</f>
        <v>1091077.4750286357</v>
      </c>
      <c r="F4" s="21">
        <f>SUMIFS(Annual_Cost!$W$2:$W$313,Annual_Cost!$A$2:$A$313,A4,Annual_Cost!$B$2:$B$313,B4)</f>
        <v>1028445.164509978</v>
      </c>
      <c r="G4" s="21">
        <f>SUMIFS($E$2:E4,$A$2:A4,A4)</f>
        <v>1632641.334421311</v>
      </c>
      <c r="H4" s="21">
        <f>SUMIFS($F$2:F4,$A$2:A4,A4)</f>
        <v>1554235.3192601483</v>
      </c>
    </row>
    <row r="5" spans="1:8">
      <c r="A5" t="s">
        <v>162</v>
      </c>
      <c r="B5" s="18">
        <v>2028</v>
      </c>
      <c r="C5" s="21">
        <f>SUMIFS(Annual_Cost!$Q$2:$Q$313,Annual_Cost!$A$2:$A$313,A5,Annual_Cost!$B$2:$B$313,B5)</f>
        <v>0</v>
      </c>
      <c r="D5" s="21">
        <f>SUMIFS(Annual_Cost!$R$2:$R$313,Annual_Cost!$A$2:$A$313,A5,Annual_Cost!$B$2:$B$313,B5)</f>
        <v>1648163.4138444609</v>
      </c>
      <c r="E5" s="21">
        <f>SUMIFS(Annual_Cost!$S$2:$S$313,Annual_Cost!$A$2:$A$313,A5,Annual_Cost!$B$2:$B$313,B5)</f>
        <v>1648163.4138444609</v>
      </c>
      <c r="F5" s="21">
        <f>SUMIFS(Annual_Cost!$W$2:$W$313,Annual_Cost!$A$2:$A$313,A5,Annual_Cost!$B$2:$B$313,B5)</f>
        <v>1508303.0014307883</v>
      </c>
      <c r="G5" s="21">
        <f>SUMIFS($E$2:E5,$A$2:A5,A5)</f>
        <v>3280804.7482657721</v>
      </c>
      <c r="H5" s="21">
        <f>SUMIFS($F$2:F5,$A$2:A5,A5)</f>
        <v>3062538.3206909364</v>
      </c>
    </row>
    <row r="6" spans="1:8">
      <c r="A6" t="s">
        <v>162</v>
      </c>
      <c r="B6" s="18">
        <v>2029</v>
      </c>
      <c r="C6" s="21">
        <f>SUMIFS(Annual_Cost!$Q$2:$Q$313,Annual_Cost!$A$2:$A$313,A6,Annual_Cost!$B$2:$B$313,B6)</f>
        <v>0</v>
      </c>
      <c r="D6" s="21">
        <f>SUMIFS(Annual_Cost!$R$2:$R$313,Annual_Cost!$A$2:$A$313,A6,Annual_Cost!$B$2:$B$313,B6)</f>
        <v>1659509.9507222711</v>
      </c>
      <c r="E6" s="21">
        <f>SUMIFS(Annual_Cost!$S$2:$S$313,Annual_Cost!$A$2:$A$313,A6,Annual_Cost!$B$2:$B$313,B6)</f>
        <v>1659509.9507222711</v>
      </c>
      <c r="F6" s="21">
        <f>SUMIFS(Annual_Cost!$W$2:$W$313,Annual_Cost!$A$2:$A$313,A6,Annual_Cost!$B$2:$B$313,B6)</f>
        <v>1474453.0971039413</v>
      </c>
      <c r="G6" s="21">
        <f>SUMIFS($E$2:E6,$A$2:A6,A6)</f>
        <v>4940314.6989880428</v>
      </c>
      <c r="H6" s="21">
        <f>SUMIFS($F$2:F6,$A$2:A6,A6)</f>
        <v>4536991.4177948777</v>
      </c>
    </row>
    <row r="7" spans="1:8">
      <c r="A7" t="s">
        <v>162</v>
      </c>
      <c r="B7" s="18">
        <v>2030</v>
      </c>
      <c r="C7" s="21">
        <f>SUMIFS(Annual_Cost!$Q$2:$Q$313,Annual_Cost!$A$2:$A$313,A7,Annual_Cost!$B$2:$B$313,B7)</f>
        <v>0</v>
      </c>
      <c r="D7" s="21">
        <f>SUMIFS(Annual_Cost!$R$2:$R$313,Annual_Cost!$A$2:$A$313,A7,Annual_Cost!$B$2:$B$313,B7)</f>
        <v>1670369.6030240799</v>
      </c>
      <c r="E7" s="21">
        <f>SUMIFS(Annual_Cost!$S$2:$S$313,Annual_Cost!$A$2:$A$313,A7,Annual_Cost!$B$2:$B$313,B7)</f>
        <v>1670369.6030240799</v>
      </c>
      <c r="F7" s="21">
        <f>SUMIFS(Annual_Cost!$W$2:$W$313,Annual_Cost!$A$2:$A$313,A7,Annual_Cost!$B$2:$B$313,B7)</f>
        <v>1440875.4927368604</v>
      </c>
      <c r="G7" s="21">
        <f>SUMIFS($E$2:E7,$A$2:A7,A7)</f>
        <v>6610684.3020121232</v>
      </c>
      <c r="H7" s="21">
        <f>SUMIFS($F$2:F7,$A$2:A7,A7)</f>
        <v>5977866.9105317378</v>
      </c>
    </row>
    <row r="8" spans="1:8">
      <c r="A8" t="s">
        <v>162</v>
      </c>
      <c r="B8" s="18">
        <v>2031</v>
      </c>
      <c r="C8" s="21">
        <f>SUMIFS(Annual_Cost!$Q$2:$Q$313,Annual_Cost!$A$2:$A$313,A8,Annual_Cost!$B$2:$B$313,B8)</f>
        <v>0</v>
      </c>
      <c r="D8" s="21">
        <f>SUMIFS(Annual_Cost!$R$2:$R$313,Annual_Cost!$A$2:$A$313,A8,Annual_Cost!$B$2:$B$313,B8)</f>
        <v>1680854.5802735791</v>
      </c>
      <c r="E8" s="21">
        <f>SUMIFS(Annual_Cost!$S$2:$S$313,Annual_Cost!$A$2:$A$313,A8,Annual_Cost!$B$2:$B$313,B8)</f>
        <v>1680854.5802735791</v>
      </c>
      <c r="F8" s="21">
        <f>SUMIFS(Annual_Cost!$W$2:$W$313,Annual_Cost!$A$2:$A$313,A8,Annual_Cost!$B$2:$B$313,B8)</f>
        <v>1407689.2487537344</v>
      </c>
      <c r="G8" s="21">
        <f>SUMIFS($E$2:E8,$A$2:A8,A8)</f>
        <v>8291538.882285702</v>
      </c>
      <c r="H8" s="21">
        <f>SUMIFS($F$2:F8,$A$2:A8,A8)</f>
        <v>7385556.1592854727</v>
      </c>
    </row>
    <row r="9" spans="1:8">
      <c r="A9" t="s">
        <v>162</v>
      </c>
      <c r="B9" s="18">
        <v>2032</v>
      </c>
      <c r="C9" s="21">
        <f>SUMIFS(Annual_Cost!$Q$2:$Q$313,Annual_Cost!$A$2:$A$313,A9,Annual_Cost!$B$2:$B$313,B9)</f>
        <v>0</v>
      </c>
      <c r="D9" s="21">
        <f>SUMIFS(Annual_Cost!$R$2:$R$313,Annual_Cost!$A$2:$A$313,A9,Annual_Cost!$B$2:$B$313,B9)</f>
        <v>1690563.0996427878</v>
      </c>
      <c r="E9" s="21">
        <f>SUMIFS(Annual_Cost!$S$2:$S$313,Annual_Cost!$A$2:$A$313,A9,Annual_Cost!$B$2:$B$313,B9)</f>
        <v>1690563.0996427878</v>
      </c>
      <c r="F9" s="21">
        <f>SUMIFS(Annual_Cost!$W$2:$W$313,Annual_Cost!$A$2:$A$313,A9,Annual_Cost!$B$2:$B$313,B9)</f>
        <v>1374582.5057098591</v>
      </c>
      <c r="G9" s="21">
        <f>SUMIFS($E$2:E9,$A$2:A9,A9)</f>
        <v>9982101.9819284901</v>
      </c>
      <c r="H9" s="21">
        <f>SUMIFS($F$2:F9,$A$2:A9,A9)</f>
        <v>8760138.6649953313</v>
      </c>
    </row>
    <row r="10" spans="1:8">
      <c r="A10" t="s">
        <v>162</v>
      </c>
      <c r="B10" s="18">
        <v>2033</v>
      </c>
      <c r="C10" s="21">
        <f>SUMIFS(Annual_Cost!$Q$2:$Q$313,Annual_Cost!$A$2:$A$313,A10,Annual_Cost!$B$2:$B$313,B10)</f>
        <v>0</v>
      </c>
      <c r="D10" s="21">
        <f>SUMIFS(Annual_Cost!$R$2:$R$313,Annual_Cost!$A$2:$A$313,A10,Annual_Cost!$B$2:$B$313,B10)</f>
        <v>1700725.8020212599</v>
      </c>
      <c r="E10" s="21">
        <f>SUMIFS(Annual_Cost!$S$2:$S$313,Annual_Cost!$A$2:$A$313,A10,Annual_Cost!$B$2:$B$313,B10)</f>
        <v>1700725.8020212599</v>
      </c>
      <c r="F10" s="21">
        <f>SUMIFS(Annual_Cost!$W$2:$W$313,Annual_Cost!$A$2:$A$313,A10,Annual_Cost!$B$2:$B$313,B10)</f>
        <v>1342568.6531515571</v>
      </c>
      <c r="G10" s="21">
        <f>SUMIFS($E$2:E10,$A$2:A10,A10)</f>
        <v>11682827.78394975</v>
      </c>
      <c r="H10" s="21">
        <f>SUMIFS($F$2:F10,$A$2:A10,A10)</f>
        <v>10102707.318146888</v>
      </c>
    </row>
    <row r="11" spans="1:8">
      <c r="A11" t="s">
        <v>162</v>
      </c>
      <c r="B11" s="18">
        <v>2034</v>
      </c>
      <c r="C11" s="21">
        <f>SUMIFS(Annual_Cost!$Q$2:$Q$313,Annual_Cost!$A$2:$A$313,A11,Annual_Cost!$B$2:$B$313,B11)</f>
        <v>0</v>
      </c>
      <c r="D11" s="21">
        <f>SUMIFS(Annual_Cost!$R$2:$R$313,Annual_Cost!$A$2:$A$313,A11,Annual_Cost!$B$2:$B$313,B11)</f>
        <v>1710116.7959236314</v>
      </c>
      <c r="E11" s="21">
        <f>SUMIFS(Annual_Cost!$S$2:$S$313,Annual_Cost!$A$2:$A$313,A11,Annual_Cost!$B$2:$B$313,B11)</f>
        <v>1710116.7959236314</v>
      </c>
      <c r="F11" s="21">
        <f>SUMIFS(Annual_Cost!$W$2:$W$313,Annual_Cost!$A$2:$A$313,A11,Annual_Cost!$B$2:$B$313,B11)</f>
        <v>1310662.1266577428</v>
      </c>
      <c r="G11" s="21">
        <f>SUMIFS($E$2:E11,$A$2:A11,A11)</f>
        <v>13392944.579873381</v>
      </c>
      <c r="H11" s="21">
        <f>SUMIFS($F$2:F11,$A$2:A11,A11)</f>
        <v>11413369.444804631</v>
      </c>
    </row>
    <row r="12" spans="1:8">
      <c r="A12" t="s">
        <v>162</v>
      </c>
      <c r="B12" s="18">
        <v>2035</v>
      </c>
      <c r="C12" s="21">
        <f>SUMIFS(Annual_Cost!$Q$2:$Q$313,Annual_Cost!$A$2:$A$313,A12,Annual_Cost!$B$2:$B$313,B12)</f>
        <v>0</v>
      </c>
      <c r="D12" s="21">
        <f>SUMIFS(Annual_Cost!$R$2:$R$313,Annual_Cost!$A$2:$A$313,A12,Annual_Cost!$B$2:$B$313,B12)</f>
        <v>1719139.854892012</v>
      </c>
      <c r="E12" s="21">
        <f>SUMIFS(Annual_Cost!$S$2:$S$313,Annual_Cost!$A$2:$A$313,A12,Annual_Cost!$B$2:$B$313,B12)</f>
        <v>1719139.854892012</v>
      </c>
      <c r="F12" s="21">
        <f>SUMIFS(Annual_Cost!$W$2:$W$313,Annual_Cost!$A$2:$A$313,A12,Annual_Cost!$B$2:$B$313,B12)</f>
        <v>1279201.5048815852</v>
      </c>
      <c r="G12" s="21">
        <f>SUMIFS($E$2:E12,$A$2:A12,A12)</f>
        <v>15112084.434765393</v>
      </c>
      <c r="H12" s="21">
        <f>SUMIFS($F$2:F12,$A$2:A12,A12)</f>
        <v>12692570.949686216</v>
      </c>
    </row>
    <row r="13" spans="1:8">
      <c r="A13" t="s">
        <v>162</v>
      </c>
      <c r="B13" s="18">
        <v>2036</v>
      </c>
      <c r="C13" s="21">
        <f>SUMIFS(Annual_Cost!$Q$2:$Q$313,Annual_Cost!$A$2:$A$313,A13,Annual_Cost!$B$2:$B$313,B13)</f>
        <v>0</v>
      </c>
      <c r="D13" s="21">
        <f>SUMIFS(Annual_Cost!$R$2:$R$313,Annual_Cost!$A$2:$A$313,A13,Annual_Cost!$B$2:$B$313,B13)</f>
        <v>1727809.4485559321</v>
      </c>
      <c r="E13" s="21">
        <f>SUMIFS(Annual_Cost!$S$2:$S$313,Annual_Cost!$A$2:$A$313,A13,Annual_Cost!$B$2:$B$313,B13)</f>
        <v>1727809.4485559321</v>
      </c>
      <c r="F13" s="21">
        <f>SUMIFS(Annual_Cost!$W$2:$W$313,Annual_Cost!$A$2:$A$313,A13,Annual_Cost!$B$2:$B$313,B13)</f>
        <v>1248206.30754518</v>
      </c>
      <c r="G13" s="21">
        <f>SUMIFS($E$2:E13,$A$2:A13,A13)</f>
        <v>16839893.883321326</v>
      </c>
      <c r="H13" s="21">
        <f>SUMIFS($F$2:F13,$A$2:A13,A13)</f>
        <v>13940777.257231396</v>
      </c>
    </row>
    <row r="14" spans="1:8">
      <c r="A14" t="s">
        <v>162</v>
      </c>
      <c r="B14" s="18">
        <v>2037</v>
      </c>
      <c r="C14" s="21">
        <f>SUMIFS(Annual_Cost!$Q$2:$Q$313,Annual_Cost!$A$2:$A$313,A14,Annual_Cost!$B$2:$B$313,B14)</f>
        <v>0</v>
      </c>
      <c r="D14" s="21">
        <f>SUMIFS(Annual_Cost!$R$2:$R$313,Annual_Cost!$A$2:$A$313,A14,Annual_Cost!$B$2:$B$313,B14)</f>
        <v>1735490.559987128</v>
      </c>
      <c r="E14" s="21">
        <f>SUMIFS(Annual_Cost!$S$2:$S$313,Annual_Cost!$A$2:$A$313,A14,Annual_Cost!$B$2:$B$313,B14)</f>
        <v>1735490.559987128</v>
      </c>
      <c r="F14" s="21">
        <f>SUMIFS(Annual_Cost!$W$2:$W$313,Annual_Cost!$A$2:$A$313,A14,Annual_Cost!$B$2:$B$313,B14)</f>
        <v>1217238.1610398078</v>
      </c>
      <c r="G14" s="21">
        <f>SUMIFS($E$2:E14,$A$2:A14,A14)</f>
        <v>18575384.443308454</v>
      </c>
      <c r="H14" s="21">
        <f>SUMIFS($F$2:F14,$A$2:A14,A14)</f>
        <v>15158015.418271203</v>
      </c>
    </row>
    <row r="15" spans="1:8">
      <c r="A15" t="s">
        <v>162</v>
      </c>
      <c r="B15" s="18">
        <v>2038</v>
      </c>
      <c r="C15" s="21">
        <f>SUMIFS(Annual_Cost!$Q$2:$Q$313,Annual_Cost!$A$2:$A$313,A15,Annual_Cost!$B$2:$B$313,B15)</f>
        <v>0</v>
      </c>
      <c r="D15" s="21">
        <f>SUMIFS(Annual_Cost!$R$2:$R$313,Annual_Cost!$A$2:$A$313,A15,Annual_Cost!$B$2:$B$313,B15)</f>
        <v>1743420.9073291919</v>
      </c>
      <c r="E15" s="21">
        <f>SUMIFS(Annual_Cost!$S$2:$S$313,Annual_Cost!$A$2:$A$313,A15,Annual_Cost!$B$2:$B$313,B15)</f>
        <v>1743420.9073291919</v>
      </c>
      <c r="F15" s="21">
        <f>SUMIFS(Annual_Cost!$W$2:$W$313,Annual_Cost!$A$2:$A$313,A15,Annual_Cost!$B$2:$B$313,B15)</f>
        <v>1187184.8030179352</v>
      </c>
      <c r="G15" s="21">
        <f>SUMIFS($E$2:E15,$A$2:A15,A15)</f>
        <v>20318805.350637645</v>
      </c>
      <c r="H15" s="21">
        <f>SUMIFS($F$2:F15,$A$2:A15,A15)</f>
        <v>16345200.221289137</v>
      </c>
    </row>
    <row r="16" spans="1:8">
      <c r="A16" t="s">
        <v>162</v>
      </c>
      <c r="B16" s="18">
        <v>2039</v>
      </c>
      <c r="C16" s="21">
        <f>SUMIFS(Annual_Cost!$Q$2:$Q$313,Annual_Cost!$A$2:$A$313,A16,Annual_Cost!$B$2:$B$313,B16)</f>
        <v>0</v>
      </c>
      <c r="D16" s="21">
        <f>SUMIFS(Annual_Cost!$R$2:$R$313,Annual_Cost!$A$2:$A$313,A16,Annual_Cost!$B$2:$B$313,B16)</f>
        <v>1751011.5848550191</v>
      </c>
      <c r="E16" s="21">
        <f>SUMIFS(Annual_Cost!$S$2:$S$313,Annual_Cost!$A$2:$A$313,A16,Annual_Cost!$B$2:$B$313,B16)</f>
        <v>1751011.5848550191</v>
      </c>
      <c r="F16" s="21">
        <f>SUMIFS(Annual_Cost!$W$2:$W$313,Annual_Cost!$A$2:$A$313,A16,Annual_Cost!$B$2:$B$313,B16)</f>
        <v>1157624.9369423331</v>
      </c>
      <c r="G16" s="21">
        <f>SUMIFS($E$2:E16,$A$2:A16,A16)</f>
        <v>22069816.935492665</v>
      </c>
      <c r="H16" s="21">
        <f>SUMIFS($F$2:F16,$A$2:A16,A16)</f>
        <v>17502825.158231471</v>
      </c>
    </row>
    <row r="17" spans="1:8">
      <c r="A17" t="s">
        <v>162</v>
      </c>
      <c r="B17" s="18">
        <v>2040</v>
      </c>
      <c r="C17" s="21">
        <f>SUMIFS(Annual_Cost!$Q$2:$Q$313,Annual_Cost!$A$2:$A$313,A17,Annual_Cost!$B$2:$B$313,B17)</f>
        <v>0</v>
      </c>
      <c r="D17" s="21">
        <f>SUMIFS(Annual_Cost!$R$2:$R$313,Annual_Cost!$A$2:$A$313,A17,Annual_Cost!$B$2:$B$313,B17)</f>
        <v>1758276.0482907705</v>
      </c>
      <c r="E17" s="21">
        <f>SUMIFS(Annual_Cost!$S$2:$S$313,Annual_Cost!$A$2:$A$313,A17,Annual_Cost!$B$2:$B$313,B17)</f>
        <v>1758276.0482907705</v>
      </c>
      <c r="F17" s="21">
        <f>SUMIFS(Annual_Cost!$W$2:$W$313,Annual_Cost!$A$2:$A$313,A17,Annual_Cost!$B$2:$B$313,B17)</f>
        <v>1128570.488416919</v>
      </c>
      <c r="G17" s="21">
        <f>SUMIFS($E$2:E17,$A$2:A17,A17)</f>
        <v>23828092.983783435</v>
      </c>
      <c r="H17" s="21">
        <f>SUMIFS($F$2:F17,$A$2:A17,A17)</f>
        <v>18631395.646648388</v>
      </c>
    </row>
    <row r="18" spans="1:8">
      <c r="A18" t="s">
        <v>162</v>
      </c>
      <c r="B18" s="18">
        <v>2041</v>
      </c>
      <c r="C18" s="21">
        <f>SUMIFS(Annual_Cost!$Q$2:$Q$313,Annual_Cost!$A$2:$A$313,A18,Annual_Cost!$B$2:$B$313,B18)</f>
        <v>0</v>
      </c>
      <c r="D18" s="21">
        <f>SUMIFS(Annual_Cost!$R$2:$R$313,Annual_Cost!$A$2:$A$313,A18,Annual_Cost!$B$2:$B$313,B18)</f>
        <v>1765208.4899773013</v>
      </c>
      <c r="E18" s="21">
        <f>SUMIFS(Annual_Cost!$S$2:$S$313,Annual_Cost!$A$2:$A$313,A18,Annual_Cost!$B$2:$B$313,B18)</f>
        <v>1765208.4899773013</v>
      </c>
      <c r="F18" s="21">
        <f>SUMIFS(Annual_Cost!$W$2:$W$313,Annual_Cost!$A$2:$A$313,A18,Annual_Cost!$B$2:$B$313,B18)</f>
        <v>1100019.5717845147</v>
      </c>
      <c r="G18" s="21">
        <f>SUMIFS($E$2:E18,$A$2:A18,A18)</f>
        <v>25593301.473760735</v>
      </c>
      <c r="H18" s="21">
        <f>SUMIFS($F$2:F18,$A$2:A18,A18)</f>
        <v>19731415.218432903</v>
      </c>
    </row>
    <row r="19" spans="1:8">
      <c r="A19" t="s">
        <v>162</v>
      </c>
      <c r="B19" s="18">
        <v>2042</v>
      </c>
      <c r="C19" s="21">
        <f>SUMIFS(Annual_Cost!$Q$2:$Q$313,Annual_Cost!$A$2:$A$313,A19,Annual_Cost!$B$2:$B$313,B19)</f>
        <v>0</v>
      </c>
      <c r="D19" s="21">
        <f>SUMIFS(Annual_Cost!$R$2:$R$313,Annual_Cost!$A$2:$A$313,A19,Annual_Cost!$B$2:$B$313,B19)</f>
        <v>1771813.6261697649</v>
      </c>
      <c r="E19" s="21">
        <f>SUMIFS(Annual_Cost!$S$2:$S$313,Annual_Cost!$A$2:$A$313,A19,Annual_Cost!$B$2:$B$313,B19)</f>
        <v>1771813.6261697649</v>
      </c>
      <c r="F19" s="21">
        <f>SUMIFS(Annual_Cost!$W$2:$W$313,Annual_Cost!$A$2:$A$313,A19,Annual_Cost!$B$2:$B$313,B19)</f>
        <v>1071976.3828045672</v>
      </c>
      <c r="G19" s="21">
        <f>SUMIFS($E$2:E19,$A$2:A19,A19)</f>
        <v>27365115.099930499</v>
      </c>
      <c r="H19" s="21">
        <f>SUMIFS($F$2:F19,$A$2:A19,A19)</f>
        <v>20803391.601237472</v>
      </c>
    </row>
    <row r="20" spans="1:8">
      <c r="A20" t="s">
        <v>162</v>
      </c>
      <c r="B20" s="18">
        <v>2043</v>
      </c>
      <c r="C20" s="21">
        <f>SUMIFS(Annual_Cost!$Q$2:$Q$313,Annual_Cost!$A$2:$A$313,A20,Annual_Cost!$B$2:$B$313,B20)</f>
        <v>0</v>
      </c>
      <c r="D20" s="21">
        <f>SUMIFS(Annual_Cost!$R$2:$R$313,Annual_Cost!$A$2:$A$313,A20,Annual_Cost!$B$2:$B$313,B20)</f>
        <v>1778670.5451130557</v>
      </c>
      <c r="E20" s="21">
        <f>SUMIFS(Annual_Cost!$S$2:$S$313,Annual_Cost!$A$2:$A$313,A20,Annual_Cost!$B$2:$B$313,B20)</f>
        <v>1778670.5451130557</v>
      </c>
      <c r="F20" s="21">
        <f>SUMIFS(Annual_Cost!$W$2:$W$313,Annual_Cost!$A$2:$A$313,A20,Annual_Cost!$B$2:$B$313,B20)</f>
        <v>1044781.486925323</v>
      </c>
      <c r="G20" s="21">
        <f>SUMIFS($E$2:E20,$A$2:A20,A20)</f>
        <v>29143785.645043556</v>
      </c>
      <c r="H20" s="21">
        <f>SUMIFS($F$2:F20,$A$2:A20,A20)</f>
        <v>21848173.088162795</v>
      </c>
    </row>
    <row r="21" spans="1:8">
      <c r="A21" t="s">
        <v>162</v>
      </c>
      <c r="B21" s="18">
        <v>2044</v>
      </c>
      <c r="C21" s="21">
        <f>SUMIFS(Annual_Cost!$Q$2:$Q$313,Annual_Cost!$A$2:$A$313,A21,Annual_Cost!$B$2:$B$313,B21)</f>
        <v>0</v>
      </c>
      <c r="D21" s="21">
        <f>SUMIFS(Annual_Cost!$R$2:$R$313,Annual_Cost!$A$2:$A$313,A21,Annual_Cost!$B$2:$B$313,B21)</f>
        <v>1784703.9882756448</v>
      </c>
      <c r="E21" s="21">
        <f>SUMIFS(Annual_Cost!$S$2:$S$313,Annual_Cost!$A$2:$A$313,A21,Annual_Cost!$B$2:$B$313,B21)</f>
        <v>1784703.9882756448</v>
      </c>
      <c r="F21" s="21">
        <f>SUMIFS(Annual_Cost!$W$2:$W$313,Annual_Cost!$A$2:$A$313,A21,Annual_Cost!$B$2:$B$313,B21)</f>
        <v>1017791.7465091138</v>
      </c>
      <c r="G21" s="21">
        <f>SUMIFS($E$2:E21,$A$2:A21,A21)</f>
        <v>30928489.633319199</v>
      </c>
      <c r="H21" s="21">
        <f>SUMIFS($F$2:F21,$A$2:A21,A21)</f>
        <v>22865964.834671907</v>
      </c>
    </row>
    <row r="22" spans="1:8">
      <c r="A22" t="s">
        <v>162</v>
      </c>
      <c r="B22" s="18">
        <v>2045</v>
      </c>
      <c r="C22" s="21">
        <f>SUMIFS(Annual_Cost!$Q$2:$Q$313,Annual_Cost!$A$2:$A$313,A22,Annual_Cost!$B$2:$B$313,B22)</f>
        <v>0</v>
      </c>
      <c r="D22" s="21">
        <f>SUMIFS(Annual_Cost!$R$2:$R$313,Annual_Cost!$A$2:$A$313,A22,Annual_Cost!$B$2:$B$313,B22)</f>
        <v>1790419.9383779743</v>
      </c>
      <c r="E22" s="21">
        <f>SUMIFS(Annual_Cost!$S$2:$S$313,Annual_Cost!$A$2:$A$313,A22,Annual_Cost!$B$2:$B$313,B22)</f>
        <v>1790419.9383779743</v>
      </c>
      <c r="F22" s="21">
        <f>SUMIFS(Annual_Cost!$W$2:$W$313,Annual_Cost!$A$2:$A$313,A22,Annual_Cost!$B$2:$B$313,B22)</f>
        <v>991312.10969167633</v>
      </c>
      <c r="G22" s="21">
        <f>SUMIFS($E$2:E22,$A$2:A22,A22)</f>
        <v>32718909.571697172</v>
      </c>
      <c r="H22" s="21">
        <f>SUMIFS($F$2:F22,$A$2:A22,A22)</f>
        <v>23857276.944363583</v>
      </c>
    </row>
    <row r="23" spans="1:8">
      <c r="A23" t="s">
        <v>162</v>
      </c>
      <c r="B23" s="18">
        <v>2046</v>
      </c>
      <c r="C23" s="21">
        <f>SUMIFS(Annual_Cost!$Q$2:$Q$313,Annual_Cost!$A$2:$A$313,A23,Annual_Cost!$B$2:$B$313,B23)</f>
        <v>0</v>
      </c>
      <c r="D23" s="21">
        <f>SUMIFS(Annual_Cost!$R$2:$R$313,Annual_Cost!$A$2:$A$313,A23,Annual_Cost!$B$2:$B$313,B23)</f>
        <v>1795829.7586754391</v>
      </c>
      <c r="E23" s="21">
        <f>SUMIFS(Annual_Cost!$S$2:$S$313,Annual_Cost!$A$2:$A$313,A23,Annual_Cost!$B$2:$B$313,B23)</f>
        <v>1795829.7586754391</v>
      </c>
      <c r="F23" s="21">
        <f>SUMIFS(Annual_Cost!$W$2:$W$313,Annual_Cost!$A$2:$A$313,A23,Annual_Cost!$B$2:$B$313,B23)</f>
        <v>965346.98643192975</v>
      </c>
      <c r="G23" s="21">
        <f>SUMIFS($E$2:E23,$A$2:A23,A23)</f>
        <v>34514739.330372609</v>
      </c>
      <c r="H23" s="21">
        <f>SUMIFS($F$2:F23,$A$2:A23,A23)</f>
        <v>24822623.930795513</v>
      </c>
    </row>
    <row r="24" spans="1:8">
      <c r="A24" t="s">
        <v>162</v>
      </c>
      <c r="B24" s="18">
        <v>2047</v>
      </c>
      <c r="C24" s="21">
        <f>SUMIFS(Annual_Cost!$Q$2:$Q$313,Annual_Cost!$A$2:$A$313,A24,Annual_Cost!$B$2:$B$313,B24)</f>
        <v>0</v>
      </c>
      <c r="D24" s="21">
        <f>SUMIFS(Annual_Cost!$R$2:$R$313,Annual_Cost!$A$2:$A$313,A24,Annual_Cost!$B$2:$B$313,B24)</f>
        <v>1800935.0656697287</v>
      </c>
      <c r="E24" s="21">
        <f>SUMIFS(Annual_Cost!$S$2:$S$313,Annual_Cost!$A$2:$A$313,A24,Annual_Cost!$B$2:$B$313,B24)</f>
        <v>1800935.0656697287</v>
      </c>
      <c r="F24" s="21">
        <f>SUMIFS(Annual_Cost!$W$2:$W$313,Annual_Cost!$A$2:$A$313,A24,Annual_Cost!$B$2:$B$313,B24)</f>
        <v>939894.50534951815</v>
      </c>
      <c r="G24" s="21">
        <f>SUMIFS($E$2:E24,$A$2:A24,A24)</f>
        <v>36315674.39604234</v>
      </c>
      <c r="H24" s="21">
        <f>SUMIFS($F$2:F24,$A$2:A24,A24)</f>
        <v>25762518.43614503</v>
      </c>
    </row>
    <row r="25" spans="1:8">
      <c r="A25" t="s">
        <v>162</v>
      </c>
      <c r="B25" s="18">
        <v>2048</v>
      </c>
      <c r="C25" s="21">
        <f>SUMIFS(Annual_Cost!$Q$2:$Q$313,Annual_Cost!$A$2:$A$313,A25,Annual_Cost!$B$2:$B$313,B25)</f>
        <v>0</v>
      </c>
      <c r="D25" s="21">
        <f>SUMIFS(Annual_Cost!$R$2:$R$313,Annual_Cost!$A$2:$A$313,A25,Annual_Cost!$B$2:$B$313,B25)</f>
        <v>1804740.9148153504</v>
      </c>
      <c r="E25" s="21">
        <f>SUMIFS(Annual_Cost!$S$2:$S$313,Annual_Cost!$A$2:$A$313,A25,Annual_Cost!$B$2:$B$313,B25)</f>
        <v>1804740.9148153504</v>
      </c>
      <c r="F25" s="21">
        <f>SUMIFS(Annual_Cost!$W$2:$W$313,Annual_Cost!$A$2:$A$313,A25,Annual_Cost!$B$2:$B$313,B25)</f>
        <v>914447.32959039661</v>
      </c>
      <c r="G25" s="21">
        <f>SUMIFS($E$2:E25,$A$2:A25,A25)</f>
        <v>38120415.310857691</v>
      </c>
      <c r="H25" s="21">
        <f>SUMIFS($F$2:F25,$A$2:A25,A25)</f>
        <v>26676965.765735425</v>
      </c>
    </row>
    <row r="26" spans="1:8">
      <c r="A26" t="s">
        <v>162</v>
      </c>
      <c r="B26" s="18">
        <v>2049</v>
      </c>
      <c r="C26" s="21">
        <f>SUMIFS(Annual_Cost!$Q$2:$Q$313,Annual_Cost!$A$2:$A$313,A26,Annual_Cost!$B$2:$B$313,B26)</f>
        <v>0</v>
      </c>
      <c r="D26" s="21">
        <f>SUMIFS(Annual_Cost!$R$2:$R$313,Annual_Cost!$A$2:$A$313,A26,Annual_Cost!$B$2:$B$313,B26)</f>
        <v>1809196.569414892</v>
      </c>
      <c r="E26" s="21">
        <f>SUMIFS(Annual_Cost!$S$2:$S$313,Annual_Cost!$A$2:$A$313,A26,Annual_Cost!$B$2:$B$313,B26)</f>
        <v>1809196.569414892</v>
      </c>
      <c r="F26" s="21">
        <f>SUMIFS(Annual_Cost!$W$2:$W$313,Annual_Cost!$A$2:$A$313,A26,Annual_Cost!$B$2:$B$313,B26)</f>
        <v>890004.82816489041</v>
      </c>
      <c r="G26" s="21">
        <f>SUMIFS($E$2:E26,$A$2:A26,A26)</f>
        <v>39929611.880272582</v>
      </c>
      <c r="H26" s="21">
        <f>SUMIFS($F$2:F26,$A$2:A26,A26)</f>
        <v>27566970.593900315</v>
      </c>
    </row>
    <row r="27" spans="1:8">
      <c r="A27" t="s">
        <v>162</v>
      </c>
      <c r="B27" s="18">
        <v>2050</v>
      </c>
      <c r="C27" s="21">
        <f>SUMIFS(Annual_Cost!$Q$2:$Q$313,Annual_Cost!$A$2:$A$313,A27,Annual_Cost!$B$2:$B$313,B27)</f>
        <v>0</v>
      </c>
      <c r="D27" s="21">
        <f>SUMIFS(Annual_Cost!$R$2:$R$313,Annual_Cost!$A$2:$A$313,A27,Annual_Cost!$B$2:$B$313,B27)</f>
        <v>1813361.8528172225</v>
      </c>
      <c r="E27" s="21">
        <f>SUMIFS(Annual_Cost!$S$2:$S$313,Annual_Cost!$A$2:$A$313,A27,Annual_Cost!$B$2:$B$313,B27)</f>
        <v>1813361.8528172225</v>
      </c>
      <c r="F27" s="21">
        <f>SUMIFS(Annual_Cost!$W$2:$W$313,Annual_Cost!$A$2:$A$313,A27,Annual_Cost!$B$2:$B$313,B27)</f>
        <v>866071.71999214741</v>
      </c>
      <c r="G27" s="21">
        <f>SUMIFS($E$2:E27,$A$2:A27,A27)</f>
        <v>41742973.733089805</v>
      </c>
      <c r="H27" s="21">
        <f>SUMIFS($F$2:F27,$A$2:A27,A27)</f>
        <v>28433042.313892461</v>
      </c>
    </row>
    <row r="28" spans="1:8">
      <c r="A28" t="s">
        <v>185</v>
      </c>
      <c r="B28" s="18">
        <v>2025</v>
      </c>
      <c r="C28" s="21">
        <f>SUMIFS(Annual_Cost!$Q$2:$Q$313,Annual_Cost!$A$2:$A$313,A28,Annual_Cost!$B$2:$B$313,B28)</f>
        <v>0</v>
      </c>
      <c r="D28" s="21">
        <f>SUMIFS(Annual_Cost!$R$2:$R$313,Annual_Cost!$A$2:$A$313,A28,Annual_Cost!$B$2:$B$313,B28)</f>
        <v>0</v>
      </c>
      <c r="E28" s="21">
        <f>SUMIFS(Annual_Cost!$S$2:$S$313,Annual_Cost!$A$2:$A$313,A28,Annual_Cost!$B$2:$B$313,B28)</f>
        <v>0</v>
      </c>
      <c r="F28" s="21">
        <f>SUMIFS(Annual_Cost!$W$2:$W$313,Annual_Cost!$A$2:$A$313,A28,Annual_Cost!$B$2:$B$313,B28)</f>
        <v>0</v>
      </c>
      <c r="G28" s="21">
        <f>SUMIFS($E$2:E28,$A$2:A28,A28)</f>
        <v>0</v>
      </c>
      <c r="H28" s="21">
        <f>SUMIFS($F$2:F28,$A$2:A28,A28)</f>
        <v>0</v>
      </c>
    </row>
    <row r="29" spans="1:8">
      <c r="A29" t="s">
        <v>185</v>
      </c>
      <c r="B29" s="18">
        <v>2026</v>
      </c>
      <c r="C29" s="21">
        <f>SUMIFS(Annual_Cost!$Q$2:$Q$313,Annual_Cost!$A$2:$A$313,A29,Annual_Cost!$B$2:$B$313,B29)</f>
        <v>0</v>
      </c>
      <c r="D29" s="21">
        <f>SUMIFS(Annual_Cost!$R$2:$R$313,Annual_Cost!$A$2:$A$313,A29,Annual_Cost!$B$2:$B$313,B29)</f>
        <v>386831.3281376253</v>
      </c>
      <c r="E29" s="21">
        <f>SUMIFS(Annual_Cost!$S$2:$S$313,Annual_Cost!$A$2:$A$313,A29,Annual_Cost!$B$2:$B$313,B29)</f>
        <v>386831.3281376253</v>
      </c>
      <c r="F29" s="21">
        <f>SUMIFS(Annual_Cost!$W$2:$W$313,Annual_Cost!$A$2:$A$313,A29,Annual_Cost!$B$2:$B$313,B29)</f>
        <v>375564.39625012164</v>
      </c>
      <c r="G29" s="21">
        <f>SUMIFS($E$2:E29,$A$2:A29,A29)</f>
        <v>386831.3281376253</v>
      </c>
      <c r="H29" s="21">
        <f>SUMIFS($F$2:F29,$A$2:A29,A29)</f>
        <v>375564.39625012164</v>
      </c>
    </row>
    <row r="30" spans="1:8">
      <c r="A30" t="s">
        <v>185</v>
      </c>
      <c r="B30" s="18">
        <v>2027</v>
      </c>
      <c r="C30" s="21">
        <f>SUMIFS(Annual_Cost!$Q$2:$Q$313,Annual_Cost!$A$2:$A$313,A30,Annual_Cost!$B$2:$B$313,B30)</f>
        <v>0</v>
      </c>
      <c r="D30" s="21">
        <f>SUMIFS(Annual_Cost!$R$2:$R$313,Annual_Cost!$A$2:$A$313,A30,Annual_Cost!$B$2:$B$313,B30)</f>
        <v>779341.05359188269</v>
      </c>
      <c r="E30" s="21">
        <f>SUMIFS(Annual_Cost!$S$2:$S$313,Annual_Cost!$A$2:$A$313,A30,Annual_Cost!$B$2:$B$313,B30)</f>
        <v>779341.05359188269</v>
      </c>
      <c r="F30" s="21">
        <f>SUMIFS(Annual_Cost!$W$2:$W$313,Annual_Cost!$A$2:$A$313,A30,Annual_Cost!$B$2:$B$313,B30)</f>
        <v>734603.68893569859</v>
      </c>
      <c r="G30" s="21">
        <f>SUMIFS($E$2:E30,$A$2:A30,A30)</f>
        <v>1166172.3817295081</v>
      </c>
      <c r="H30" s="21">
        <f>SUMIFS($F$2:F30,$A$2:A30,A30)</f>
        <v>1110168.0851858202</v>
      </c>
    </row>
    <row r="31" spans="1:8">
      <c r="A31" t="s">
        <v>185</v>
      </c>
      <c r="B31" s="18">
        <v>2028</v>
      </c>
      <c r="C31" s="21">
        <f>SUMIFS(Annual_Cost!$Q$2:$Q$313,Annual_Cost!$A$2:$A$313,A31,Annual_Cost!$B$2:$B$313,B31)</f>
        <v>0</v>
      </c>
      <c r="D31" s="21">
        <f>SUMIFS(Annual_Cost!$R$2:$R$313,Annual_Cost!$A$2:$A$313,A31,Annual_Cost!$B$2:$B$313,B31)</f>
        <v>1177259.581396024</v>
      </c>
      <c r="E31" s="21">
        <f>SUMIFS(Annual_Cost!$S$2:$S$313,Annual_Cost!$A$2:$A$313,A31,Annual_Cost!$B$2:$B$313,B31)</f>
        <v>1177259.581396024</v>
      </c>
      <c r="F31" s="21">
        <f>SUMIFS(Annual_Cost!$W$2:$W$313,Annual_Cost!$A$2:$A$313,A31,Annual_Cost!$B$2:$B$313,B31)</f>
        <v>1077359.2868081634</v>
      </c>
      <c r="G31" s="21">
        <f>SUMIFS($E$2:E31,$A$2:A31,A31)</f>
        <v>2343431.963125532</v>
      </c>
      <c r="H31" s="21">
        <f>SUMIFS($F$2:F31,$A$2:A31,A31)</f>
        <v>2187527.3719939836</v>
      </c>
    </row>
    <row r="32" spans="1:8">
      <c r="A32" t="s">
        <v>185</v>
      </c>
      <c r="B32" s="18">
        <v>2029</v>
      </c>
      <c r="C32" s="21">
        <f>SUMIFS(Annual_Cost!$Q$2:$Q$313,Annual_Cost!$A$2:$A$313,A32,Annual_Cost!$B$2:$B$313,B32)</f>
        <v>0</v>
      </c>
      <c r="D32" s="21">
        <f>SUMIFS(Annual_Cost!$R$2:$R$313,Annual_Cost!$A$2:$A$313,A32,Annual_Cost!$B$2:$B$313,B32)</f>
        <v>1185364.250798936</v>
      </c>
      <c r="E32" s="21">
        <f>SUMIFS(Annual_Cost!$S$2:$S$313,Annual_Cost!$A$2:$A$313,A32,Annual_Cost!$B$2:$B$313,B32)</f>
        <v>1185364.250798936</v>
      </c>
      <c r="F32" s="21">
        <f>SUMIFS(Annual_Cost!$W$2:$W$313,Annual_Cost!$A$2:$A$313,A32,Annual_Cost!$B$2:$B$313,B32)</f>
        <v>1053180.7838971391</v>
      </c>
      <c r="G32" s="21">
        <f>SUMIFS($E$2:E32,$A$2:A32,A32)</f>
        <v>3528796.213924468</v>
      </c>
      <c r="H32" s="21">
        <f>SUMIFS($F$2:F32,$A$2:A32,A32)</f>
        <v>3240708.1558911228</v>
      </c>
    </row>
    <row r="33" spans="1:8">
      <c r="A33" t="s">
        <v>185</v>
      </c>
      <c r="B33" s="18">
        <v>2030</v>
      </c>
      <c r="C33" s="21">
        <f>SUMIFS(Annual_Cost!$Q$2:$Q$313,Annual_Cost!$A$2:$A$313,A33,Annual_Cost!$B$2:$B$313,B33)</f>
        <v>0</v>
      </c>
      <c r="D33" s="21">
        <f>SUMIFS(Annual_Cost!$R$2:$R$313,Annual_Cost!$A$2:$A$313,A33,Annual_Cost!$B$2:$B$313,B33)</f>
        <v>1193121.1456647119</v>
      </c>
      <c r="E33" s="21">
        <f>SUMIFS(Annual_Cost!$S$2:$S$313,Annual_Cost!$A$2:$A$313,A33,Annual_Cost!$B$2:$B$313,B33)</f>
        <v>1193121.1456647119</v>
      </c>
      <c r="F33" s="21">
        <f>SUMIFS(Annual_Cost!$W$2:$W$313,Annual_Cost!$A$2:$A$313,A33,Annual_Cost!$B$2:$B$313,B33)</f>
        <v>1029196.7810848784</v>
      </c>
      <c r="G33" s="21">
        <f>SUMIFS($E$2:E33,$A$2:A33,A33)</f>
        <v>4721917.35958918</v>
      </c>
      <c r="H33" s="21">
        <f>SUMIFS($F$2:F33,$A$2:A33,A33)</f>
        <v>4269904.9369760007</v>
      </c>
    </row>
    <row r="34" spans="1:8">
      <c r="A34" t="s">
        <v>185</v>
      </c>
      <c r="B34" s="18">
        <v>2031</v>
      </c>
      <c r="C34" s="21">
        <f>SUMIFS(Annual_Cost!$Q$2:$Q$313,Annual_Cost!$A$2:$A$313,A34,Annual_Cost!$B$2:$B$313,B34)</f>
        <v>0</v>
      </c>
      <c r="D34" s="21">
        <f>SUMIFS(Annual_Cost!$R$2:$R$313,Annual_Cost!$A$2:$A$313,A34,Annual_Cost!$B$2:$B$313,B34)</f>
        <v>1200610.4156822481</v>
      </c>
      <c r="E34" s="21">
        <f>SUMIFS(Annual_Cost!$S$2:$S$313,Annual_Cost!$A$2:$A$313,A34,Annual_Cost!$B$2:$B$313,B34)</f>
        <v>1200610.4156822481</v>
      </c>
      <c r="F34" s="21">
        <f>SUMIFS(Annual_Cost!$W$2:$W$313,Annual_Cost!$A$2:$A$313,A34,Annual_Cost!$B$2:$B$313,B34)</f>
        <v>1005492.3215443009</v>
      </c>
      <c r="G34" s="21">
        <f>SUMIFS($E$2:E34,$A$2:A34,A34)</f>
        <v>5922527.7752714278</v>
      </c>
      <c r="H34" s="21">
        <f>SUMIFS($F$2:F34,$A$2:A34,A34)</f>
        <v>5275397.2585203014</v>
      </c>
    </row>
    <row r="35" spans="1:8">
      <c r="A35" t="s">
        <v>185</v>
      </c>
      <c r="B35" s="18">
        <v>2032</v>
      </c>
      <c r="C35" s="21">
        <f>SUMIFS(Annual_Cost!$Q$2:$Q$313,Annual_Cost!$A$2:$A$313,A35,Annual_Cost!$B$2:$B$313,B35)</f>
        <v>0</v>
      </c>
      <c r="D35" s="21">
        <f>SUMIFS(Annual_Cost!$R$2:$R$313,Annual_Cost!$A$2:$A$313,A35,Annual_Cost!$B$2:$B$313,B35)</f>
        <v>1207545.073120544</v>
      </c>
      <c r="E35" s="21">
        <f>SUMIFS(Annual_Cost!$S$2:$S$313,Annual_Cost!$A$2:$A$313,A35,Annual_Cost!$B$2:$B$313,B35)</f>
        <v>1207545.073120544</v>
      </c>
      <c r="F35" s="21">
        <f>SUMIFS(Annual_Cost!$W$2:$W$313,Annual_Cost!$A$2:$A$313,A35,Annual_Cost!$B$2:$B$313,B35)</f>
        <v>981844.64851880376</v>
      </c>
      <c r="G35" s="21">
        <f>SUMIFS($E$2:E35,$A$2:A35,A35)</f>
        <v>7130072.8483919716</v>
      </c>
      <c r="H35" s="21">
        <f>SUMIFS($F$2:F35,$A$2:A35,A35)</f>
        <v>6257241.907039105</v>
      </c>
    </row>
    <row r="36" spans="1:8">
      <c r="A36" t="s">
        <v>185</v>
      </c>
      <c r="B36" s="18">
        <v>2033</v>
      </c>
      <c r="C36" s="21">
        <f>SUMIFS(Annual_Cost!$Q$2:$Q$313,Annual_Cost!$A$2:$A$313,A36,Annual_Cost!$B$2:$B$313,B36)</f>
        <v>0</v>
      </c>
      <c r="D36" s="21">
        <f>SUMIFS(Annual_Cost!$R$2:$R$313,Annual_Cost!$A$2:$A$313,A36,Annual_Cost!$B$2:$B$313,B36)</f>
        <v>1214478.1511731679</v>
      </c>
      <c r="E36" s="21">
        <f>SUMIFS(Annual_Cost!$S$2:$S$313,Annual_Cost!$A$2:$A$313,A36,Annual_Cost!$B$2:$B$313,B36)</f>
        <v>1214478.1511731679</v>
      </c>
      <c r="F36" s="21">
        <f>SUMIFS(Annual_Cost!$W$2:$W$313,Annual_Cost!$A$2:$A$313,A36,Annual_Cost!$B$2:$B$313,B36)</f>
        <v>958720.26740861475</v>
      </c>
      <c r="G36" s="21">
        <f>SUMIFS($E$2:E36,$A$2:A36,A36)</f>
        <v>8344550.9995651394</v>
      </c>
      <c r="H36" s="21">
        <f>SUMIFS($F$2:F36,$A$2:A36,A36)</f>
        <v>7215962.1744477199</v>
      </c>
    </row>
    <row r="37" spans="1:8">
      <c r="A37" t="s">
        <v>185</v>
      </c>
      <c r="B37" s="18">
        <v>2034</v>
      </c>
      <c r="C37" s="21">
        <f>SUMIFS(Annual_Cost!$Q$2:$Q$313,Annual_Cost!$A$2:$A$313,A37,Annual_Cost!$B$2:$B$313,B37)</f>
        <v>0</v>
      </c>
      <c r="D37" s="21">
        <f>SUMIFS(Annual_Cost!$R$2:$R$313,Annual_Cost!$A$2:$A$313,A37,Annual_Cost!$B$2:$B$313,B37)</f>
        <v>1221152.1140361959</v>
      </c>
      <c r="E37" s="21">
        <f>SUMIFS(Annual_Cost!$S$2:$S$313,Annual_Cost!$A$2:$A$313,A37,Annual_Cost!$B$2:$B$313,B37)</f>
        <v>1221152.1140361959</v>
      </c>
      <c r="F37" s="21">
        <f>SUMIFS(Annual_Cost!$W$2:$W$313,Annual_Cost!$A$2:$A$313,A37,Annual_Cost!$B$2:$B$313,B37)</f>
        <v>935911.41293413343</v>
      </c>
      <c r="G37" s="21">
        <f>SUMIFS($E$2:E37,$A$2:A37,A37)</f>
        <v>9565703.1136013344</v>
      </c>
      <c r="H37" s="21">
        <f>SUMIFS($F$2:F37,$A$2:A37,A37)</f>
        <v>8151873.5873818537</v>
      </c>
    </row>
    <row r="38" spans="1:8">
      <c r="A38" t="s">
        <v>185</v>
      </c>
      <c r="B38" s="18">
        <v>2035</v>
      </c>
      <c r="C38" s="21">
        <f>SUMIFS(Annual_Cost!$Q$2:$Q$313,Annual_Cost!$A$2:$A$313,A38,Annual_Cost!$B$2:$B$313,B38)</f>
        <v>0</v>
      </c>
      <c r="D38" s="21">
        <f>SUMIFS(Annual_Cost!$R$2:$R$313,Annual_Cost!$A$2:$A$313,A38,Annual_Cost!$B$2:$B$313,B38)</f>
        <v>1227563.5713476241</v>
      </c>
      <c r="E38" s="21">
        <f>SUMIFS(Annual_Cost!$S$2:$S$313,Annual_Cost!$A$2:$A$313,A38,Annual_Cost!$B$2:$B$313,B38)</f>
        <v>1227563.5713476241</v>
      </c>
      <c r="F38" s="21">
        <f>SUMIFS(Annual_Cost!$W$2:$W$313,Annual_Cost!$A$2:$A$313,A38,Annual_Cost!$B$2:$B$313,B38)</f>
        <v>913422.58358865895</v>
      </c>
      <c r="G38" s="21">
        <f>SUMIFS($E$2:E38,$A$2:A38,A38)</f>
        <v>10793266.684948958</v>
      </c>
      <c r="H38" s="21">
        <f>SUMIFS($F$2:F38,$A$2:A38,A38)</f>
        <v>9065296.1709705126</v>
      </c>
    </row>
    <row r="39" spans="1:8">
      <c r="A39" t="s">
        <v>185</v>
      </c>
      <c r="B39" s="18">
        <v>2036</v>
      </c>
      <c r="C39" s="21">
        <f>SUMIFS(Annual_Cost!$Q$2:$Q$313,Annual_Cost!$A$2:$A$313,A39,Annual_Cost!$B$2:$B$313,B39)</f>
        <v>0</v>
      </c>
      <c r="D39" s="21">
        <f>SUMIFS(Annual_Cost!$R$2:$R$313,Annual_Cost!$A$2:$A$313,A39,Annual_Cost!$B$2:$B$313,B39)</f>
        <v>1233723.8624851</v>
      </c>
      <c r="E39" s="21">
        <f>SUMIFS(Annual_Cost!$S$2:$S$313,Annual_Cost!$A$2:$A$313,A39,Annual_Cost!$B$2:$B$313,B39)</f>
        <v>1233723.8624851</v>
      </c>
      <c r="F39" s="21">
        <f>SUMIFS(Annual_Cost!$W$2:$W$313,Annual_Cost!$A$2:$A$313,A39,Annual_Cost!$B$2:$B$313,B39)</f>
        <v>891268.36770684191</v>
      </c>
      <c r="G39" s="21">
        <f>SUMIFS($E$2:E39,$A$2:A39,A39)</f>
        <v>12026990.547434058</v>
      </c>
      <c r="H39" s="21">
        <f>SUMIFS($F$2:F39,$A$2:A39,A39)</f>
        <v>9956564.5386773553</v>
      </c>
    </row>
    <row r="40" spans="1:8">
      <c r="A40" t="s">
        <v>185</v>
      </c>
      <c r="B40" s="18">
        <v>2037</v>
      </c>
      <c r="C40" s="21">
        <f>SUMIFS(Annual_Cost!$Q$2:$Q$313,Annual_Cost!$A$2:$A$313,A40,Annual_Cost!$B$2:$B$313,B40)</f>
        <v>0</v>
      </c>
      <c r="D40" s="21">
        <f>SUMIFS(Annual_Cost!$R$2:$R$313,Annual_Cost!$A$2:$A$313,A40,Annual_Cost!$B$2:$B$313,B40)</f>
        <v>1239636.1214677319</v>
      </c>
      <c r="E40" s="21">
        <f>SUMIFS(Annual_Cost!$S$2:$S$313,Annual_Cost!$A$2:$A$313,A40,Annual_Cost!$B$2:$B$313,B40)</f>
        <v>1239636.1214677319</v>
      </c>
      <c r="F40" s="21">
        <f>SUMIFS(Annual_Cost!$W$2:$W$313,Annual_Cost!$A$2:$A$313,A40,Annual_Cost!$B$2:$B$313,B40)</f>
        <v>869455.83435791987</v>
      </c>
      <c r="G40" s="21">
        <f>SUMIFS($E$2:E40,$A$2:A40,A40)</f>
        <v>13266626.66890179</v>
      </c>
      <c r="H40" s="21">
        <f>SUMIFS($F$2:F40,$A$2:A40,A40)</f>
        <v>10826020.373035274</v>
      </c>
    </row>
    <row r="41" spans="1:8">
      <c r="A41" t="s">
        <v>185</v>
      </c>
      <c r="B41" s="18">
        <v>2038</v>
      </c>
      <c r="C41" s="21">
        <f>SUMIFS(Annual_Cost!$Q$2:$Q$313,Annual_Cost!$A$2:$A$313,A41,Annual_Cost!$B$2:$B$313,B41)</f>
        <v>0</v>
      </c>
      <c r="D41" s="21">
        <f>SUMIFS(Annual_Cost!$R$2:$R$313,Annual_Cost!$A$2:$A$313,A41,Annual_Cost!$B$2:$B$313,B41)</f>
        <v>1245300.656488396</v>
      </c>
      <c r="E41" s="21">
        <f>SUMIFS(Annual_Cost!$S$2:$S$313,Annual_Cost!$A$2:$A$313,A41,Annual_Cost!$B$2:$B$313,B41)</f>
        <v>1245300.656488396</v>
      </c>
      <c r="F41" s="21">
        <f>SUMIFS(Annual_Cost!$W$2:$W$313,Annual_Cost!$A$2:$A$313,A41,Annual_Cost!$B$2:$B$313,B41)</f>
        <v>847989.15073015739</v>
      </c>
      <c r="G41" s="21">
        <f>SUMIFS($E$2:E41,$A$2:A41,A41)</f>
        <v>14511927.325390186</v>
      </c>
      <c r="H41" s="21">
        <f>SUMIFS($F$2:F41,$A$2:A41,A41)</f>
        <v>11674009.523765432</v>
      </c>
    </row>
    <row r="42" spans="1:8">
      <c r="A42" t="s">
        <v>185</v>
      </c>
      <c r="B42" s="18">
        <v>2039</v>
      </c>
      <c r="C42" s="21">
        <f>SUMIFS(Annual_Cost!$Q$2:$Q$313,Annual_Cost!$A$2:$A$313,A42,Annual_Cost!$B$2:$B$313,B42)</f>
        <v>0</v>
      </c>
      <c r="D42" s="21">
        <f>SUMIFS(Annual_Cost!$R$2:$R$313,Annual_Cost!$A$2:$A$313,A42,Annual_Cost!$B$2:$B$313,B42)</f>
        <v>1250722.570237092</v>
      </c>
      <c r="E42" s="21">
        <f>SUMIFS(Annual_Cost!$S$2:$S$313,Annual_Cost!$A$2:$A$313,A42,Annual_Cost!$B$2:$B$313,B42)</f>
        <v>1250722.570237092</v>
      </c>
      <c r="F42" s="21">
        <f>SUMIFS(Annual_Cost!$W$2:$W$313,Annual_Cost!$A$2:$A$313,A42,Annual_Cost!$B$2:$B$313,B42)</f>
        <v>826874.96132297011</v>
      </c>
      <c r="G42" s="21">
        <f>SUMIFS($E$2:E42,$A$2:A42,A42)</f>
        <v>15762649.895627279</v>
      </c>
      <c r="H42" s="21">
        <f>SUMIFS($F$2:F42,$A$2:A42,A42)</f>
        <v>12500884.485088402</v>
      </c>
    </row>
    <row r="43" spans="1:8">
      <c r="A43" t="s">
        <v>185</v>
      </c>
      <c r="B43" s="18">
        <v>2040</v>
      </c>
      <c r="C43" s="21">
        <f>SUMIFS(Annual_Cost!$Q$2:$Q$313,Annual_Cost!$A$2:$A$313,A43,Annual_Cost!$B$2:$B$313,B43)</f>
        <v>0</v>
      </c>
      <c r="D43" s="21">
        <f>SUMIFS(Annual_Cost!$R$2:$R$313,Annual_Cost!$A$2:$A$313,A43,Annual_Cost!$B$2:$B$313,B43)</f>
        <v>1255911.4739373201</v>
      </c>
      <c r="E43" s="21">
        <f>SUMIFS(Annual_Cost!$S$2:$S$313,Annual_Cost!$A$2:$A$313,A43,Annual_Cost!$B$2:$B$313,B43)</f>
        <v>1255911.4739373201</v>
      </c>
      <c r="F43" s="21">
        <f>SUMIFS(Annual_Cost!$W$2:$W$313,Annual_Cost!$A$2:$A$313,A43,Annual_Cost!$B$2:$B$313,B43)</f>
        <v>806121.78441929026</v>
      </c>
      <c r="G43" s="21">
        <f>SUMIFS($E$2:E43,$A$2:A43,A43)</f>
        <v>17018561.3695646</v>
      </c>
      <c r="H43" s="21">
        <f>SUMIFS($F$2:F43,$A$2:A43,A43)</f>
        <v>13307006.269507693</v>
      </c>
    </row>
    <row r="44" spans="1:8">
      <c r="A44" t="s">
        <v>185</v>
      </c>
      <c r="B44" s="18">
        <v>2041</v>
      </c>
      <c r="C44" s="21">
        <f>SUMIFS(Annual_Cost!$Q$2:$Q$313,Annual_Cost!$A$2:$A$313,A44,Annual_Cost!$B$2:$B$313,B44)</f>
        <v>0</v>
      </c>
      <c r="D44" s="21">
        <f>SUMIFS(Annual_Cost!$R$2:$R$313,Annual_Cost!$A$2:$A$313,A44,Annual_Cost!$B$2:$B$313,B44)</f>
        <v>1260863.219256612</v>
      </c>
      <c r="E44" s="21">
        <f>SUMIFS(Annual_Cost!$S$2:$S$313,Annual_Cost!$A$2:$A$313,A44,Annual_Cost!$B$2:$B$313,B44)</f>
        <v>1260863.219256612</v>
      </c>
      <c r="F44" s="21">
        <f>SUMIFS(Annual_Cost!$W$2:$W$313,Annual_Cost!$A$2:$A$313,A44,Annual_Cost!$B$2:$B$313,B44)</f>
        <v>785728.27311936289</v>
      </c>
      <c r="G44" s="21">
        <f>SUMIFS($E$2:E44,$A$2:A44,A44)</f>
        <v>18279424.588821214</v>
      </c>
      <c r="H44" s="21">
        <f>SUMIFS($F$2:F44,$A$2:A44,A44)</f>
        <v>14092734.542627055</v>
      </c>
    </row>
    <row r="45" spans="1:8">
      <c r="A45" t="s">
        <v>185</v>
      </c>
      <c r="B45" s="18">
        <v>2042</v>
      </c>
      <c r="C45" s="21">
        <f>SUMIFS(Annual_Cost!$Q$2:$Q$313,Annual_Cost!$A$2:$A$313,A45,Annual_Cost!$B$2:$B$313,B45)</f>
        <v>0</v>
      </c>
      <c r="D45" s="21">
        <f>SUMIFS(Annual_Cost!$R$2:$R$313,Annual_Cost!$A$2:$A$313,A45,Annual_Cost!$B$2:$B$313,B45)</f>
        <v>1265581.1749427321</v>
      </c>
      <c r="E45" s="21">
        <f>SUMIFS(Annual_Cost!$S$2:$S$313,Annual_Cost!$A$2:$A$313,A45,Annual_Cost!$B$2:$B$313,B45)</f>
        <v>1265581.1749427321</v>
      </c>
      <c r="F45" s="21">
        <f>SUMIFS(Annual_Cost!$W$2:$W$313,Annual_Cost!$A$2:$A$313,A45,Annual_Cost!$B$2:$B$313,B45)</f>
        <v>765697.42439190135</v>
      </c>
      <c r="G45" s="21">
        <f>SUMIFS($E$2:E45,$A$2:A45,A45)</f>
        <v>19545005.763763946</v>
      </c>
      <c r="H45" s="21">
        <f>SUMIFS($F$2:F45,$A$2:A45,A45)</f>
        <v>14858431.967018956</v>
      </c>
    </row>
    <row r="46" spans="1:8">
      <c r="A46" t="s">
        <v>185</v>
      </c>
      <c r="B46" s="18">
        <v>2043</v>
      </c>
      <c r="C46" s="21">
        <f>SUMIFS(Annual_Cost!$Q$2:$Q$313,Annual_Cost!$A$2:$A$313,A46,Annual_Cost!$B$2:$B$313,B46)</f>
        <v>0</v>
      </c>
      <c r="D46" s="21">
        <f>SUMIFS(Annual_Cost!$R$2:$R$313,Annual_Cost!$A$2:$A$313,A46,Annual_Cost!$B$2:$B$313,B46)</f>
        <v>1270478.975617548</v>
      </c>
      <c r="E46" s="21">
        <f>SUMIFS(Annual_Cost!$S$2:$S$313,Annual_Cost!$A$2:$A$313,A46,Annual_Cost!$B$2:$B$313,B46)</f>
        <v>1270478.975617548</v>
      </c>
      <c r="F46" s="21">
        <f>SUMIFS(Annual_Cost!$W$2:$W$313,Annual_Cost!$A$2:$A$313,A46,Annual_Cost!$B$2:$B$313,B46)</f>
        <v>746272.49936760636</v>
      </c>
      <c r="G46" s="21">
        <f>SUMIFS($E$2:E46,$A$2:A46,A46)</f>
        <v>20815484.739381492</v>
      </c>
      <c r="H46" s="21">
        <f>SUMIFS($F$2:F46,$A$2:A46,A46)</f>
        <v>15604704.466386562</v>
      </c>
    </row>
    <row r="47" spans="1:8">
      <c r="A47" t="s">
        <v>185</v>
      </c>
      <c r="B47" s="18">
        <v>2044</v>
      </c>
      <c r="C47" s="21">
        <f>SUMIFS(Annual_Cost!$Q$2:$Q$313,Annual_Cost!$A$2:$A$313,A47,Annual_Cost!$B$2:$B$313,B47)</f>
        <v>0</v>
      </c>
      <c r="D47" s="21">
        <f>SUMIFS(Annual_Cost!$R$2:$R$313,Annual_Cost!$A$2:$A$313,A47,Annual_Cost!$B$2:$B$313,B47)</f>
        <v>1274788.5791561562</v>
      </c>
      <c r="E47" s="21">
        <f>SUMIFS(Annual_Cost!$S$2:$S$313,Annual_Cost!$A$2:$A$313,A47,Annual_Cost!$B$2:$B$313,B47)</f>
        <v>1274788.5791561562</v>
      </c>
      <c r="F47" s="21">
        <f>SUMIFS(Annual_Cost!$W$2:$W$313,Annual_Cost!$A$2:$A$313,A47,Annual_Cost!$B$2:$B$313,B47)</f>
        <v>726994.11383218342</v>
      </c>
      <c r="G47" s="21">
        <f>SUMIFS($E$2:E47,$A$2:A47,A47)</f>
        <v>22090273.318537649</v>
      </c>
      <c r="H47" s="21">
        <f>SUMIFS($F$2:F47,$A$2:A47,A47)</f>
        <v>16331698.580218745</v>
      </c>
    </row>
    <row r="48" spans="1:8">
      <c r="A48" t="s">
        <v>185</v>
      </c>
      <c r="B48" s="18">
        <v>2045</v>
      </c>
      <c r="C48" s="21">
        <f>SUMIFS(Annual_Cost!$Q$2:$Q$313,Annual_Cost!$A$2:$A$313,A48,Annual_Cost!$B$2:$B$313,B48)</f>
        <v>0</v>
      </c>
      <c r="D48" s="21">
        <f>SUMIFS(Annual_Cost!$R$2:$R$313,Annual_Cost!$A$2:$A$313,A48,Annual_Cost!$B$2:$B$313,B48)</f>
        <v>1278871.401930504</v>
      </c>
      <c r="E48" s="21">
        <f>SUMIFS(Annual_Cost!$S$2:$S$313,Annual_Cost!$A$2:$A$313,A48,Annual_Cost!$B$2:$B$313,B48)</f>
        <v>1278871.401930504</v>
      </c>
      <c r="F48" s="21">
        <f>SUMIFS(Annual_Cost!$W$2:$W$313,Annual_Cost!$A$2:$A$313,A48,Annual_Cost!$B$2:$B$313,B48)</f>
        <v>708080.08797120734</v>
      </c>
      <c r="G48" s="21">
        <f>SUMIFS($E$2:E48,$A$2:A48,A48)</f>
        <v>23369144.720468152</v>
      </c>
      <c r="H48" s="21">
        <f>SUMIFS($F$2:F48,$A$2:A48,A48)</f>
        <v>17039778.668189954</v>
      </c>
    </row>
    <row r="49" spans="1:8">
      <c r="A49" t="s">
        <v>185</v>
      </c>
      <c r="B49" s="18">
        <v>2046</v>
      </c>
      <c r="C49" s="21">
        <f>SUMIFS(Annual_Cost!$Q$2:$Q$313,Annual_Cost!$A$2:$A$313,A49,Annual_Cost!$B$2:$B$313,B49)</f>
        <v>0</v>
      </c>
      <c r="D49" s="21">
        <f>SUMIFS(Annual_Cost!$R$2:$R$313,Annual_Cost!$A$2:$A$313,A49,Annual_Cost!$B$2:$B$313,B49)</f>
        <v>1282735.5605488962</v>
      </c>
      <c r="E49" s="21">
        <f>SUMIFS(Annual_Cost!$S$2:$S$313,Annual_Cost!$A$2:$A$313,A49,Annual_Cost!$B$2:$B$313,B49)</f>
        <v>1282735.5605488962</v>
      </c>
      <c r="F49" s="21">
        <f>SUMIFS(Annual_Cost!$W$2:$W$313,Annual_Cost!$A$2:$A$313,A49,Annual_Cost!$B$2:$B$313,B49)</f>
        <v>689533.57175586536</v>
      </c>
      <c r="G49" s="21">
        <f>SUMIFS($E$2:E49,$A$2:A49,A49)</f>
        <v>24651880.28101705</v>
      </c>
      <c r="H49" s="21">
        <f>SUMIFS($F$2:F49,$A$2:A49,A49)</f>
        <v>17729312.239945818</v>
      </c>
    </row>
    <row r="50" spans="1:8">
      <c r="A50" t="s">
        <v>185</v>
      </c>
      <c r="B50" s="18">
        <v>2047</v>
      </c>
      <c r="C50" s="21">
        <f>SUMIFS(Annual_Cost!$Q$2:$Q$313,Annual_Cost!$A$2:$A$313,A50,Annual_Cost!$B$2:$B$313,B50)</f>
        <v>0</v>
      </c>
      <c r="D50" s="21">
        <f>SUMIFS(Annual_Cost!$R$2:$R$313,Annual_Cost!$A$2:$A$313,A50,Annual_Cost!$B$2:$B$313,B50)</f>
        <v>1286382.209650788</v>
      </c>
      <c r="E50" s="21">
        <f>SUMIFS(Annual_Cost!$S$2:$S$313,Annual_Cost!$A$2:$A$313,A50,Annual_Cost!$B$2:$B$313,B50)</f>
        <v>1286382.209650788</v>
      </c>
      <c r="F50" s="21">
        <f>SUMIFS(Annual_Cost!$W$2:$W$313,Annual_Cost!$A$2:$A$313,A50,Annual_Cost!$B$2:$B$313,B50)</f>
        <v>671353.22848551616</v>
      </c>
      <c r="G50" s="21">
        <f>SUMIFS($E$2:E50,$A$2:A50,A50)</f>
        <v>25938262.490667839</v>
      </c>
      <c r="H50" s="21">
        <f>SUMIFS($F$2:F50,$A$2:A50,A50)</f>
        <v>18400665.468431335</v>
      </c>
    </row>
    <row r="51" spans="1:8">
      <c r="A51" t="s">
        <v>185</v>
      </c>
      <c r="B51" s="18">
        <v>2048</v>
      </c>
      <c r="C51" s="21">
        <f>SUMIFS(Annual_Cost!$Q$2:$Q$313,Annual_Cost!$A$2:$A$313,A51,Annual_Cost!$B$2:$B$313,B51)</f>
        <v>0</v>
      </c>
      <c r="D51" s="21">
        <f>SUMIFS(Annual_Cost!$R$2:$R$313,Annual_Cost!$A$2:$A$313,A51,Annual_Cost!$B$2:$B$313,B51)</f>
        <v>1289814.5374985759</v>
      </c>
      <c r="E51" s="21">
        <f>SUMIFS(Annual_Cost!$S$2:$S$313,Annual_Cost!$A$2:$A$313,A51,Annual_Cost!$B$2:$B$313,B51)</f>
        <v>1289814.5374985759</v>
      </c>
      <c r="F51" s="21">
        <f>SUMIFS(Annual_Cost!$W$2:$W$313,Annual_Cost!$A$2:$A$313,A51,Annual_Cost!$B$2:$B$313,B51)</f>
        <v>653538.38315519143</v>
      </c>
      <c r="G51" s="21">
        <f>SUMIFS($E$2:E51,$A$2:A51,A51)</f>
        <v>27228077.028166413</v>
      </c>
      <c r="H51" s="21">
        <f>SUMIFS($F$2:F51,$A$2:A51,A51)</f>
        <v>19054203.851586528</v>
      </c>
    </row>
    <row r="52" spans="1:8">
      <c r="A52" t="s">
        <v>185</v>
      </c>
      <c r="B52" s="18">
        <v>2049</v>
      </c>
      <c r="C52" s="21">
        <f>SUMIFS(Annual_Cost!$Q$2:$Q$313,Annual_Cost!$A$2:$A$313,A52,Annual_Cost!$B$2:$B$313,B52)</f>
        <v>0</v>
      </c>
      <c r="D52" s="21">
        <f>SUMIFS(Annual_Cost!$R$2:$R$313,Annual_Cost!$A$2:$A$313,A52,Annual_Cost!$B$2:$B$313,B52)</f>
        <v>1292283.285845404</v>
      </c>
      <c r="E52" s="21">
        <f>SUMIFS(Annual_Cost!$S$2:$S$313,Annual_Cost!$A$2:$A$313,A52,Annual_Cost!$B$2:$B$313,B52)</f>
        <v>1292283.285845404</v>
      </c>
      <c r="F52" s="21">
        <f>SUMIFS(Annual_Cost!$W$2:$W$313,Annual_Cost!$A$2:$A$313,A52,Annual_Cost!$B$2:$B$313,B52)</f>
        <v>635717.74521502783</v>
      </c>
      <c r="G52" s="21">
        <f>SUMIFS($E$2:E52,$A$2:A52,A52)</f>
        <v>28520360.314011816</v>
      </c>
      <c r="H52" s="21">
        <f>SUMIFS($F$2:F52,$A$2:A52,A52)</f>
        <v>19689921.596801557</v>
      </c>
    </row>
    <row r="53" spans="1:8">
      <c r="A53" t="s">
        <v>185</v>
      </c>
      <c r="B53" s="18">
        <v>2050</v>
      </c>
      <c r="C53" s="21">
        <f>SUMIFS(Annual_Cost!$Q$2:$Q$313,Annual_Cost!$A$2:$A$313,A53,Annual_Cost!$B$2:$B$313,B53)</f>
        <v>0</v>
      </c>
      <c r="D53" s="21">
        <f>SUMIFS(Annual_Cost!$R$2:$R$313,Annual_Cost!$A$2:$A$313,A53,Annual_Cost!$B$2:$B$313,B53)</f>
        <v>1295258.4894264201</v>
      </c>
      <c r="E53" s="21">
        <f>SUMIFS(Annual_Cost!$S$2:$S$313,Annual_Cost!$A$2:$A$313,A53,Annual_Cost!$B$2:$B$313,B53)</f>
        <v>1295258.4894264201</v>
      </c>
      <c r="F53" s="21">
        <f>SUMIFS(Annual_Cost!$W$2:$W$313,Annual_Cost!$A$2:$A$313,A53,Annual_Cost!$B$2:$B$313,B53)</f>
        <v>618622.66818350274</v>
      </c>
      <c r="G53" s="21">
        <f>SUMIFS($E$2:E53,$A$2:A53,A53)</f>
        <v>29815618.803438235</v>
      </c>
      <c r="H53" s="21">
        <f>SUMIFS($F$2:F53,$A$2:A53,A53)</f>
        <v>20308544.264985058</v>
      </c>
    </row>
    <row r="54" spans="1:8">
      <c r="A54" t="s">
        <v>193</v>
      </c>
      <c r="B54" s="18">
        <v>2025</v>
      </c>
      <c r="C54" s="21">
        <f>SUMIFS(Annual_Cost!$Q$2:$Q$313,Annual_Cost!$A$2:$A$313,A54,Annual_Cost!$B$2:$B$313,B54)</f>
        <v>0</v>
      </c>
      <c r="D54" s="21">
        <f>SUMIFS(Annual_Cost!$R$2:$R$313,Annual_Cost!$A$2:$A$313,A54,Annual_Cost!$B$2:$B$313,B54)</f>
        <v>0</v>
      </c>
      <c r="E54" s="21">
        <f>SUMIFS(Annual_Cost!$S$2:$S$313,Annual_Cost!$A$2:$A$313,A54,Annual_Cost!$B$2:$B$313,B54)</f>
        <v>0</v>
      </c>
      <c r="F54" s="21">
        <f>SUMIFS(Annual_Cost!$W$2:$W$313,Annual_Cost!$A$2:$A$313,A54,Annual_Cost!$B$2:$B$313,B54)</f>
        <v>0</v>
      </c>
      <c r="G54" s="21">
        <f>SUMIFS($E$2:E54,$A$2:A54,A54)</f>
        <v>0</v>
      </c>
      <c r="H54" s="21">
        <f>SUMIFS($F$2:F54,$A$2:A54,A54)</f>
        <v>0</v>
      </c>
    </row>
    <row r="55" spans="1:8">
      <c r="A55" t="s">
        <v>193</v>
      </c>
      <c r="B55" s="18">
        <v>2026</v>
      </c>
      <c r="C55" s="21">
        <f>SUMIFS(Annual_Cost!$Q$2:$Q$313,Annual_Cost!$A$2:$A$313,A55,Annual_Cost!$B$2:$B$313,B55)</f>
        <v>0</v>
      </c>
      <c r="D55" s="21">
        <f>SUMIFS(Annual_Cost!$R$2:$R$313,Annual_Cost!$A$2:$A$313,A55,Annual_Cost!$B$2:$B$313,B55)</f>
        <v>3394444.9044076619</v>
      </c>
      <c r="E55" s="21">
        <f>SUMIFS(Annual_Cost!$S$2:$S$313,Annual_Cost!$A$2:$A$313,A55,Annual_Cost!$B$2:$B$313,B55)</f>
        <v>3394444.9044076619</v>
      </c>
      <c r="F55" s="21">
        <f>SUMIFS(Annual_Cost!$W$2:$W$313,Annual_Cost!$A$2:$A$313,A55,Annual_Cost!$B$2:$B$313,B55)</f>
        <v>3295577.5770948175</v>
      </c>
      <c r="G55" s="21">
        <f>SUMIFS($E$2:E55,$A$2:A55,A55)</f>
        <v>3394444.9044076619</v>
      </c>
      <c r="H55" s="21">
        <f>SUMIFS($F$2:F55,$A$2:A55,A55)</f>
        <v>3295577.5770948175</v>
      </c>
    </row>
    <row r="56" spans="1:8">
      <c r="A56" t="s">
        <v>193</v>
      </c>
      <c r="B56" s="18">
        <v>2027</v>
      </c>
      <c r="C56" s="21">
        <f>SUMIFS(Annual_Cost!$Q$2:$Q$313,Annual_Cost!$A$2:$A$313,A56,Annual_Cost!$B$2:$B$313,B56)</f>
        <v>0</v>
      </c>
      <c r="D56" s="21">
        <f>SUMIFS(Annual_Cost!$R$2:$R$313,Annual_Cost!$A$2:$A$313,A56,Annual_Cost!$B$2:$B$313,B56)</f>
        <v>6838717.7452687705</v>
      </c>
      <c r="E56" s="21">
        <f>SUMIFS(Annual_Cost!$S$2:$S$313,Annual_Cost!$A$2:$A$313,A56,Annual_Cost!$B$2:$B$313,B56)</f>
        <v>6838717.7452687705</v>
      </c>
      <c r="F56" s="21">
        <f>SUMIFS(Annual_Cost!$W$2:$W$313,Annual_Cost!$A$2:$A$313,A56,Annual_Cost!$B$2:$B$313,B56)</f>
        <v>6446147.3704107553</v>
      </c>
      <c r="G56" s="21">
        <f>SUMIFS($E$2:E56,$A$2:A56,A56)</f>
        <v>10233162.649676433</v>
      </c>
      <c r="H56" s="21">
        <f>SUMIFS($F$2:F56,$A$2:A56,A56)</f>
        <v>9741724.9475055728</v>
      </c>
    </row>
    <row r="57" spans="1:8">
      <c r="A57" t="s">
        <v>193</v>
      </c>
      <c r="B57" s="18">
        <v>2028</v>
      </c>
      <c r="C57" s="21">
        <f>SUMIFS(Annual_Cost!$Q$2:$Q$313,Annual_Cost!$A$2:$A$313,A57,Annual_Cost!$B$2:$B$313,B57)</f>
        <v>0</v>
      </c>
      <c r="D57" s="21">
        <f>SUMIFS(Annual_Cost!$R$2:$R$313,Annual_Cost!$A$2:$A$313,A57,Annual_Cost!$B$2:$B$313,B57)</f>
        <v>10330585.239985229</v>
      </c>
      <c r="E57" s="21">
        <f>SUMIFS(Annual_Cost!$S$2:$S$313,Annual_Cost!$A$2:$A$313,A57,Annual_Cost!$B$2:$B$313,B57)</f>
        <v>10330585.239985229</v>
      </c>
      <c r="F57" s="21">
        <f>SUMIFS(Annual_Cost!$W$2:$W$313,Annual_Cost!$A$2:$A$313,A57,Annual_Cost!$B$2:$B$313,B57)</f>
        <v>9453948.9186093416</v>
      </c>
      <c r="G57" s="21">
        <f>SUMIFS($E$2:E57,$A$2:A57,A57)</f>
        <v>20563747.889661662</v>
      </c>
      <c r="H57" s="21">
        <f>SUMIFS($F$2:F57,$A$2:A57,A57)</f>
        <v>19195673.866114914</v>
      </c>
    </row>
    <row r="58" spans="1:8">
      <c r="A58" t="s">
        <v>193</v>
      </c>
      <c r="B58" s="18">
        <v>2029</v>
      </c>
      <c r="C58" s="21">
        <f>SUMIFS(Annual_Cost!$Q$2:$Q$313,Annual_Cost!$A$2:$A$313,A58,Annual_Cost!$B$2:$B$313,B58)</f>
        <v>0</v>
      </c>
      <c r="D58" s="21">
        <f>SUMIFS(Annual_Cost!$R$2:$R$313,Annual_Cost!$A$2:$A$313,A58,Annual_Cost!$B$2:$B$313,B58)</f>
        <v>10402049.643341077</v>
      </c>
      <c r="E58" s="21">
        <f>SUMIFS(Annual_Cost!$S$2:$S$313,Annual_Cost!$A$2:$A$313,A58,Annual_Cost!$B$2:$B$313,B58)</f>
        <v>10402049.643341077</v>
      </c>
      <c r="F58" s="21">
        <f>SUMIFS(Annual_Cost!$W$2:$W$313,Annual_Cost!$A$2:$A$313,A58,Annual_Cost!$B$2:$B$313,B58)</f>
        <v>9242086.3798845597</v>
      </c>
      <c r="G58" s="21">
        <f>SUMIFS($E$2:E58,$A$2:A58,A58)</f>
        <v>30965797.533002742</v>
      </c>
      <c r="H58" s="21">
        <f>SUMIFS($F$2:F58,$A$2:A58,A58)</f>
        <v>28437760.245999474</v>
      </c>
    </row>
    <row r="59" spans="1:8">
      <c r="A59" t="s">
        <v>193</v>
      </c>
      <c r="B59" s="18">
        <v>2030</v>
      </c>
      <c r="C59" s="21">
        <f>SUMIFS(Annual_Cost!$Q$2:$Q$313,Annual_Cost!$A$2:$A$313,A59,Annual_Cost!$B$2:$B$313,B59)</f>
        <v>0</v>
      </c>
      <c r="D59" s="21">
        <f>SUMIFS(Annual_Cost!$R$2:$R$313,Annual_Cost!$A$2:$A$313,A59,Annual_Cost!$B$2:$B$313,B59)</f>
        <v>10470733.918168353</v>
      </c>
      <c r="E59" s="21">
        <f>SUMIFS(Annual_Cost!$S$2:$S$313,Annual_Cost!$A$2:$A$313,A59,Annual_Cost!$B$2:$B$313,B59)</f>
        <v>10470733.918168353</v>
      </c>
      <c r="F59" s="21">
        <f>SUMIFS(Annual_Cost!$W$2:$W$313,Annual_Cost!$A$2:$A$313,A59,Annual_Cost!$B$2:$B$313,B59)</f>
        <v>9032147.0567612387</v>
      </c>
      <c r="G59" s="21">
        <f>SUMIFS($E$2:E59,$A$2:A59,A59)</f>
        <v>41436531.451171093</v>
      </c>
      <c r="H59" s="21">
        <f>SUMIFS($F$2:F59,$A$2:A59,A59)</f>
        <v>37469907.302760713</v>
      </c>
    </row>
    <row r="60" spans="1:8">
      <c r="A60" t="s">
        <v>193</v>
      </c>
      <c r="B60" s="18">
        <v>2031</v>
      </c>
      <c r="C60" s="21">
        <f>SUMIFS(Annual_Cost!$Q$2:$Q$313,Annual_Cost!$A$2:$A$313,A60,Annual_Cost!$B$2:$B$313,B60)</f>
        <v>0</v>
      </c>
      <c r="D60" s="21">
        <f>SUMIFS(Annual_Cost!$R$2:$R$313,Annual_Cost!$A$2:$A$313,A60,Annual_Cost!$B$2:$B$313,B60)</f>
        <v>10537390.831799263</v>
      </c>
      <c r="E60" s="21">
        <f>SUMIFS(Annual_Cost!$S$2:$S$313,Annual_Cost!$A$2:$A$313,A60,Annual_Cost!$B$2:$B$313,B60)</f>
        <v>10537390.831799263</v>
      </c>
      <c r="F60" s="21">
        <f>SUMIFS(Annual_Cost!$W$2:$W$313,Annual_Cost!$A$2:$A$313,A60,Annual_Cost!$B$2:$B$313,B60)</f>
        <v>8824898.9281545617</v>
      </c>
      <c r="G60" s="21">
        <f>SUMIFS($E$2:E60,$A$2:A60,A60)</f>
        <v>51973922.282970354</v>
      </c>
      <c r="H60" s="21">
        <f>SUMIFS($F$2:F60,$A$2:A60,A60)</f>
        <v>46294806.230915278</v>
      </c>
    </row>
    <row r="61" spans="1:8">
      <c r="A61" t="s">
        <v>193</v>
      </c>
      <c r="B61" s="18">
        <v>2032</v>
      </c>
      <c r="C61" s="21">
        <f>SUMIFS(Annual_Cost!$Q$2:$Q$313,Annual_Cost!$A$2:$A$313,A61,Annual_Cost!$B$2:$B$313,B61)</f>
        <v>0</v>
      </c>
      <c r="D61" s="21">
        <f>SUMIFS(Annual_Cost!$R$2:$R$313,Annual_Cost!$A$2:$A$313,A61,Annual_Cost!$B$2:$B$313,B61)</f>
        <v>10599502.525066659</v>
      </c>
      <c r="E61" s="21">
        <f>SUMIFS(Annual_Cost!$S$2:$S$313,Annual_Cost!$A$2:$A$313,A61,Annual_Cost!$B$2:$B$313,B61)</f>
        <v>10599502.525066659</v>
      </c>
      <c r="F61" s="21">
        <f>SUMIFS(Annual_Cost!$W$2:$W$313,Annual_Cost!$A$2:$A$313,A61,Annual_Cost!$B$2:$B$313,B61)</f>
        <v>8618365.5275941435</v>
      </c>
      <c r="G61" s="21">
        <f>SUMIFS($E$2:E61,$A$2:A61,A61)</f>
        <v>62573424.808037013</v>
      </c>
      <c r="H61" s="21">
        <f>SUMIFS($F$2:F61,$A$2:A61,A61)</f>
        <v>54913171.75850942</v>
      </c>
    </row>
    <row r="62" spans="1:8">
      <c r="A62" t="s">
        <v>193</v>
      </c>
      <c r="B62" s="18">
        <v>2033</v>
      </c>
      <c r="C62" s="21">
        <f>SUMIFS(Annual_Cost!$Q$2:$Q$313,Annual_Cost!$A$2:$A$313,A62,Annual_Cost!$B$2:$B$313,B62)</f>
        <v>0</v>
      </c>
      <c r="D62" s="21">
        <f>SUMIFS(Annual_Cost!$R$2:$R$313,Annual_Cost!$A$2:$A$313,A62,Annual_Cost!$B$2:$B$313,B62)</f>
        <v>10661861.756030319</v>
      </c>
      <c r="E62" s="21">
        <f>SUMIFS(Annual_Cost!$S$2:$S$313,Annual_Cost!$A$2:$A$313,A62,Annual_Cost!$B$2:$B$313,B62)</f>
        <v>10661861.756030319</v>
      </c>
      <c r="F62" s="21">
        <f>SUMIFS(Annual_Cost!$W$2:$W$313,Annual_Cost!$A$2:$A$313,A62,Annual_Cost!$B$2:$B$313,B62)</f>
        <v>8416572.1251889281</v>
      </c>
      <c r="G62" s="21">
        <f>SUMIFS($E$2:E62,$A$2:A62,A62)</f>
        <v>73235286.564067334</v>
      </c>
      <c r="H62" s="21">
        <f>SUMIFS($F$2:F62,$A$2:A62,A62)</f>
        <v>63329743.883698344</v>
      </c>
    </row>
    <row r="63" spans="1:8">
      <c r="A63" t="s">
        <v>193</v>
      </c>
      <c r="B63" s="18">
        <v>2034</v>
      </c>
      <c r="C63" s="21">
        <f>SUMIFS(Annual_Cost!$Q$2:$Q$313,Annual_Cost!$A$2:$A$313,A63,Annual_Cost!$B$2:$B$313,B63)</f>
        <v>0</v>
      </c>
      <c r="D63" s="21">
        <f>SUMIFS(Annual_Cost!$R$2:$R$313,Annual_Cost!$A$2:$A$313,A63,Annual_Cost!$B$2:$B$313,B63)</f>
        <v>10722131.616160469</v>
      </c>
      <c r="E63" s="21">
        <f>SUMIFS(Annual_Cost!$S$2:$S$313,Annual_Cost!$A$2:$A$313,A63,Annual_Cost!$B$2:$B$313,B63)</f>
        <v>10722131.616160469</v>
      </c>
      <c r="F63" s="21">
        <f>SUMIFS(Annual_Cost!$W$2:$W$313,Annual_Cost!$A$2:$A$313,A63,Annual_Cost!$B$2:$B$313,B63)</f>
        <v>8217621.0770159988</v>
      </c>
      <c r="G63" s="21">
        <f>SUMIFS($E$2:E63,$A$2:A63,A63)</f>
        <v>83957418.180227801</v>
      </c>
      <c r="H63" s="21">
        <f>SUMIFS($F$2:F63,$A$2:A63,A63)</f>
        <v>71547364.96071434</v>
      </c>
    </row>
    <row r="64" spans="1:8">
      <c r="A64" t="s">
        <v>193</v>
      </c>
      <c r="B64" s="18">
        <v>2035</v>
      </c>
      <c r="C64" s="21">
        <f>SUMIFS(Annual_Cost!$Q$2:$Q$313,Annual_Cost!$A$2:$A$313,A64,Annual_Cost!$B$2:$B$313,B64)</f>
        <v>0</v>
      </c>
      <c r="D64" s="21">
        <f>SUMIFS(Annual_Cost!$R$2:$R$313,Annual_Cost!$A$2:$A$313,A64,Annual_Cost!$B$2:$B$313,B64)</f>
        <v>10780245.691485684</v>
      </c>
      <c r="E64" s="21">
        <f>SUMIFS(Annual_Cost!$S$2:$S$313,Annual_Cost!$A$2:$A$313,A64,Annual_Cost!$B$2:$B$313,B64)</f>
        <v>10780245.691485684</v>
      </c>
      <c r="F64" s="21">
        <f>SUMIFS(Annual_Cost!$W$2:$W$313,Annual_Cost!$A$2:$A$313,A64,Annual_Cost!$B$2:$B$313,B64)</f>
        <v>8021515.2201261371</v>
      </c>
      <c r="G64" s="21">
        <f>SUMIFS($E$2:E64,$A$2:A64,A64)</f>
        <v>94737663.871713489</v>
      </c>
      <c r="H64" s="21">
        <f>SUMIFS($F$2:F64,$A$2:A64,A64)</f>
        <v>79568880.180840477</v>
      </c>
    </row>
    <row r="65" spans="1:8">
      <c r="A65" t="s">
        <v>193</v>
      </c>
      <c r="B65" s="18">
        <v>2036</v>
      </c>
      <c r="C65" s="21">
        <f>SUMIFS(Annual_Cost!$Q$2:$Q$313,Annual_Cost!$A$2:$A$313,A65,Annual_Cost!$B$2:$B$313,B65)</f>
        <v>0</v>
      </c>
      <c r="D65" s="21">
        <f>SUMIFS(Annual_Cost!$R$2:$R$313,Annual_Cost!$A$2:$A$313,A65,Annual_Cost!$B$2:$B$313,B65)</f>
        <v>10836275.413890688</v>
      </c>
      <c r="E65" s="21">
        <f>SUMIFS(Annual_Cost!$S$2:$S$313,Annual_Cost!$A$2:$A$313,A65,Annual_Cost!$B$2:$B$313,B65)</f>
        <v>10836275.413890688</v>
      </c>
      <c r="F65" s="21">
        <f>SUMIFS(Annual_Cost!$W$2:$W$313,Annual_Cost!$A$2:$A$313,A65,Annual_Cost!$B$2:$B$313,B65)</f>
        <v>7828355.9180786917</v>
      </c>
      <c r="G65" s="21">
        <f>SUMIFS($E$2:E65,$A$2:A65,A65)</f>
        <v>105573939.28560418</v>
      </c>
      <c r="H65" s="21">
        <f>SUMIFS($F$2:F65,$A$2:A65,A65)</f>
        <v>87397236.098919168</v>
      </c>
    </row>
    <row r="66" spans="1:8">
      <c r="A66" t="s">
        <v>193</v>
      </c>
      <c r="B66" s="18">
        <v>2037</v>
      </c>
      <c r="C66" s="21">
        <f>SUMIFS(Annual_Cost!$Q$2:$Q$313,Annual_Cost!$A$2:$A$313,A66,Annual_Cost!$B$2:$B$313,B66)</f>
        <v>0</v>
      </c>
      <c r="D66" s="21">
        <f>SUMIFS(Annual_Cost!$R$2:$R$313,Annual_Cost!$A$2:$A$313,A66,Annual_Cost!$B$2:$B$313,B66)</f>
        <v>10890225.980749967</v>
      </c>
      <c r="E66" s="21">
        <f>SUMIFS(Annual_Cost!$S$2:$S$313,Annual_Cost!$A$2:$A$313,A66,Annual_Cost!$B$2:$B$313,B66)</f>
        <v>10890225.980749967</v>
      </c>
      <c r="F66" s="21">
        <f>SUMIFS(Annual_Cost!$W$2:$W$313,Annual_Cost!$A$2:$A$313,A66,Annual_Cost!$B$2:$B$313,B66)</f>
        <v>7638185.3936528163</v>
      </c>
      <c r="G66" s="21">
        <f>SUMIFS($E$2:E66,$A$2:A66,A66)</f>
        <v>116464165.26635414</v>
      </c>
      <c r="H66" s="21">
        <f>SUMIFS($F$2:F66,$A$2:A66,A66)</f>
        <v>95035421.49257198</v>
      </c>
    </row>
    <row r="67" spans="1:8">
      <c r="A67" t="s">
        <v>193</v>
      </c>
      <c r="B67" s="18">
        <v>2038</v>
      </c>
      <c r="C67" s="21">
        <f>SUMIFS(Annual_Cost!$Q$2:$Q$313,Annual_Cost!$A$2:$A$313,A67,Annual_Cost!$B$2:$B$313,B67)</f>
        <v>0</v>
      </c>
      <c r="D67" s="21">
        <f>SUMIFS(Annual_Cost!$R$2:$R$313,Annual_Cost!$A$2:$A$313,A67,Annual_Cost!$B$2:$B$313,B67)</f>
        <v>10942081.908815539</v>
      </c>
      <c r="E67" s="21">
        <f>SUMIFS(Annual_Cost!$S$2:$S$313,Annual_Cost!$A$2:$A$313,A67,Annual_Cost!$B$2:$B$313,B67)</f>
        <v>10942081.908815539</v>
      </c>
      <c r="F67" s="21">
        <f>SUMIFS(Annual_Cost!$W$2:$W$313,Annual_Cost!$A$2:$A$313,A67,Annual_Cost!$B$2:$B$313,B67)</f>
        <v>7451025.3381230505</v>
      </c>
      <c r="G67" s="21">
        <f>SUMIFS($E$2:E67,$A$2:A67,A67)</f>
        <v>127406247.17516968</v>
      </c>
      <c r="H67" s="21">
        <f>SUMIFS($F$2:F67,$A$2:A67,A67)</f>
        <v>102486446.83069503</v>
      </c>
    </row>
    <row r="68" spans="1:8">
      <c r="A68" t="s">
        <v>193</v>
      </c>
      <c r="B68" s="18">
        <v>2039</v>
      </c>
      <c r="C68" s="21">
        <f>SUMIFS(Annual_Cost!$Q$2:$Q$313,Annual_Cost!$A$2:$A$313,A68,Annual_Cost!$B$2:$B$313,B68)</f>
        <v>0</v>
      </c>
      <c r="D68" s="21">
        <f>SUMIFS(Annual_Cost!$R$2:$R$313,Annual_Cost!$A$2:$A$313,A68,Annual_Cost!$B$2:$B$313,B68)</f>
        <v>10991871.719834311</v>
      </c>
      <c r="E68" s="21">
        <f>SUMIFS(Annual_Cost!$S$2:$S$313,Annual_Cost!$A$2:$A$313,A68,Annual_Cost!$B$2:$B$313,B68)</f>
        <v>10991871.719834311</v>
      </c>
      <c r="F68" s="21">
        <f>SUMIFS(Annual_Cost!$W$2:$W$313,Annual_Cost!$A$2:$A$313,A68,Annual_Cost!$B$2:$B$313,B68)</f>
        <v>7266922.1132565923</v>
      </c>
      <c r="G68" s="21">
        <f>SUMIFS($E$2:E68,$A$2:A68,A68)</f>
        <v>138398118.89500397</v>
      </c>
      <c r="H68" s="21">
        <f>SUMIFS($F$2:F68,$A$2:A68,A68)</f>
        <v>109753368.94395162</v>
      </c>
    </row>
    <row r="69" spans="1:8">
      <c r="A69" t="s">
        <v>193</v>
      </c>
      <c r="B69" s="18">
        <v>2040</v>
      </c>
      <c r="C69" s="21">
        <f>SUMIFS(Annual_Cost!$Q$2:$Q$313,Annual_Cost!$A$2:$A$313,A69,Annual_Cost!$B$2:$B$313,B69)</f>
        <v>0</v>
      </c>
      <c r="D69" s="21">
        <f>SUMIFS(Annual_Cost!$R$2:$R$313,Annual_Cost!$A$2:$A$313,A69,Annual_Cost!$B$2:$B$313,B69)</f>
        <v>11039663.246511955</v>
      </c>
      <c r="E69" s="21">
        <f>SUMIFS(Annual_Cost!$S$2:$S$313,Annual_Cost!$A$2:$A$313,A69,Annual_Cost!$B$2:$B$313,B69)</f>
        <v>11039663.246511955</v>
      </c>
      <c r="F69" s="21">
        <f>SUMIFS(Annual_Cost!$W$2:$W$313,Annual_Cost!$A$2:$A$313,A69,Annual_Cost!$B$2:$B$313,B69)</f>
        <v>7085939.7500101337</v>
      </c>
      <c r="G69" s="21">
        <f>SUMIFS($E$2:E69,$A$2:A69,A69)</f>
        <v>149437782.14151594</v>
      </c>
      <c r="H69" s="21">
        <f>SUMIFS($F$2:F69,$A$2:A69,A69)</f>
        <v>116839308.69396175</v>
      </c>
    </row>
    <row r="70" spans="1:8">
      <c r="A70" t="s">
        <v>193</v>
      </c>
      <c r="B70" s="18">
        <v>2041</v>
      </c>
      <c r="C70" s="21">
        <f>SUMIFS(Annual_Cost!$Q$2:$Q$313,Annual_Cost!$A$2:$A$313,A70,Annual_Cost!$B$2:$B$313,B70)</f>
        <v>0</v>
      </c>
      <c r="D70" s="21">
        <f>SUMIFS(Annual_Cost!$R$2:$R$313,Annual_Cost!$A$2:$A$313,A70,Annual_Cost!$B$2:$B$313,B70)</f>
        <v>11085410.612116527</v>
      </c>
      <c r="E70" s="21">
        <f>SUMIFS(Annual_Cost!$S$2:$S$313,Annual_Cost!$A$2:$A$313,A70,Annual_Cost!$B$2:$B$313,B70)</f>
        <v>11085410.612116527</v>
      </c>
      <c r="F70" s="21">
        <f>SUMIFS(Annual_Cost!$W$2:$W$313,Annual_Cost!$A$2:$A$313,A70,Annual_Cost!$B$2:$B$313,B70)</f>
        <v>6908061.4011508301</v>
      </c>
      <c r="G70" s="21">
        <f>SUMIFS($E$2:E70,$A$2:A70,A70)</f>
        <v>160523192.75363246</v>
      </c>
      <c r="H70" s="21">
        <f>SUMIFS($F$2:F70,$A$2:A70,A70)</f>
        <v>123747370.09511259</v>
      </c>
    </row>
    <row r="71" spans="1:8">
      <c r="A71" t="s">
        <v>193</v>
      </c>
      <c r="B71" s="18">
        <v>2042</v>
      </c>
      <c r="C71" s="21">
        <f>SUMIFS(Annual_Cost!$Q$2:$Q$313,Annual_Cost!$A$2:$A$313,A71,Annual_Cost!$B$2:$B$313,B71)</f>
        <v>0</v>
      </c>
      <c r="D71" s="21">
        <f>SUMIFS(Annual_Cost!$R$2:$R$313,Annual_Cost!$A$2:$A$313,A71,Annual_Cost!$B$2:$B$313,B71)</f>
        <v>11129131.738647655</v>
      </c>
      <c r="E71" s="21">
        <f>SUMIFS(Annual_Cost!$S$2:$S$313,Annual_Cost!$A$2:$A$313,A71,Annual_Cost!$B$2:$B$313,B71)</f>
        <v>11129131.738647655</v>
      </c>
      <c r="F71" s="21">
        <f>SUMIFS(Annual_Cost!$W$2:$W$313,Annual_Cost!$A$2:$A$313,A71,Annual_Cost!$B$2:$B$313,B71)</f>
        <v>6733307.7298548436</v>
      </c>
      <c r="G71" s="21">
        <f>SUMIFS($E$2:E71,$A$2:A71,A71)</f>
        <v>171652324.49228013</v>
      </c>
      <c r="H71" s="21">
        <f>SUMIFS($F$2:F71,$A$2:A71,A71)</f>
        <v>130480677.82496743</v>
      </c>
    </row>
    <row r="72" spans="1:8">
      <c r="A72" t="s">
        <v>193</v>
      </c>
      <c r="B72" s="18">
        <v>2043</v>
      </c>
      <c r="C72" s="21">
        <f>SUMIFS(Annual_Cost!$Q$2:$Q$313,Annual_Cost!$A$2:$A$313,A72,Annual_Cost!$B$2:$B$313,B72)</f>
        <v>0</v>
      </c>
      <c r="D72" s="21">
        <f>SUMIFS(Annual_Cost!$R$2:$R$313,Annual_Cost!$A$2:$A$313,A72,Annual_Cost!$B$2:$B$313,B72)</f>
        <v>11174760.070821384</v>
      </c>
      <c r="E72" s="21">
        <f>SUMIFS(Annual_Cost!$S$2:$S$313,Annual_Cost!$A$2:$A$313,A72,Annual_Cost!$B$2:$B$313,B72)</f>
        <v>11174760.070821384</v>
      </c>
      <c r="F72" s="21">
        <f>SUMIFS(Annual_Cost!$W$2:$W$313,Annual_Cost!$A$2:$A$313,A72,Annual_Cost!$B$2:$B$313,B72)</f>
        <v>6563993.8070062306</v>
      </c>
      <c r="G72" s="21">
        <f>SUMIFS($E$2:E72,$A$2:A72,A72)</f>
        <v>182827084.5631015</v>
      </c>
      <c r="H72" s="21">
        <f>SUMIFS($F$2:F72,$A$2:A72,A72)</f>
        <v>137044671.63197365</v>
      </c>
    </row>
    <row r="73" spans="1:8">
      <c r="A73" t="s">
        <v>193</v>
      </c>
      <c r="B73" s="18">
        <v>2044</v>
      </c>
      <c r="C73" s="21">
        <f>SUMIFS(Annual_Cost!$Q$2:$Q$313,Annual_Cost!$A$2:$A$313,A73,Annual_Cost!$B$2:$B$313,B73)</f>
        <v>0</v>
      </c>
      <c r="D73" s="21">
        <f>SUMIFS(Annual_Cost!$R$2:$R$313,Annual_Cost!$A$2:$A$313,A73,Annual_Cost!$B$2:$B$313,B73)</f>
        <v>11214955.028784441</v>
      </c>
      <c r="E73" s="21">
        <f>SUMIFS(Annual_Cost!$S$2:$S$313,Annual_Cost!$A$2:$A$313,A73,Annual_Cost!$B$2:$B$313,B73)</f>
        <v>11214955.028784441</v>
      </c>
      <c r="F73" s="21">
        <f>SUMIFS(Annual_Cost!$W$2:$W$313,Annual_Cost!$A$2:$A$313,A73,Annual_Cost!$B$2:$B$313,B73)</f>
        <v>6395732.144239896</v>
      </c>
      <c r="G73" s="21">
        <f>SUMIFS($E$2:E73,$A$2:A73,A73)</f>
        <v>194042039.59188595</v>
      </c>
      <c r="H73" s="21">
        <f>SUMIFS($F$2:F73,$A$2:A73,A73)</f>
        <v>143440403.77621356</v>
      </c>
    </row>
    <row r="74" spans="1:8">
      <c r="A74" t="s">
        <v>193</v>
      </c>
      <c r="B74" s="18">
        <v>2045</v>
      </c>
      <c r="C74" s="21">
        <f>SUMIFS(Annual_Cost!$Q$2:$Q$313,Annual_Cost!$A$2:$A$313,A74,Annual_Cost!$B$2:$B$313,B74)</f>
        <v>0</v>
      </c>
      <c r="D74" s="21">
        <f>SUMIFS(Annual_Cost!$R$2:$R$313,Annual_Cost!$A$2:$A$313,A74,Annual_Cost!$B$2:$B$313,B74)</f>
        <v>11253159.925122328</v>
      </c>
      <c r="E74" s="21">
        <f>SUMIFS(Annual_Cost!$S$2:$S$313,Annual_Cost!$A$2:$A$313,A74,Annual_Cost!$B$2:$B$313,B74)</f>
        <v>11253159.925122328</v>
      </c>
      <c r="F74" s="21">
        <f>SUMIFS(Annual_Cost!$W$2:$W$313,Annual_Cost!$A$2:$A$313,A74,Annual_Cost!$B$2:$B$313,B74)</f>
        <v>6230601.8085215455</v>
      </c>
      <c r="G74" s="21">
        <f>SUMIFS($E$2:E74,$A$2:A74,A74)</f>
        <v>205295199.51700827</v>
      </c>
      <c r="H74" s="21">
        <f>SUMIFS($F$2:F74,$A$2:A74,A74)</f>
        <v>149671005.5847351</v>
      </c>
    </row>
    <row r="75" spans="1:8">
      <c r="A75" t="s">
        <v>193</v>
      </c>
      <c r="B75" s="18">
        <v>2046</v>
      </c>
      <c r="C75" s="21">
        <f>SUMIFS(Annual_Cost!$Q$2:$Q$313,Annual_Cost!$A$2:$A$313,A75,Annual_Cost!$B$2:$B$313,B75)</f>
        <v>0</v>
      </c>
      <c r="D75" s="21">
        <f>SUMIFS(Annual_Cost!$R$2:$R$313,Annual_Cost!$A$2:$A$313,A75,Annual_Cost!$B$2:$B$313,B75)</f>
        <v>11289440.180677768</v>
      </c>
      <c r="E75" s="21">
        <f>SUMIFS(Annual_Cost!$S$2:$S$313,Annual_Cost!$A$2:$A$313,A75,Annual_Cost!$B$2:$B$313,B75)</f>
        <v>11289440.180677768</v>
      </c>
      <c r="F75" s="21">
        <f>SUMIFS(Annual_Cost!$W$2:$W$313,Annual_Cost!$A$2:$A$313,A75,Annual_Cost!$B$2:$B$313,B75)</f>
        <v>6068630.3945420161</v>
      </c>
      <c r="G75" s="21">
        <f>SUMIFS($E$2:E75,$A$2:A75,A75)</f>
        <v>216584639.69768605</v>
      </c>
      <c r="H75" s="21">
        <f>SUMIFS($F$2:F75,$A$2:A75,A75)</f>
        <v>155739635.9792771</v>
      </c>
    </row>
    <row r="76" spans="1:8">
      <c r="A76" t="s">
        <v>193</v>
      </c>
      <c r="B76" s="18">
        <v>2047</v>
      </c>
      <c r="C76" s="21">
        <f>SUMIFS(Annual_Cost!$Q$2:$Q$313,Annual_Cost!$A$2:$A$313,A76,Annual_Cost!$B$2:$B$313,B76)</f>
        <v>0</v>
      </c>
      <c r="D76" s="21">
        <f>SUMIFS(Annual_Cost!$R$2:$R$313,Annual_Cost!$A$2:$A$313,A76,Annual_Cost!$B$2:$B$313,B76)</f>
        <v>11323796.938858217</v>
      </c>
      <c r="E76" s="21">
        <f>SUMIFS(Annual_Cost!$S$2:$S$313,Annual_Cost!$A$2:$A$313,A76,Annual_Cost!$B$2:$B$313,B76)</f>
        <v>11323796.938858217</v>
      </c>
      <c r="F76" s="21">
        <f>SUMIFS(Annual_Cost!$W$2:$W$313,Annual_Cost!$A$2:$A$313,A76,Annual_Cost!$B$2:$B$313,B76)</f>
        <v>5909804.7039072812</v>
      </c>
      <c r="G76" s="21">
        <f>SUMIFS($E$2:E76,$A$2:A76,A76)</f>
        <v>227908436.63654426</v>
      </c>
      <c r="H76" s="21">
        <f>SUMIFS($F$2:F76,$A$2:A76,A76)</f>
        <v>161649440.68318439</v>
      </c>
    </row>
    <row r="77" spans="1:8">
      <c r="A77" t="s">
        <v>193</v>
      </c>
      <c r="B77" s="18">
        <v>2048</v>
      </c>
      <c r="C77" s="21">
        <f>SUMIFS(Annual_Cost!$Q$2:$Q$313,Annual_Cost!$A$2:$A$313,A77,Annual_Cost!$B$2:$B$313,B77)</f>
        <v>0</v>
      </c>
      <c r="D77" s="21">
        <f>SUMIFS(Annual_Cost!$R$2:$R$313,Annual_Cost!$A$2:$A$313,A77,Annual_Cost!$B$2:$B$313,B77)</f>
        <v>11356250.103982344</v>
      </c>
      <c r="E77" s="21">
        <f>SUMIFS(Annual_Cost!$S$2:$S$313,Annual_Cost!$A$2:$A$313,A77,Annual_Cost!$B$2:$B$313,B77)</f>
        <v>11356250.103982344</v>
      </c>
      <c r="F77" s="21">
        <f>SUMIFS(Annual_Cost!$W$2:$W$313,Annual_Cost!$A$2:$A$313,A77,Annual_Cost!$B$2:$B$313,B77)</f>
        <v>5754118.2207917161</v>
      </c>
      <c r="G77" s="21">
        <f>SUMIFS($E$2:E77,$A$2:A77,A77)</f>
        <v>239264686.74052662</v>
      </c>
      <c r="H77" s="21">
        <f>SUMIFS($F$2:F77,$A$2:A77,A77)</f>
        <v>167403558.90397611</v>
      </c>
    </row>
    <row r="78" spans="1:8">
      <c r="A78" t="s">
        <v>193</v>
      </c>
      <c r="B78" s="18">
        <v>2049</v>
      </c>
      <c r="C78" s="21">
        <f>SUMIFS(Annual_Cost!$Q$2:$Q$313,Annual_Cost!$A$2:$A$313,A78,Annual_Cost!$B$2:$B$313,B78)</f>
        <v>0</v>
      </c>
      <c r="D78" s="21">
        <f>SUMIFS(Annual_Cost!$R$2:$R$313,Annual_Cost!$A$2:$A$313,A78,Annual_Cost!$B$2:$B$313,B78)</f>
        <v>11386831.755567528</v>
      </c>
      <c r="E78" s="21">
        <f>SUMIFS(Annual_Cost!$S$2:$S$313,Annual_Cost!$A$2:$A$313,A78,Annual_Cost!$B$2:$B$313,B78)</f>
        <v>11386831.755567528</v>
      </c>
      <c r="F78" s="21">
        <f>SUMIFS(Annual_Cost!$W$2:$W$313,Annual_Cost!$A$2:$A$313,A78,Annual_Cost!$B$2:$B$313,B78)</f>
        <v>5601566.6905857101</v>
      </c>
      <c r="G78" s="21">
        <f>SUMIFS($E$2:E78,$A$2:A78,A78)</f>
        <v>250651518.49609414</v>
      </c>
      <c r="H78" s="21">
        <f>SUMIFS($F$2:F78,$A$2:A78,A78)</f>
        <v>173005125.59456182</v>
      </c>
    </row>
    <row r="79" spans="1:8">
      <c r="A79" t="s">
        <v>193</v>
      </c>
      <c r="B79" s="18">
        <v>2050</v>
      </c>
      <c r="C79" s="21">
        <f>SUMIFS(Annual_Cost!$Q$2:$Q$313,Annual_Cost!$A$2:$A$313,A79,Annual_Cost!$B$2:$B$313,B79)</f>
        <v>0</v>
      </c>
      <c r="D79" s="21">
        <f>SUMIFS(Annual_Cost!$R$2:$R$313,Annual_Cost!$A$2:$A$313,A79,Annual_Cost!$B$2:$B$313,B79)</f>
        <v>11407885.677542401</v>
      </c>
      <c r="E79" s="21">
        <f>SUMIFS(Annual_Cost!$S$2:$S$313,Annual_Cost!$A$2:$A$313,A79,Annual_Cost!$B$2:$B$313,B79)</f>
        <v>11407885.677542401</v>
      </c>
      <c r="F79" s="21">
        <f>SUMIFS(Annual_Cost!$W$2:$W$313,Annual_Cost!$A$2:$A$313,A79,Annual_Cost!$B$2:$B$313,B79)</f>
        <v>5448469.7330945721</v>
      </c>
      <c r="G79" s="21">
        <f>SUMIFS($E$2:E79,$A$2:A79,A79)</f>
        <v>262059404.17363653</v>
      </c>
      <c r="H79" s="21">
        <f>SUMIFS($F$2:F79,$A$2:A79,A79)</f>
        <v>178453595.32765639</v>
      </c>
    </row>
    <row r="80" spans="1:8">
      <c r="A80" t="s">
        <v>201</v>
      </c>
      <c r="B80" s="18">
        <v>2025</v>
      </c>
      <c r="C80" s="21">
        <f>SUMIFS(Annual_Cost!$Q$2:$Q$313,Annual_Cost!$A$2:$A$313,A80,Annual_Cost!$B$2:$B$313,B80)</f>
        <v>0</v>
      </c>
      <c r="D80" s="21">
        <f>SUMIFS(Annual_Cost!$R$2:$R$313,Annual_Cost!$A$2:$A$313,A80,Annual_Cost!$B$2:$B$313,B80)</f>
        <v>0</v>
      </c>
      <c r="E80" s="21">
        <f>SUMIFS(Annual_Cost!$S$2:$S$313,Annual_Cost!$A$2:$A$313,A80,Annual_Cost!$B$2:$B$313,B80)</f>
        <v>0</v>
      </c>
      <c r="F80" s="21">
        <f>SUMIFS(Annual_Cost!$W$2:$W$313,Annual_Cost!$A$2:$A$313,A80,Annual_Cost!$B$2:$B$313,B80)</f>
        <v>0</v>
      </c>
      <c r="G80" s="21">
        <f>SUMIFS($E$2:E80,$A$2:A80,A80)</f>
        <v>0</v>
      </c>
      <c r="H80" s="21">
        <f>SUMIFS($F$2:F80,$A$2:A80,A80)</f>
        <v>0</v>
      </c>
    </row>
    <row r="81" spans="1:8">
      <c r="A81" t="s">
        <v>201</v>
      </c>
      <c r="B81" s="18">
        <v>2026</v>
      </c>
      <c r="C81" s="21">
        <f>SUMIFS(Annual_Cost!$Q$2:$Q$313,Annual_Cost!$A$2:$A$313,A81,Annual_Cost!$B$2:$B$313,B81)</f>
        <v>0</v>
      </c>
      <c r="D81" s="21">
        <f>SUMIFS(Annual_Cost!$R$2:$R$313,Annual_Cost!$A$2:$A$313,A81,Annual_Cost!$B$2:$B$313,B81)</f>
        <v>386831.3281376253</v>
      </c>
      <c r="E81" s="21">
        <f>SUMIFS(Annual_Cost!$S$2:$S$313,Annual_Cost!$A$2:$A$313,A81,Annual_Cost!$B$2:$B$313,B81)</f>
        <v>386831.3281376253</v>
      </c>
      <c r="F81" s="21">
        <f>SUMIFS(Annual_Cost!$W$2:$W$313,Annual_Cost!$A$2:$A$313,A81,Annual_Cost!$B$2:$B$313,B81)</f>
        <v>375564.39625012164</v>
      </c>
      <c r="G81" s="21">
        <f>SUMIFS($E$2:E81,$A$2:A81,A81)</f>
        <v>386831.3281376253</v>
      </c>
      <c r="H81" s="21">
        <f>SUMIFS($F$2:F81,$A$2:A81,A81)</f>
        <v>375564.39625012164</v>
      </c>
    </row>
    <row r="82" spans="1:8">
      <c r="A82" t="s">
        <v>201</v>
      </c>
      <c r="B82" s="18">
        <v>2027</v>
      </c>
      <c r="C82" s="21">
        <f>SUMIFS(Annual_Cost!$Q$2:$Q$313,Annual_Cost!$A$2:$A$313,A82,Annual_Cost!$B$2:$B$313,B82)</f>
        <v>0</v>
      </c>
      <c r="D82" s="21">
        <f>SUMIFS(Annual_Cost!$R$2:$R$313,Annual_Cost!$A$2:$A$313,A82,Annual_Cost!$B$2:$B$313,B82)</f>
        <v>779341.05359188269</v>
      </c>
      <c r="E82" s="21">
        <f>SUMIFS(Annual_Cost!$S$2:$S$313,Annual_Cost!$A$2:$A$313,A82,Annual_Cost!$B$2:$B$313,B82)</f>
        <v>779341.05359188269</v>
      </c>
      <c r="F82" s="21">
        <f>SUMIFS(Annual_Cost!$W$2:$W$313,Annual_Cost!$A$2:$A$313,A82,Annual_Cost!$B$2:$B$313,B82)</f>
        <v>734603.68893569859</v>
      </c>
      <c r="G82" s="21">
        <f>SUMIFS($E$2:E82,$A$2:A82,A82)</f>
        <v>1166172.3817295081</v>
      </c>
      <c r="H82" s="21">
        <f>SUMIFS($F$2:F82,$A$2:A82,A82)</f>
        <v>1110168.0851858202</v>
      </c>
    </row>
    <row r="83" spans="1:8">
      <c r="A83" t="s">
        <v>201</v>
      </c>
      <c r="B83" s="18">
        <v>2028</v>
      </c>
      <c r="C83" s="21">
        <f>SUMIFS(Annual_Cost!$Q$2:$Q$313,Annual_Cost!$A$2:$A$313,A83,Annual_Cost!$B$2:$B$313,B83)</f>
        <v>0</v>
      </c>
      <c r="D83" s="21">
        <f>SUMIFS(Annual_Cost!$R$2:$R$313,Annual_Cost!$A$2:$A$313,A83,Annual_Cost!$B$2:$B$313,B83)</f>
        <v>1176137.7689286361</v>
      </c>
      <c r="E83" s="21">
        <f>SUMIFS(Annual_Cost!$S$2:$S$313,Annual_Cost!$A$2:$A$313,A83,Annual_Cost!$B$2:$B$313,B83)</f>
        <v>1176137.7689286361</v>
      </c>
      <c r="F83" s="21">
        <f>SUMIFS(Annual_Cost!$W$2:$W$313,Annual_Cost!$A$2:$A$313,A83,Annual_Cost!$B$2:$B$313,B83)</f>
        <v>1076332.6694852749</v>
      </c>
      <c r="G83" s="21">
        <f>SUMIFS($E$2:E83,$A$2:A83,A83)</f>
        <v>2342310.1506581441</v>
      </c>
      <c r="H83" s="21">
        <f>SUMIFS($F$2:F83,$A$2:A83,A83)</f>
        <v>2186500.7546710949</v>
      </c>
    </row>
    <row r="84" spans="1:8">
      <c r="A84" t="s">
        <v>201</v>
      </c>
      <c r="B84" s="18">
        <v>2029</v>
      </c>
      <c r="C84" s="21">
        <f>SUMIFS(Annual_Cost!$Q$2:$Q$313,Annual_Cost!$A$2:$A$313,A84,Annual_Cost!$B$2:$B$313,B84)</f>
        <v>0</v>
      </c>
      <c r="D84" s="21">
        <f>SUMIFS(Annual_Cost!$R$2:$R$313,Annual_Cost!$A$2:$A$313,A84,Annual_Cost!$B$2:$B$313,B84)</f>
        <v>1184316.4425075401</v>
      </c>
      <c r="E84" s="21">
        <f>SUMIFS(Annual_Cost!$S$2:$S$313,Annual_Cost!$A$2:$A$313,A84,Annual_Cost!$B$2:$B$313,B84)</f>
        <v>1184316.4425075401</v>
      </c>
      <c r="F84" s="21">
        <f>SUMIFS(Annual_Cost!$W$2:$W$313,Annual_Cost!$A$2:$A$313,A84,Annual_Cost!$B$2:$B$313,B84)</f>
        <v>1052249.8198015352</v>
      </c>
      <c r="G84" s="21">
        <f>SUMIFS($E$2:E84,$A$2:A84,A84)</f>
        <v>3526626.5931656845</v>
      </c>
      <c r="H84" s="21">
        <f>SUMIFS($F$2:F84,$A$2:A84,A84)</f>
        <v>3238750.5744726304</v>
      </c>
    </row>
    <row r="85" spans="1:8">
      <c r="A85" t="s">
        <v>201</v>
      </c>
      <c r="B85" s="18">
        <v>2030</v>
      </c>
      <c r="C85" s="21">
        <f>SUMIFS(Annual_Cost!$Q$2:$Q$313,Annual_Cost!$A$2:$A$313,A85,Annual_Cost!$B$2:$B$313,B85)</f>
        <v>0</v>
      </c>
      <c r="D85" s="21">
        <f>SUMIFS(Annual_Cost!$R$2:$R$313,Annual_Cost!$A$2:$A$313,A85,Annual_Cost!$B$2:$B$313,B85)</f>
        <v>1191918.948096256</v>
      </c>
      <c r="E85" s="21">
        <f>SUMIFS(Annual_Cost!$S$2:$S$313,Annual_Cost!$A$2:$A$313,A85,Annual_Cost!$B$2:$B$313,B85)</f>
        <v>1191918.948096256</v>
      </c>
      <c r="F85" s="21">
        <f>SUMIFS(Annual_Cost!$W$2:$W$313,Annual_Cost!$A$2:$A$313,A85,Annual_Cost!$B$2:$B$313,B85)</f>
        <v>1028159.7549017629</v>
      </c>
      <c r="G85" s="21">
        <f>SUMIFS($E$2:E85,$A$2:A85,A85)</f>
        <v>4718545.5412619403</v>
      </c>
      <c r="H85" s="21">
        <f>SUMIFS($F$2:F85,$A$2:A85,A85)</f>
        <v>4266910.3293743934</v>
      </c>
    </row>
    <row r="86" spans="1:8">
      <c r="A86" t="s">
        <v>201</v>
      </c>
      <c r="B86" s="18">
        <v>2031</v>
      </c>
      <c r="C86" s="21">
        <f>SUMIFS(Annual_Cost!$Q$2:$Q$313,Annual_Cost!$A$2:$A$313,A86,Annual_Cost!$B$2:$B$313,B86)</f>
        <v>0</v>
      </c>
      <c r="D86" s="21">
        <f>SUMIFS(Annual_Cost!$R$2:$R$313,Annual_Cost!$A$2:$A$313,A86,Annual_Cost!$B$2:$B$313,B86)</f>
        <v>1199455.281739396</v>
      </c>
      <c r="E86" s="21">
        <f>SUMIFS(Annual_Cost!$S$2:$S$313,Annual_Cost!$A$2:$A$313,A86,Annual_Cost!$B$2:$B$313,B86)</f>
        <v>1199455.281739396</v>
      </c>
      <c r="F86" s="21">
        <f>SUMIFS(Annual_Cost!$W$2:$W$313,Annual_Cost!$A$2:$A$313,A86,Annual_Cost!$B$2:$B$313,B86)</f>
        <v>1004524.9150528014</v>
      </c>
      <c r="G86" s="21">
        <f>SUMIFS($E$2:E86,$A$2:A86,A86)</f>
        <v>5918000.8230013363</v>
      </c>
      <c r="H86" s="21">
        <f>SUMIFS($F$2:F86,$A$2:A86,A86)</f>
        <v>5271435.2444271948</v>
      </c>
    </row>
    <row r="87" spans="1:8">
      <c r="A87" t="s">
        <v>201</v>
      </c>
      <c r="B87" s="18">
        <v>2032</v>
      </c>
      <c r="C87" s="21">
        <f>SUMIFS(Annual_Cost!$Q$2:$Q$313,Annual_Cost!$A$2:$A$313,A87,Annual_Cost!$B$2:$B$313,B87)</f>
        <v>0</v>
      </c>
      <c r="D87" s="21">
        <f>SUMIFS(Annual_Cost!$R$2:$R$313,Annual_Cost!$A$2:$A$313,A87,Annual_Cost!$B$2:$B$313,B87)</f>
        <v>1206726.911486944</v>
      </c>
      <c r="E87" s="21">
        <f>SUMIFS(Annual_Cost!$S$2:$S$313,Annual_Cost!$A$2:$A$313,A87,Annual_Cost!$B$2:$B$313,B87)</f>
        <v>1206726.911486944</v>
      </c>
      <c r="F87" s="21">
        <f>SUMIFS(Annual_Cost!$W$2:$W$313,Annual_Cost!$A$2:$A$313,A87,Annual_Cost!$B$2:$B$313,B87)</f>
        <v>981179.40823961678</v>
      </c>
      <c r="G87" s="21">
        <f>SUMIFS($E$2:E87,$A$2:A87,A87)</f>
        <v>7124727.7344882805</v>
      </c>
      <c r="H87" s="21">
        <f>SUMIFS($F$2:F87,$A$2:A87,A87)</f>
        <v>6252614.6526668118</v>
      </c>
    </row>
    <row r="88" spans="1:8">
      <c r="A88" t="s">
        <v>201</v>
      </c>
      <c r="B88" s="18">
        <v>2033</v>
      </c>
      <c r="C88" s="21">
        <f>SUMIFS(Annual_Cost!$Q$2:$Q$313,Annual_Cost!$A$2:$A$313,A88,Annual_Cost!$B$2:$B$313,B88)</f>
        <v>0</v>
      </c>
      <c r="D88" s="21">
        <f>SUMIFS(Annual_Cost!$R$2:$R$313,Annual_Cost!$A$2:$A$313,A88,Annual_Cost!$B$2:$B$313,B88)</f>
        <v>1213735.6681266881</v>
      </c>
      <c r="E88" s="21">
        <f>SUMIFS(Annual_Cost!$S$2:$S$313,Annual_Cost!$A$2:$A$313,A88,Annual_Cost!$B$2:$B$313,B88)</f>
        <v>1213735.6681266881</v>
      </c>
      <c r="F88" s="21">
        <f>SUMIFS(Annual_Cost!$W$2:$W$313,Annual_Cost!$A$2:$A$313,A88,Annual_Cost!$B$2:$B$313,B88)</f>
        <v>958134.14443540201</v>
      </c>
      <c r="G88" s="21">
        <f>SUMIFS($E$2:E88,$A$2:A88,A88)</f>
        <v>8338463.4026149688</v>
      </c>
      <c r="H88" s="21">
        <f>SUMIFS($F$2:F88,$A$2:A88,A88)</f>
        <v>7210748.7971022138</v>
      </c>
    </row>
    <row r="89" spans="1:8">
      <c r="A89" t="s">
        <v>201</v>
      </c>
      <c r="B89" s="18">
        <v>2034</v>
      </c>
      <c r="C89" s="21">
        <f>SUMIFS(Annual_Cost!$Q$2:$Q$313,Annual_Cost!$A$2:$A$313,A89,Annual_Cost!$B$2:$B$313,B89)</f>
        <v>0</v>
      </c>
      <c r="D89" s="21">
        <f>SUMIFS(Annual_Cost!$R$2:$R$313,Annual_Cost!$A$2:$A$313,A89,Annual_Cost!$B$2:$B$313,B89)</f>
        <v>1220483.9332734479</v>
      </c>
      <c r="E89" s="21">
        <f>SUMIFS(Annual_Cost!$S$2:$S$313,Annual_Cost!$A$2:$A$313,A89,Annual_Cost!$B$2:$B$313,B89)</f>
        <v>1220483.9332734479</v>
      </c>
      <c r="F89" s="21">
        <f>SUMIFS(Annual_Cost!$W$2:$W$313,Annual_Cost!$A$2:$A$313,A89,Annual_Cost!$B$2:$B$313,B89)</f>
        <v>935399.30801733315</v>
      </c>
      <c r="G89" s="21">
        <f>SUMIFS($E$2:E89,$A$2:A89,A89)</f>
        <v>9558947.3358884174</v>
      </c>
      <c r="H89" s="21">
        <f>SUMIFS($F$2:F89,$A$2:A89,A89)</f>
        <v>8146148.1051195469</v>
      </c>
    </row>
    <row r="90" spans="1:8">
      <c r="A90" t="s">
        <v>201</v>
      </c>
      <c r="B90" s="18">
        <v>2035</v>
      </c>
      <c r="C90" s="21">
        <f>SUMIFS(Annual_Cost!$Q$2:$Q$313,Annual_Cost!$A$2:$A$313,A90,Annual_Cost!$B$2:$B$313,B90)</f>
        <v>0</v>
      </c>
      <c r="D90" s="21">
        <f>SUMIFS(Annual_Cost!$R$2:$R$313,Annual_Cost!$A$2:$A$313,A90,Annual_Cost!$B$2:$B$313,B90)</f>
        <v>1226974.4227724841</v>
      </c>
      <c r="E90" s="21">
        <f>SUMIFS(Annual_Cost!$S$2:$S$313,Annual_Cost!$A$2:$A$313,A90,Annual_Cost!$B$2:$B$313,B90)</f>
        <v>1226974.4227724841</v>
      </c>
      <c r="F90" s="21">
        <f>SUMIFS(Annual_Cost!$W$2:$W$313,Annual_Cost!$A$2:$A$313,A90,Annual_Cost!$B$2:$B$313,B90)</f>
        <v>912984.20171892724</v>
      </c>
      <c r="G90" s="21">
        <f>SUMIFS($E$2:E90,$A$2:A90,A90)</f>
        <v>10785921.758660901</v>
      </c>
      <c r="H90" s="21">
        <f>SUMIFS($F$2:F90,$A$2:A90,A90)</f>
        <v>9059132.3068384733</v>
      </c>
    </row>
    <row r="91" spans="1:8">
      <c r="A91" t="s">
        <v>201</v>
      </c>
      <c r="B91" s="18">
        <v>2036</v>
      </c>
      <c r="C91" s="21">
        <f>SUMIFS(Annual_Cost!$Q$2:$Q$313,Annual_Cost!$A$2:$A$313,A91,Annual_Cost!$B$2:$B$313,B91)</f>
        <v>0</v>
      </c>
      <c r="D91" s="21">
        <f>SUMIFS(Annual_Cost!$R$2:$R$313,Annual_Cost!$A$2:$A$313,A91,Annual_Cost!$B$2:$B$313,B91)</f>
        <v>1233209.590105288</v>
      </c>
      <c r="E91" s="21">
        <f>SUMIFS(Annual_Cost!$S$2:$S$313,Annual_Cost!$A$2:$A$313,A91,Annual_Cost!$B$2:$B$313,B91)</f>
        <v>1233209.590105288</v>
      </c>
      <c r="F91" s="21">
        <f>SUMIFS(Annual_Cost!$W$2:$W$313,Annual_Cost!$A$2:$A$313,A91,Annual_Cost!$B$2:$B$313,B91)</f>
        <v>890896.84639769851</v>
      </c>
      <c r="G91" s="21">
        <f>SUMIFS($E$2:E91,$A$2:A91,A91)</f>
        <v>12019131.348766189</v>
      </c>
      <c r="H91" s="21">
        <f>SUMIFS($F$2:F91,$A$2:A91,A91)</f>
        <v>9950029.1532361712</v>
      </c>
    </row>
    <row r="92" spans="1:8">
      <c r="A92" t="s">
        <v>201</v>
      </c>
      <c r="B92" s="18">
        <v>2037</v>
      </c>
      <c r="C92" s="21">
        <f>SUMIFS(Annual_Cost!$Q$2:$Q$313,Annual_Cost!$A$2:$A$313,A92,Annual_Cost!$B$2:$B$313,B92)</f>
        <v>0</v>
      </c>
      <c r="D92" s="21">
        <f>SUMIFS(Annual_Cost!$R$2:$R$313,Annual_Cost!$A$2:$A$313,A92,Annual_Cost!$B$2:$B$313,B92)</f>
        <v>1239192.3829095881</v>
      </c>
      <c r="E92" s="21">
        <f>SUMIFS(Annual_Cost!$S$2:$S$313,Annual_Cost!$A$2:$A$313,A92,Annual_Cost!$B$2:$B$313,B92)</f>
        <v>1239192.3829095881</v>
      </c>
      <c r="F92" s="21">
        <f>SUMIFS(Annual_Cost!$W$2:$W$313,Annual_Cost!$A$2:$A$313,A92,Annual_Cost!$B$2:$B$313,B92)</f>
        <v>869144.60506117193</v>
      </c>
      <c r="G92" s="21">
        <f>SUMIFS($E$2:E92,$A$2:A92,A92)</f>
        <v>13258323.731675778</v>
      </c>
      <c r="H92" s="21">
        <f>SUMIFS($F$2:F92,$A$2:A92,A92)</f>
        <v>10819173.758297343</v>
      </c>
    </row>
    <row r="93" spans="1:8">
      <c r="A93" t="s">
        <v>201</v>
      </c>
      <c r="B93" s="18">
        <v>2038</v>
      </c>
      <c r="C93" s="21">
        <f>SUMIFS(Annual_Cost!$Q$2:$Q$313,Annual_Cost!$A$2:$A$313,A93,Annual_Cost!$B$2:$B$313,B93)</f>
        <v>0</v>
      </c>
      <c r="D93" s="21">
        <f>SUMIFS(Annual_Cost!$R$2:$R$313,Annual_Cost!$A$2:$A$313,A93,Annual_Cost!$B$2:$B$313,B93)</f>
        <v>1244926.45784356</v>
      </c>
      <c r="E93" s="21">
        <f>SUMIFS(Annual_Cost!$S$2:$S$313,Annual_Cost!$A$2:$A$313,A93,Annual_Cost!$B$2:$B$313,B93)</f>
        <v>1244926.45784356</v>
      </c>
      <c r="F93" s="21">
        <f>SUMIFS(Annual_Cost!$W$2:$W$313,Annual_Cost!$A$2:$A$313,A93,Annual_Cost!$B$2:$B$313,B93)</f>
        <v>847734.33966153266</v>
      </c>
      <c r="G93" s="21">
        <f>SUMIFS($E$2:E93,$A$2:A93,A93)</f>
        <v>14503250.189519338</v>
      </c>
      <c r="H93" s="21">
        <f>SUMIFS($F$2:F93,$A$2:A93,A93)</f>
        <v>11666908.097958876</v>
      </c>
    </row>
    <row r="94" spans="1:8">
      <c r="A94" t="s">
        <v>201</v>
      </c>
      <c r="B94" s="18">
        <v>2039</v>
      </c>
      <c r="C94" s="21">
        <f>SUMIFS(Annual_Cost!$Q$2:$Q$313,Annual_Cost!$A$2:$A$313,A94,Annual_Cost!$B$2:$B$313,B94)</f>
        <v>0</v>
      </c>
      <c r="D94" s="21">
        <f>SUMIFS(Annual_Cost!$R$2:$R$313,Annual_Cost!$A$2:$A$313,A94,Annual_Cost!$B$2:$B$313,B94)</f>
        <v>1250415.4774609238</v>
      </c>
      <c r="E94" s="21">
        <f>SUMIFS(Annual_Cost!$S$2:$S$313,Annual_Cost!$A$2:$A$313,A94,Annual_Cost!$B$2:$B$313,B94)</f>
        <v>1250415.4774609238</v>
      </c>
      <c r="F94" s="21">
        <f>SUMIFS(Annual_Cost!$W$2:$W$313,Annual_Cost!$A$2:$A$313,A94,Annual_Cost!$B$2:$B$313,B94)</f>
        <v>826671.93682060705</v>
      </c>
      <c r="G94" s="21">
        <f>SUMIFS($E$2:E94,$A$2:A94,A94)</f>
        <v>15753665.666980263</v>
      </c>
      <c r="H94" s="21">
        <f>SUMIFS($F$2:F94,$A$2:A94,A94)</f>
        <v>12493580.034779483</v>
      </c>
    </row>
    <row r="95" spans="1:8">
      <c r="A95" t="s">
        <v>201</v>
      </c>
      <c r="B95" s="18">
        <v>2040</v>
      </c>
      <c r="C95" s="21">
        <f>SUMIFS(Annual_Cost!$Q$2:$Q$313,Annual_Cost!$A$2:$A$313,A95,Annual_Cost!$B$2:$B$313,B95)</f>
        <v>0</v>
      </c>
      <c r="D95" s="21">
        <f>SUMIFS(Annual_Cost!$R$2:$R$313,Annual_Cost!$A$2:$A$313,A95,Annual_Cost!$B$2:$B$313,B95)</f>
        <v>1255662.4580160999</v>
      </c>
      <c r="E95" s="21">
        <f>SUMIFS(Annual_Cost!$S$2:$S$313,Annual_Cost!$A$2:$A$313,A95,Annual_Cost!$B$2:$B$313,B95)</f>
        <v>1255662.4580160999</v>
      </c>
      <c r="F95" s="21">
        <f>SUMIFS(Annual_Cost!$W$2:$W$313,Annual_Cost!$A$2:$A$313,A95,Annual_Cost!$B$2:$B$313,B95)</f>
        <v>805961.95057516312</v>
      </c>
      <c r="G95" s="21">
        <f>SUMIFS($E$2:E95,$A$2:A95,A95)</f>
        <v>17009328.124996364</v>
      </c>
      <c r="H95" s="21">
        <f>SUMIFS($F$2:F95,$A$2:A95,A95)</f>
        <v>13299541.985354647</v>
      </c>
    </row>
    <row r="96" spans="1:8">
      <c r="A96" t="s">
        <v>201</v>
      </c>
      <c r="B96" s="18">
        <v>2041</v>
      </c>
      <c r="C96" s="21">
        <f>SUMIFS(Annual_Cost!$Q$2:$Q$313,Annual_Cost!$A$2:$A$313,A96,Annual_Cost!$B$2:$B$313,B96)</f>
        <v>0</v>
      </c>
      <c r="D96" s="21">
        <f>SUMIFS(Annual_Cost!$R$2:$R$313,Annual_Cost!$A$2:$A$313,A96,Annual_Cost!$B$2:$B$313,B96)</f>
        <v>1260670.425076948</v>
      </c>
      <c r="E96" s="21">
        <f>SUMIFS(Annual_Cost!$S$2:$S$313,Annual_Cost!$A$2:$A$313,A96,Annual_Cost!$B$2:$B$313,B96)</f>
        <v>1260670.425076948</v>
      </c>
      <c r="F96" s="21">
        <f>SUMIFS(Annual_Cost!$W$2:$W$313,Annual_Cost!$A$2:$A$313,A96,Annual_Cost!$B$2:$B$313,B96)</f>
        <v>785608.13016052218</v>
      </c>
      <c r="G96" s="21">
        <f>SUMIFS($E$2:E96,$A$2:A96,A96)</f>
        <v>18269998.550073311</v>
      </c>
      <c r="H96" s="21">
        <f>SUMIFS($F$2:F96,$A$2:A96,A96)</f>
        <v>14085150.115515169</v>
      </c>
    </row>
    <row r="97" spans="1:8">
      <c r="A97" t="s">
        <v>201</v>
      </c>
      <c r="B97" s="18">
        <v>2042</v>
      </c>
      <c r="C97" s="21">
        <f>SUMIFS(Annual_Cost!$Q$2:$Q$313,Annual_Cost!$A$2:$A$313,A97,Annual_Cost!$B$2:$B$313,B97)</f>
        <v>0</v>
      </c>
      <c r="D97" s="21">
        <f>SUMIFS(Annual_Cost!$R$2:$R$313,Annual_Cost!$A$2:$A$313,A97,Annual_Cost!$B$2:$B$313,B97)</f>
        <v>1265441.2597863281</v>
      </c>
      <c r="E97" s="21">
        <f>SUMIFS(Annual_Cost!$S$2:$S$313,Annual_Cost!$A$2:$A$313,A97,Annual_Cost!$B$2:$B$313,B97)</f>
        <v>1265441.2597863281</v>
      </c>
      <c r="F97" s="21">
        <f>SUMIFS(Annual_Cost!$W$2:$W$313,Annual_Cost!$A$2:$A$313,A97,Annual_Cost!$B$2:$B$313,B97)</f>
        <v>765612.77342125401</v>
      </c>
      <c r="G97" s="21">
        <f>SUMIFS($E$2:E97,$A$2:A97,A97)</f>
        <v>19535439.809859637</v>
      </c>
      <c r="H97" s="21">
        <f>SUMIFS($F$2:F97,$A$2:A97,A97)</f>
        <v>14850762.888936423</v>
      </c>
    </row>
    <row r="98" spans="1:8">
      <c r="A98" t="s">
        <v>201</v>
      </c>
      <c r="B98" s="18">
        <v>2043</v>
      </c>
      <c r="C98" s="21">
        <f>SUMIFS(Annual_Cost!$Q$2:$Q$313,Annual_Cost!$A$2:$A$313,A98,Annual_Cost!$B$2:$B$313,B98)</f>
        <v>0</v>
      </c>
      <c r="D98" s="21">
        <f>SUMIFS(Annual_Cost!$R$2:$R$313,Annual_Cost!$A$2:$A$313,A98,Annual_Cost!$B$2:$B$313,B98)</f>
        <v>1269976.0768539719</v>
      </c>
      <c r="E98" s="21">
        <f>SUMIFS(Annual_Cost!$S$2:$S$313,Annual_Cost!$A$2:$A$313,A98,Annual_Cost!$B$2:$B$313,B98)</f>
        <v>1269976.0768539719</v>
      </c>
      <c r="F98" s="21">
        <f>SUMIFS(Annual_Cost!$W$2:$W$313,Annual_Cost!$A$2:$A$313,A98,Annual_Cost!$B$2:$B$313,B98)</f>
        <v>745977.09934570489</v>
      </c>
      <c r="G98" s="21">
        <f>SUMIFS($E$2:E98,$A$2:A98,A98)</f>
        <v>20805415.886713609</v>
      </c>
      <c r="H98" s="21">
        <f>SUMIFS($F$2:F98,$A$2:A98,A98)</f>
        <v>15596739.988282127</v>
      </c>
    </row>
    <row r="99" spans="1:8">
      <c r="A99" t="s">
        <v>201</v>
      </c>
      <c r="B99" s="18">
        <v>2044</v>
      </c>
      <c r="C99" s="21">
        <f>SUMIFS(Annual_Cost!$Q$2:$Q$313,Annual_Cost!$A$2:$A$313,A99,Annual_Cost!$B$2:$B$313,B99)</f>
        <v>0</v>
      </c>
      <c r="D99" s="21">
        <f>SUMIFS(Annual_Cost!$R$2:$R$313,Annual_Cost!$A$2:$A$313,A99,Annual_Cost!$B$2:$B$313,B99)</f>
        <v>1274277.273730936</v>
      </c>
      <c r="E99" s="21">
        <f>SUMIFS(Annual_Cost!$S$2:$S$313,Annual_Cost!$A$2:$A$313,A99,Annual_Cost!$B$2:$B$313,B99)</f>
        <v>1274277.273730936</v>
      </c>
      <c r="F99" s="21">
        <f>SUMIFS(Annual_Cost!$W$2:$W$313,Annual_Cost!$A$2:$A$313,A99,Annual_Cost!$B$2:$B$313,B99)</f>
        <v>726702.52349274722</v>
      </c>
      <c r="G99" s="21">
        <f>SUMIFS($E$2:E99,$A$2:A99,A99)</f>
        <v>22079693.160444546</v>
      </c>
      <c r="H99" s="21">
        <f>SUMIFS($F$2:F99,$A$2:A99,A99)</f>
        <v>16323442.511774875</v>
      </c>
    </row>
    <row r="100" spans="1:8">
      <c r="A100" t="s">
        <v>201</v>
      </c>
      <c r="B100" s="18">
        <v>2045</v>
      </c>
      <c r="C100" s="21">
        <f>SUMIFS(Annual_Cost!$Q$2:$Q$313,Annual_Cost!$A$2:$A$313,A100,Annual_Cost!$B$2:$B$313,B100)</f>
        <v>0</v>
      </c>
      <c r="D100" s="21">
        <f>SUMIFS(Annual_Cost!$R$2:$R$313,Annual_Cost!$A$2:$A$313,A100,Annual_Cost!$B$2:$B$313,B100)</f>
        <v>1278348.183181816</v>
      </c>
      <c r="E100" s="21">
        <f>SUMIFS(Annual_Cost!$S$2:$S$313,Annual_Cost!$A$2:$A$313,A100,Annual_Cost!$B$2:$B$313,B100)</f>
        <v>1278348.183181816</v>
      </c>
      <c r="F100" s="21">
        <f>SUMIFS(Annual_Cost!$W$2:$W$313,Annual_Cost!$A$2:$A$313,A100,Annual_Cost!$B$2:$B$313,B100)</f>
        <v>707790.39443592308</v>
      </c>
      <c r="G100" s="21">
        <f>SUMIFS($E$2:E100,$A$2:A100,A100)</f>
        <v>23358041.343626361</v>
      </c>
      <c r="H100" s="21">
        <f>SUMIFS($F$2:F100,$A$2:A100,A100)</f>
        <v>17031232.906210799</v>
      </c>
    </row>
    <row r="101" spans="1:8">
      <c r="A101" t="s">
        <v>201</v>
      </c>
      <c r="B101" s="18">
        <v>2046</v>
      </c>
      <c r="C101" s="21">
        <f>SUMIFS(Annual_Cost!$Q$2:$Q$313,Annual_Cost!$A$2:$A$313,A101,Annual_Cost!$B$2:$B$313,B101)</f>
        <v>0</v>
      </c>
      <c r="D101" s="21">
        <f>SUMIFS(Annual_Cost!$R$2:$R$313,Annual_Cost!$A$2:$A$313,A101,Annual_Cost!$B$2:$B$313,B101)</f>
        <v>1282192.543679588</v>
      </c>
      <c r="E101" s="21">
        <f>SUMIFS(Annual_Cost!$S$2:$S$313,Annual_Cost!$A$2:$A$313,A101,Annual_Cost!$B$2:$B$313,B101)</f>
        <v>1282192.543679588</v>
      </c>
      <c r="F101" s="21">
        <f>SUMIFS(Annual_Cost!$W$2:$W$313,Annual_Cost!$A$2:$A$313,A101,Annual_Cost!$B$2:$B$313,B101)</f>
        <v>689241.67343096226</v>
      </c>
      <c r="G101" s="21">
        <f>SUMIFS($E$2:E101,$A$2:A101,A101)</f>
        <v>24640233.887305949</v>
      </c>
      <c r="H101" s="21">
        <f>SUMIFS($F$2:F101,$A$2:A101,A101)</f>
        <v>17720474.579641759</v>
      </c>
    </row>
    <row r="102" spans="1:8">
      <c r="A102" t="s">
        <v>201</v>
      </c>
      <c r="B102" s="18">
        <v>2047</v>
      </c>
      <c r="C102" s="21">
        <f>SUMIFS(Annual_Cost!$Q$2:$Q$313,Annual_Cost!$A$2:$A$313,A102,Annual_Cost!$B$2:$B$313,B102)</f>
        <v>0</v>
      </c>
      <c r="D102" s="21">
        <f>SUMIFS(Annual_Cost!$R$2:$R$313,Annual_Cost!$A$2:$A$313,A102,Annual_Cost!$B$2:$B$313,B102)</f>
        <v>1285814.368156208</v>
      </c>
      <c r="E102" s="21">
        <f>SUMIFS(Annual_Cost!$S$2:$S$313,Annual_Cost!$A$2:$A$313,A102,Annual_Cost!$B$2:$B$313,B102)</f>
        <v>1285814.368156208</v>
      </c>
      <c r="F102" s="21">
        <f>SUMIFS(Annual_Cost!$W$2:$W$313,Annual_Cost!$A$2:$A$313,A102,Annual_Cost!$B$2:$B$313,B102)</f>
        <v>671056.87626780488</v>
      </c>
      <c r="G102" s="21">
        <f>SUMIFS($E$2:E102,$A$2:A102,A102)</f>
        <v>25926048.255462158</v>
      </c>
      <c r="H102" s="21">
        <f>SUMIFS($F$2:F102,$A$2:A102,A102)</f>
        <v>18391531.455909565</v>
      </c>
    </row>
    <row r="103" spans="1:8">
      <c r="A103" t="s">
        <v>201</v>
      </c>
      <c r="B103" s="18">
        <v>2048</v>
      </c>
      <c r="C103" s="21">
        <f>SUMIFS(Annual_Cost!$Q$2:$Q$313,Annual_Cost!$A$2:$A$313,A103,Annual_Cost!$B$2:$B$313,B103)</f>
        <v>0</v>
      </c>
      <c r="D103" s="21">
        <f>SUMIFS(Annual_Cost!$R$2:$R$313,Annual_Cost!$A$2:$A$313,A103,Annual_Cost!$B$2:$B$313,B103)</f>
        <v>1289217.9652592039</v>
      </c>
      <c r="E103" s="21">
        <f>SUMIFS(Annual_Cost!$S$2:$S$313,Annual_Cost!$A$2:$A$313,A103,Annual_Cost!$B$2:$B$313,B103)</f>
        <v>1289217.9652592039</v>
      </c>
      <c r="F103" s="21">
        <f>SUMIFS(Annual_Cost!$W$2:$W$313,Annual_Cost!$A$2:$A$313,A103,Annual_Cost!$B$2:$B$313,B103)</f>
        <v>653236.10492415936</v>
      </c>
      <c r="G103" s="21">
        <f>SUMIFS($E$2:E103,$A$2:A103,A103)</f>
        <v>27215266.220721364</v>
      </c>
      <c r="H103" s="21">
        <f>SUMIFS($F$2:F103,$A$2:A103,A103)</f>
        <v>19044767.560833726</v>
      </c>
    </row>
    <row r="104" spans="1:8">
      <c r="A104" t="s">
        <v>201</v>
      </c>
      <c r="B104" s="18">
        <v>2049</v>
      </c>
      <c r="C104" s="21">
        <f>SUMIFS(Annual_Cost!$Q$2:$Q$313,Annual_Cost!$A$2:$A$313,A104,Annual_Cost!$B$2:$B$313,B104)</f>
        <v>0</v>
      </c>
      <c r="D104" s="21">
        <f>SUMIFS(Annual_Cost!$R$2:$R$313,Annual_Cost!$A$2:$A$313,A104,Annual_Cost!$B$2:$B$313,B104)</f>
        <v>1292408.2928448201</v>
      </c>
      <c r="E104" s="21">
        <f>SUMIFS(Annual_Cost!$S$2:$S$313,Annual_Cost!$A$2:$A$313,A104,Annual_Cost!$B$2:$B$313,B104)</f>
        <v>1292408.2928448201</v>
      </c>
      <c r="F104" s="21">
        <f>SUMIFS(Annual_Cost!$W$2:$W$313,Annual_Cost!$A$2:$A$313,A104,Annual_Cost!$B$2:$B$313,B104)</f>
        <v>635779.24037531926</v>
      </c>
      <c r="G104" s="21">
        <f>SUMIFS($E$2:E104,$A$2:A104,A104)</f>
        <v>28507674.513566185</v>
      </c>
      <c r="H104" s="21">
        <f>SUMIFS($F$2:F104,$A$2:A104,A104)</f>
        <v>19680546.801209044</v>
      </c>
    </row>
    <row r="105" spans="1:8">
      <c r="A105" t="s">
        <v>201</v>
      </c>
      <c r="B105" s="18">
        <v>2050</v>
      </c>
      <c r="C105" s="21">
        <f>SUMIFS(Annual_Cost!$Q$2:$Q$313,Annual_Cost!$A$2:$A$313,A105,Annual_Cost!$B$2:$B$313,B105)</f>
        <v>0</v>
      </c>
      <c r="D105" s="21">
        <f>SUMIFS(Annual_Cost!$R$2:$R$313,Annual_Cost!$A$2:$A$313,A105,Annual_Cost!$B$2:$B$313,B105)</f>
        <v>1295391.133671588</v>
      </c>
      <c r="E105" s="21">
        <f>SUMIFS(Annual_Cost!$S$2:$S$313,Annual_Cost!$A$2:$A$313,A105,Annual_Cost!$B$2:$B$313,B105)</f>
        <v>1295391.133671588</v>
      </c>
      <c r="F105" s="21">
        <f>SUMIFS(Annual_Cost!$W$2:$W$313,Annual_Cost!$A$2:$A$313,A105,Annual_Cost!$B$2:$B$313,B105)</f>
        <v>618686.01981372549</v>
      </c>
      <c r="G105" s="21">
        <f>SUMIFS($E$2:E105,$A$2:A105,A105)</f>
        <v>29803065.647237774</v>
      </c>
      <c r="H105" s="21">
        <f>SUMIFS($F$2:F105,$A$2:A105,A105)</f>
        <v>20299232.821022768</v>
      </c>
    </row>
    <row r="106" spans="1:8">
      <c r="A106" t="s">
        <v>212</v>
      </c>
      <c r="B106" s="18">
        <v>2025</v>
      </c>
      <c r="C106" s="21">
        <f>SUMIFS(Annual_Cost!$Q$2:$Q$313,Annual_Cost!$A$2:$A$313,A106,Annual_Cost!$B$2:$B$313,B106)</f>
        <v>0</v>
      </c>
      <c r="D106" s="21">
        <f>SUMIFS(Annual_Cost!$R$2:$R$313,Annual_Cost!$A$2:$A$313,A106,Annual_Cost!$B$2:$B$313,B106)</f>
        <v>0</v>
      </c>
      <c r="E106" s="21">
        <f>SUMIFS(Annual_Cost!$S$2:$S$313,Annual_Cost!$A$2:$A$313,A106,Annual_Cost!$B$2:$B$313,B106)</f>
        <v>0</v>
      </c>
      <c r="F106" s="21">
        <f>SUMIFS(Annual_Cost!$W$2:$W$313,Annual_Cost!$A$2:$A$313,A106,Annual_Cost!$B$2:$B$313,B106)</f>
        <v>0</v>
      </c>
      <c r="G106" s="21">
        <f>SUMIFS($E$2:E106,$A$2:A106,A106)</f>
        <v>0</v>
      </c>
      <c r="H106" s="21">
        <f>SUMIFS($F$2:F106,$A$2:A106,A106)</f>
        <v>0</v>
      </c>
    </row>
    <row r="107" spans="1:8">
      <c r="A107" t="s">
        <v>212</v>
      </c>
      <c r="B107" s="18">
        <v>2026</v>
      </c>
      <c r="C107" s="21">
        <f>SUMIFS(Annual_Cost!$Q$2:$Q$313,Annual_Cost!$A$2:$A$313,A107,Annual_Cost!$B$2:$B$313,B107)</f>
        <v>0</v>
      </c>
      <c r="D107" s="21">
        <f>SUMIFS(Annual_Cost!$R$2:$R$313,Annual_Cost!$A$2:$A$313,A107,Annual_Cost!$B$2:$B$313,B107)</f>
        <v>2233950.9199947859</v>
      </c>
      <c r="E107" s="21">
        <f>SUMIFS(Annual_Cost!$S$2:$S$313,Annual_Cost!$A$2:$A$313,A107,Annual_Cost!$B$2:$B$313,B107)</f>
        <v>2233950.9199947859</v>
      </c>
      <c r="F107" s="21">
        <f>SUMIFS(Annual_Cost!$W$2:$W$313,Annual_Cost!$A$2:$A$313,A107,Annual_Cost!$B$2:$B$313,B107)</f>
        <v>2168884.3883444523</v>
      </c>
      <c r="G107" s="21">
        <f>SUMIFS($E$2:E107,$A$2:A107,A107)</f>
        <v>2233950.9199947859</v>
      </c>
      <c r="H107" s="21">
        <f>SUMIFS($F$2:F107,$A$2:A107,A107)</f>
        <v>2168884.3883444523</v>
      </c>
    </row>
    <row r="108" spans="1:8">
      <c r="A108" t="s">
        <v>212</v>
      </c>
      <c r="B108" s="18">
        <v>2027</v>
      </c>
      <c r="C108" s="21">
        <f>SUMIFS(Annual_Cost!$Q$2:$Q$313,Annual_Cost!$A$2:$A$313,A108,Annual_Cost!$B$2:$B$313,B108)</f>
        <v>0</v>
      </c>
      <c r="D108" s="21">
        <f>SUMIFS(Annual_Cost!$R$2:$R$313,Annual_Cost!$A$2:$A$313,A108,Annual_Cost!$B$2:$B$313,B108)</f>
        <v>4500694.5844931221</v>
      </c>
      <c r="E108" s="21">
        <f>SUMIFS(Annual_Cost!$S$2:$S$313,Annual_Cost!$A$2:$A$313,A108,Annual_Cost!$B$2:$B$313,B108)</f>
        <v>4500694.5844931221</v>
      </c>
      <c r="F108" s="21">
        <f>SUMIFS(Annual_Cost!$W$2:$W$313,Annual_Cost!$A$2:$A$313,A108,Annual_Cost!$B$2:$B$313,B108)</f>
        <v>4242336.3036036594</v>
      </c>
      <c r="G108" s="21">
        <f>SUMIFS($E$2:E108,$A$2:A108,A108)</f>
        <v>6734645.5044879075</v>
      </c>
      <c r="H108" s="21">
        <f>SUMIFS($F$2:F108,$A$2:A108,A108)</f>
        <v>6411220.6919481121</v>
      </c>
    </row>
    <row r="109" spans="1:8">
      <c r="A109" t="s">
        <v>212</v>
      </c>
      <c r="B109" s="18">
        <v>2028</v>
      </c>
      <c r="C109" s="21">
        <f>SUMIFS(Annual_Cost!$Q$2:$Q$313,Annual_Cost!$A$2:$A$313,A109,Annual_Cost!$B$2:$B$313,B109)</f>
        <v>0</v>
      </c>
      <c r="D109" s="21">
        <f>SUMIFS(Annual_Cost!$R$2:$R$313,Annual_Cost!$A$2:$A$313,A109,Annual_Cost!$B$2:$B$313,B109)</f>
        <v>6798674.081556241</v>
      </c>
      <c r="E109" s="21">
        <f>SUMIFS(Annual_Cost!$S$2:$S$313,Annual_Cost!$A$2:$A$313,A109,Annual_Cost!$B$2:$B$313,B109)</f>
        <v>6798674.081556241</v>
      </c>
      <c r="F109" s="21">
        <f>SUMIFS(Annual_Cost!$W$2:$W$313,Annual_Cost!$A$2:$A$313,A109,Annual_Cost!$B$2:$B$313,B109)</f>
        <v>6221749.8803966967</v>
      </c>
      <c r="G109" s="21">
        <f>SUMIFS($E$2:E109,$A$2:A109,A109)</f>
        <v>13533319.586044148</v>
      </c>
      <c r="H109" s="21">
        <f>SUMIFS($F$2:F109,$A$2:A109,A109)</f>
        <v>12632970.57234481</v>
      </c>
    </row>
    <row r="110" spans="1:8">
      <c r="A110" t="s">
        <v>212</v>
      </c>
      <c r="B110" s="18">
        <v>2029</v>
      </c>
      <c r="C110" s="21">
        <f>SUMIFS(Annual_Cost!$Q$2:$Q$313,Annual_Cost!$A$2:$A$313,A110,Annual_Cost!$B$2:$B$313,B110)</f>
        <v>0</v>
      </c>
      <c r="D110" s="21">
        <f>SUMIFS(Annual_Cost!$R$2:$R$313,Annual_Cost!$A$2:$A$313,A110,Annual_Cost!$B$2:$B$313,B110)</f>
        <v>6845483.8562261155</v>
      </c>
      <c r="E110" s="21">
        <f>SUMIFS(Annual_Cost!$S$2:$S$313,Annual_Cost!$A$2:$A$313,A110,Annual_Cost!$B$2:$B$313,B110)</f>
        <v>6845483.8562261155</v>
      </c>
      <c r="F110" s="21">
        <f>SUMIFS(Annual_Cost!$W$2:$W$313,Annual_Cost!$A$2:$A$313,A110,Annual_Cost!$B$2:$B$313,B110)</f>
        <v>6082123.742972848</v>
      </c>
      <c r="G110" s="21">
        <f>SUMIFS($E$2:E110,$A$2:A110,A110)</f>
        <v>20378803.442270264</v>
      </c>
      <c r="H110" s="21">
        <f>SUMIFS($F$2:F110,$A$2:A110,A110)</f>
        <v>18715094.315317657</v>
      </c>
    </row>
    <row r="111" spans="1:8">
      <c r="A111" t="s">
        <v>212</v>
      </c>
      <c r="B111" s="18">
        <v>2030</v>
      </c>
      <c r="C111" s="21">
        <f>SUMIFS(Annual_Cost!$Q$2:$Q$313,Annual_Cost!$A$2:$A$313,A111,Annual_Cost!$B$2:$B$313,B111)</f>
        <v>0</v>
      </c>
      <c r="D111" s="21">
        <f>SUMIFS(Annual_Cost!$R$2:$R$313,Annual_Cost!$A$2:$A$313,A111,Annual_Cost!$B$2:$B$313,B111)</f>
        <v>6890293.9569830513</v>
      </c>
      <c r="E111" s="21">
        <f>SUMIFS(Annual_Cost!$S$2:$S$313,Annual_Cost!$A$2:$A$313,A111,Annual_Cost!$B$2:$B$313,B111)</f>
        <v>6890293.9569830513</v>
      </c>
      <c r="F111" s="21">
        <f>SUMIFS(Annual_Cost!$W$2:$W$313,Annual_Cost!$A$2:$A$313,A111,Annual_Cost!$B$2:$B$313,B111)</f>
        <v>5943628.0942827016</v>
      </c>
      <c r="G111" s="21">
        <f>SUMIFS($E$2:E111,$A$2:A111,A111)</f>
        <v>27269097.399253316</v>
      </c>
      <c r="H111" s="21">
        <f>SUMIFS($F$2:F111,$A$2:A111,A111)</f>
        <v>24658722.409600358</v>
      </c>
    </row>
    <row r="112" spans="1:8">
      <c r="A112" t="s">
        <v>212</v>
      </c>
      <c r="B112" s="18">
        <v>2031</v>
      </c>
      <c r="C112" s="21">
        <f>SUMIFS(Annual_Cost!$Q$2:$Q$313,Annual_Cost!$A$2:$A$313,A112,Annual_Cost!$B$2:$B$313,B112)</f>
        <v>0</v>
      </c>
      <c r="D112" s="21">
        <f>SUMIFS(Annual_Cost!$R$2:$R$313,Annual_Cost!$A$2:$A$313,A112,Annual_Cost!$B$2:$B$313,B112)</f>
        <v>6933569.8531801319</v>
      </c>
      <c r="E112" s="21">
        <f>SUMIFS(Annual_Cost!$S$2:$S$313,Annual_Cost!$A$2:$A$313,A112,Annual_Cost!$B$2:$B$313,B112)</f>
        <v>6933569.8531801319</v>
      </c>
      <c r="F112" s="21">
        <f>SUMIFS(Annual_Cost!$W$2:$W$313,Annual_Cost!$A$2:$A$313,A112,Annual_Cost!$B$2:$B$313,B112)</f>
        <v>5806755.5946547575</v>
      </c>
      <c r="G112" s="21">
        <f>SUMIFS($E$2:E112,$A$2:A112,A112)</f>
        <v>34202667.252433449</v>
      </c>
      <c r="H112" s="21">
        <f>SUMIFS($F$2:F112,$A$2:A112,A112)</f>
        <v>30465478.004255116</v>
      </c>
    </row>
    <row r="113" spans="1:8">
      <c r="A113" t="s">
        <v>212</v>
      </c>
      <c r="B113" s="18">
        <v>2032</v>
      </c>
      <c r="C113" s="21">
        <f>SUMIFS(Annual_Cost!$Q$2:$Q$313,Annual_Cost!$A$2:$A$313,A113,Annual_Cost!$B$2:$B$313,B113)</f>
        <v>0</v>
      </c>
      <c r="D113" s="21">
        <f>SUMIFS(Annual_Cost!$R$2:$R$313,Annual_Cost!$A$2:$A$313,A113,Annual_Cost!$B$2:$B$313,B113)</f>
        <v>6975345.5462180488</v>
      </c>
      <c r="E113" s="21">
        <f>SUMIFS(Annual_Cost!$S$2:$S$313,Annual_Cost!$A$2:$A$313,A113,Annual_Cost!$B$2:$B$313,B113)</f>
        <v>6975345.5462180488</v>
      </c>
      <c r="F113" s="21">
        <f>SUMIFS(Annual_Cost!$W$2:$W$313,Annual_Cost!$A$2:$A$313,A113,Annual_Cost!$B$2:$B$313,B113)</f>
        <v>5671594.2523165653</v>
      </c>
      <c r="G113" s="21">
        <f>SUMIFS($E$2:E113,$A$2:A113,A113)</f>
        <v>41178012.798651502</v>
      </c>
      <c r="H113" s="21">
        <f>SUMIFS($F$2:F113,$A$2:A113,A113)</f>
        <v>36137072.25657168</v>
      </c>
    </row>
    <row r="114" spans="1:8">
      <c r="A114" t="s">
        <v>212</v>
      </c>
      <c r="B114" s="18">
        <v>2033</v>
      </c>
      <c r="C114" s="21">
        <f>SUMIFS(Annual_Cost!$Q$2:$Q$313,Annual_Cost!$A$2:$A$313,A114,Annual_Cost!$B$2:$B$313,B114)</f>
        <v>0</v>
      </c>
      <c r="D114" s="21">
        <f>SUMIFS(Annual_Cost!$R$2:$R$313,Annual_Cost!$A$2:$A$313,A114,Annual_Cost!$B$2:$B$313,B114)</f>
        <v>7013746.0239228681</v>
      </c>
      <c r="E114" s="21">
        <f>SUMIFS(Annual_Cost!$S$2:$S$313,Annual_Cost!$A$2:$A$313,A114,Annual_Cost!$B$2:$B$313,B114)</f>
        <v>7013746.0239228681</v>
      </c>
      <c r="F114" s="21">
        <f>SUMIFS(Annual_Cost!$W$2:$W$313,Annual_Cost!$A$2:$A$313,A114,Annual_Cost!$B$2:$B$313,B114)</f>
        <v>5536715.8784173625</v>
      </c>
      <c r="G114" s="21">
        <f>SUMIFS($E$2:E114,$A$2:A114,A114)</f>
        <v>48191758.82257437</v>
      </c>
      <c r="H114" s="21">
        <f>SUMIFS($F$2:F114,$A$2:A114,A114)</f>
        <v>41673788.134989046</v>
      </c>
    </row>
    <row r="115" spans="1:8">
      <c r="A115" t="s">
        <v>212</v>
      </c>
      <c r="B115" s="18">
        <v>2034</v>
      </c>
      <c r="C115" s="21">
        <f>SUMIFS(Annual_Cost!$Q$2:$Q$313,Annual_Cost!$A$2:$A$313,A115,Annual_Cost!$B$2:$B$313,B115)</f>
        <v>0</v>
      </c>
      <c r="D115" s="21">
        <f>SUMIFS(Annual_Cost!$R$2:$R$313,Annual_Cost!$A$2:$A$313,A115,Annual_Cost!$B$2:$B$313,B115)</f>
        <v>7052356.5579836983</v>
      </c>
      <c r="E115" s="21">
        <f>SUMIFS(Annual_Cost!$S$2:$S$313,Annual_Cost!$A$2:$A$313,A115,Annual_Cost!$B$2:$B$313,B115)</f>
        <v>7052356.5579836983</v>
      </c>
      <c r="F115" s="21">
        <f>SUMIFS(Annual_Cost!$W$2:$W$313,Annual_Cost!$A$2:$A$313,A115,Annual_Cost!$B$2:$B$313,B115)</f>
        <v>5405044.068492014</v>
      </c>
      <c r="G115" s="21">
        <f>SUMIFS($E$2:E115,$A$2:A115,A115)</f>
        <v>55244115.380558066</v>
      </c>
      <c r="H115" s="21">
        <f>SUMIFS($F$2:F115,$A$2:A115,A115)</f>
        <v>47078832.203481063</v>
      </c>
    </row>
    <row r="116" spans="1:8">
      <c r="A116" t="s">
        <v>212</v>
      </c>
      <c r="B116" s="18">
        <v>2035</v>
      </c>
      <c r="C116" s="21">
        <f>SUMIFS(Annual_Cost!$Q$2:$Q$313,Annual_Cost!$A$2:$A$313,A116,Annual_Cost!$B$2:$B$313,B116)</f>
        <v>0</v>
      </c>
      <c r="D116" s="21">
        <f>SUMIFS(Annual_Cost!$R$2:$R$313,Annual_Cost!$A$2:$A$313,A116,Annual_Cost!$B$2:$B$313,B116)</f>
        <v>7089467.8374186736</v>
      </c>
      <c r="E116" s="21">
        <f>SUMIFS(Annual_Cost!$S$2:$S$313,Annual_Cost!$A$2:$A$313,A116,Annual_Cost!$B$2:$B$313,B116)</f>
        <v>7089467.8374186736</v>
      </c>
      <c r="F116" s="21">
        <f>SUMIFS(Annual_Cost!$W$2:$W$313,Annual_Cost!$A$2:$A$313,A116,Annual_Cost!$B$2:$B$313,B116)</f>
        <v>5275229.8776792809</v>
      </c>
      <c r="G116" s="21">
        <f>SUMIFS($E$2:E116,$A$2:A116,A116)</f>
        <v>62333583.217976741</v>
      </c>
      <c r="H116" s="21">
        <f>SUMIFS($F$2:F116,$A$2:A116,A116)</f>
        <v>52354062.081160344</v>
      </c>
    </row>
    <row r="117" spans="1:8">
      <c r="A117" t="s">
        <v>212</v>
      </c>
      <c r="B117" s="18">
        <v>2036</v>
      </c>
      <c r="C117" s="21">
        <f>SUMIFS(Annual_Cost!$Q$2:$Q$313,Annual_Cost!$A$2:$A$313,A117,Annual_Cost!$B$2:$B$313,B117)</f>
        <v>0</v>
      </c>
      <c r="D117" s="21">
        <f>SUMIFS(Annual_Cost!$R$2:$R$313,Annual_Cost!$A$2:$A$313,A117,Annual_Cost!$B$2:$B$313,B117)</f>
        <v>7125145.9331135852</v>
      </c>
      <c r="E117" s="21">
        <f>SUMIFS(Annual_Cost!$S$2:$S$313,Annual_Cost!$A$2:$A$313,A117,Annual_Cost!$B$2:$B$313,B117)</f>
        <v>7125145.9331135852</v>
      </c>
      <c r="F117" s="21">
        <f>SUMIFS(Annual_Cost!$W$2:$W$313,Annual_Cost!$A$2:$A$313,A117,Annual_Cost!$B$2:$B$313,B117)</f>
        <v>5147357.0209523961</v>
      </c>
      <c r="G117" s="21">
        <f>SUMIFS($E$2:E117,$A$2:A117,A117)</f>
        <v>69458729.151090324</v>
      </c>
      <c r="H117" s="21">
        <f>SUMIFS($F$2:F117,$A$2:A117,A117)</f>
        <v>57501419.10211274</v>
      </c>
    </row>
    <row r="118" spans="1:8">
      <c r="A118" t="s">
        <v>212</v>
      </c>
      <c r="B118" s="18">
        <v>2037</v>
      </c>
      <c r="C118" s="21">
        <f>SUMIFS(Annual_Cost!$Q$2:$Q$313,Annual_Cost!$A$2:$A$313,A118,Annual_Cost!$B$2:$B$313,B118)</f>
        <v>0</v>
      </c>
      <c r="D118" s="21">
        <f>SUMIFS(Annual_Cost!$R$2:$R$313,Annual_Cost!$A$2:$A$313,A118,Annual_Cost!$B$2:$B$313,B118)</f>
        <v>7159409.3086640816</v>
      </c>
      <c r="E118" s="21">
        <f>SUMIFS(Annual_Cost!$S$2:$S$313,Annual_Cost!$A$2:$A$313,A118,Annual_Cost!$B$2:$B$313,B118)</f>
        <v>7159409.3086640816</v>
      </c>
      <c r="F118" s="21">
        <f>SUMIFS(Annual_Cost!$W$2:$W$313,Annual_Cost!$A$2:$A$313,A118,Annual_Cost!$B$2:$B$313,B118)</f>
        <v>5021465.6431632712</v>
      </c>
      <c r="G118" s="21">
        <f>SUMIFS($E$2:E118,$A$2:A118,A118)</f>
        <v>76618138.459754407</v>
      </c>
      <c r="H118" s="21">
        <f>SUMIFS($F$2:F118,$A$2:A118,A118)</f>
        <v>62522884.745276012</v>
      </c>
    </row>
    <row r="119" spans="1:8">
      <c r="A119" t="s">
        <v>212</v>
      </c>
      <c r="B119" s="18">
        <v>2038</v>
      </c>
      <c r="C119" s="21">
        <f>SUMIFS(Annual_Cost!$Q$2:$Q$313,Annual_Cost!$A$2:$A$313,A119,Annual_Cost!$B$2:$B$313,B119)</f>
        <v>0</v>
      </c>
      <c r="D119" s="21">
        <f>SUMIFS(Annual_Cost!$R$2:$R$313,Annual_Cost!$A$2:$A$313,A119,Annual_Cost!$B$2:$B$313,B119)</f>
        <v>7192259.943259499</v>
      </c>
      <c r="E119" s="21">
        <f>SUMIFS(Annual_Cost!$S$2:$S$313,Annual_Cost!$A$2:$A$313,A119,Annual_Cost!$B$2:$B$313,B119)</f>
        <v>7192259.943259499</v>
      </c>
      <c r="F119" s="21">
        <f>SUMIFS(Annual_Cost!$W$2:$W$313,Annual_Cost!$A$2:$A$313,A119,Annual_Cost!$B$2:$B$313,B119)</f>
        <v>4897579.0459418138</v>
      </c>
      <c r="G119" s="21">
        <f>SUMIFS($E$2:E119,$A$2:A119,A119)</f>
        <v>83810398.4030139</v>
      </c>
      <c r="H119" s="21">
        <f>SUMIFS($F$2:F119,$A$2:A119,A119)</f>
        <v>67420463.791217819</v>
      </c>
    </row>
    <row r="120" spans="1:8">
      <c r="A120" t="s">
        <v>212</v>
      </c>
      <c r="B120" s="18">
        <v>2039</v>
      </c>
      <c r="C120" s="21">
        <f>SUMIFS(Annual_Cost!$Q$2:$Q$313,Annual_Cost!$A$2:$A$313,A120,Annual_Cost!$B$2:$B$313,B120)</f>
        <v>0</v>
      </c>
      <c r="D120" s="21">
        <f>SUMIFS(Annual_Cost!$R$2:$R$313,Annual_Cost!$A$2:$A$313,A120,Annual_Cost!$B$2:$B$313,B120)</f>
        <v>7223727.2703919541</v>
      </c>
      <c r="E120" s="21">
        <f>SUMIFS(Annual_Cost!$S$2:$S$313,Annual_Cost!$A$2:$A$313,A120,Annual_Cost!$B$2:$B$313,B120)</f>
        <v>7223727.2703919541</v>
      </c>
      <c r="F120" s="21">
        <f>SUMIFS(Annual_Cost!$W$2:$W$313,Annual_Cost!$A$2:$A$313,A120,Annual_Cost!$B$2:$B$313,B120)</f>
        <v>4775734.722833652</v>
      </c>
      <c r="G120" s="21">
        <f>SUMIFS($E$2:E120,$A$2:A120,A120)</f>
        <v>91034125.673405856</v>
      </c>
      <c r="H120" s="21">
        <f>SUMIFS($F$2:F120,$A$2:A120,A120)</f>
        <v>72196198.514051467</v>
      </c>
    </row>
    <row r="121" spans="1:8">
      <c r="A121" t="s">
        <v>212</v>
      </c>
      <c r="B121" s="18">
        <v>2040</v>
      </c>
      <c r="C121" s="21">
        <f>SUMIFS(Annual_Cost!$Q$2:$Q$313,Annual_Cost!$A$2:$A$313,A121,Annual_Cost!$B$2:$B$313,B121)</f>
        <v>0</v>
      </c>
      <c r="D121" s="21">
        <f>SUMIFS(Annual_Cost!$R$2:$R$313,Annual_Cost!$A$2:$A$313,A121,Annual_Cost!$B$2:$B$313,B121)</f>
        <v>7253866.3999378504</v>
      </c>
      <c r="E121" s="21">
        <f>SUMIFS(Annual_Cost!$S$2:$S$313,Annual_Cost!$A$2:$A$313,A121,Annual_Cost!$B$2:$B$313,B121)</f>
        <v>7253866.3999378504</v>
      </c>
      <c r="F121" s="21">
        <f>SUMIFS(Annual_Cost!$W$2:$W$313,Annual_Cost!$A$2:$A$313,A121,Annual_Cost!$B$2:$B$313,B121)</f>
        <v>4655980.8136197263</v>
      </c>
      <c r="G121" s="21">
        <f>SUMIFS($E$2:E121,$A$2:A121,A121)</f>
        <v>98287992.073343709</v>
      </c>
      <c r="H121" s="21">
        <f>SUMIFS($F$2:F121,$A$2:A121,A121)</f>
        <v>76852179.3276712</v>
      </c>
    </row>
    <row r="122" spans="1:8">
      <c r="A122" t="s">
        <v>212</v>
      </c>
      <c r="B122" s="18">
        <v>2041</v>
      </c>
      <c r="C122" s="21">
        <f>SUMIFS(Annual_Cost!$Q$2:$Q$313,Annual_Cost!$A$2:$A$313,A122,Annual_Cost!$B$2:$B$313,B122)</f>
        <v>0</v>
      </c>
      <c r="D122" s="21">
        <f>SUMIFS(Annual_Cost!$R$2:$R$313,Annual_Cost!$A$2:$A$313,A122,Annual_Cost!$B$2:$B$313,B122)</f>
        <v>7282653.299366653</v>
      </c>
      <c r="E122" s="21">
        <f>SUMIFS(Annual_Cost!$S$2:$S$313,Annual_Cost!$A$2:$A$313,A122,Annual_Cost!$B$2:$B$313,B122)</f>
        <v>7282653.299366653</v>
      </c>
      <c r="F122" s="21">
        <f>SUMIFS(Annual_Cost!$W$2:$W$313,Annual_Cost!$A$2:$A$313,A122,Annual_Cost!$B$2:$B$313,B122)</f>
        <v>4538308.7659675842</v>
      </c>
      <c r="G122" s="21">
        <f>SUMIFS($E$2:E122,$A$2:A122,A122)</f>
        <v>105570645.37271036</v>
      </c>
      <c r="H122" s="21">
        <f>SUMIFS($F$2:F122,$A$2:A122,A122)</f>
        <v>81390488.093638778</v>
      </c>
    </row>
    <row r="123" spans="1:8">
      <c r="A123" t="s">
        <v>212</v>
      </c>
      <c r="B123" s="18">
        <v>2042</v>
      </c>
      <c r="C123" s="21">
        <f>SUMIFS(Annual_Cost!$Q$2:$Q$313,Annual_Cost!$A$2:$A$313,A123,Annual_Cost!$B$2:$B$313,B123)</f>
        <v>0</v>
      </c>
      <c r="D123" s="21">
        <f>SUMIFS(Annual_Cost!$R$2:$R$313,Annual_Cost!$A$2:$A$313,A123,Annual_Cost!$B$2:$B$313,B123)</f>
        <v>7310106.9474168587</v>
      </c>
      <c r="E123" s="21">
        <f>SUMIFS(Annual_Cost!$S$2:$S$313,Annual_Cost!$A$2:$A$313,A123,Annual_Cost!$B$2:$B$313,B123)</f>
        <v>7310106.9474168587</v>
      </c>
      <c r="F123" s="21">
        <f>SUMIFS(Annual_Cost!$W$2:$W$313,Annual_Cost!$A$2:$A$313,A123,Annual_Cost!$B$2:$B$313,B123)</f>
        <v>4422734.9240713175</v>
      </c>
      <c r="G123" s="21">
        <f>SUMIFS($E$2:E123,$A$2:A123,A123)</f>
        <v>112880752.32012722</v>
      </c>
      <c r="H123" s="21">
        <f>SUMIFS($F$2:F123,$A$2:A123,A123)</f>
        <v>85813223.01771009</v>
      </c>
    </row>
    <row r="124" spans="1:8">
      <c r="A124" t="s">
        <v>212</v>
      </c>
      <c r="B124" s="18">
        <v>2043</v>
      </c>
      <c r="C124" s="21">
        <f>SUMIFS(Annual_Cost!$Q$2:$Q$313,Annual_Cost!$A$2:$A$313,A124,Annual_Cost!$B$2:$B$313,B124)</f>
        <v>0</v>
      </c>
      <c r="D124" s="21">
        <f>SUMIFS(Annual_Cost!$R$2:$R$313,Annual_Cost!$A$2:$A$313,A124,Annual_Cost!$B$2:$B$313,B124)</f>
        <v>7338640.130541442</v>
      </c>
      <c r="E124" s="21">
        <f>SUMIFS(Annual_Cost!$S$2:$S$313,Annual_Cost!$A$2:$A$313,A124,Annual_Cost!$B$2:$B$313,B124)</f>
        <v>7338640.130541442</v>
      </c>
      <c r="F124" s="21">
        <f>SUMIFS(Annual_Cost!$W$2:$W$313,Annual_Cost!$A$2:$A$313,A124,Annual_Cost!$B$2:$B$313,B124)</f>
        <v>4310677.6399164964</v>
      </c>
      <c r="G124" s="21">
        <f>SUMIFS($E$2:E124,$A$2:A124,A124)</f>
        <v>120219392.45066866</v>
      </c>
      <c r="H124" s="21">
        <f>SUMIFS($F$2:F124,$A$2:A124,A124)</f>
        <v>90123900.657626584</v>
      </c>
    </row>
    <row r="125" spans="1:8">
      <c r="A125" t="s">
        <v>212</v>
      </c>
      <c r="B125" s="18">
        <v>2044</v>
      </c>
      <c r="C125" s="21">
        <f>SUMIFS(Annual_Cost!$Q$2:$Q$313,Annual_Cost!$A$2:$A$313,A125,Annual_Cost!$B$2:$B$313,B125)</f>
        <v>0</v>
      </c>
      <c r="D125" s="21">
        <f>SUMIFS(Annual_Cost!$R$2:$R$313,Annual_Cost!$A$2:$A$313,A125,Annual_Cost!$B$2:$B$313,B125)</f>
        <v>7363771.4346368173</v>
      </c>
      <c r="E125" s="21">
        <f>SUMIFS(Annual_Cost!$S$2:$S$313,Annual_Cost!$A$2:$A$313,A125,Annual_Cost!$B$2:$B$313,B125)</f>
        <v>7363771.4346368173</v>
      </c>
      <c r="F125" s="21">
        <f>SUMIFS(Annual_Cost!$W$2:$W$313,Annual_Cost!$A$2:$A$313,A125,Annual_Cost!$B$2:$B$313,B125)</f>
        <v>4199455.9538101796</v>
      </c>
      <c r="G125" s="21">
        <f>SUMIFS($E$2:E125,$A$2:A125,A125)</f>
        <v>127583163.88530548</v>
      </c>
      <c r="H125" s="21">
        <f>SUMIFS($F$2:F125,$A$2:A125,A125)</f>
        <v>94323356.611436769</v>
      </c>
    </row>
    <row r="126" spans="1:8">
      <c r="A126" t="s">
        <v>212</v>
      </c>
      <c r="B126" s="18">
        <v>2045</v>
      </c>
      <c r="C126" s="21">
        <f>SUMIFS(Annual_Cost!$Q$2:$Q$313,Annual_Cost!$A$2:$A$313,A126,Annual_Cost!$B$2:$B$313,B126)</f>
        <v>0</v>
      </c>
      <c r="D126" s="21">
        <f>SUMIFS(Annual_Cost!$R$2:$R$313,Annual_Cost!$A$2:$A$313,A126,Annual_Cost!$B$2:$B$313,B126)</f>
        <v>7387608.464611914</v>
      </c>
      <c r="E126" s="21">
        <f>SUMIFS(Annual_Cost!$S$2:$S$313,Annual_Cost!$A$2:$A$313,A126,Annual_Cost!$B$2:$B$313,B126)</f>
        <v>7387608.464611914</v>
      </c>
      <c r="F126" s="21">
        <f>SUMIFS(Annual_Cost!$W$2:$W$313,Annual_Cost!$A$2:$A$313,A126,Annual_Cost!$B$2:$B$313,B126)</f>
        <v>4090339.6882773535</v>
      </c>
      <c r="G126" s="21">
        <f>SUMIFS($E$2:E126,$A$2:A126,A126)</f>
        <v>134970772.34991738</v>
      </c>
      <c r="H126" s="21">
        <f>SUMIFS($F$2:F126,$A$2:A126,A126)</f>
        <v>98413696.299714118</v>
      </c>
    </row>
    <row r="127" spans="1:8">
      <c r="A127" t="s">
        <v>212</v>
      </c>
      <c r="B127" s="18">
        <v>2046</v>
      </c>
      <c r="C127" s="21">
        <f>SUMIFS(Annual_Cost!$Q$2:$Q$313,Annual_Cost!$A$2:$A$313,A127,Annual_Cost!$B$2:$B$313,B127)</f>
        <v>0</v>
      </c>
      <c r="D127" s="21">
        <f>SUMIFS(Annual_Cost!$R$2:$R$313,Annual_Cost!$A$2:$A$313,A127,Annual_Cost!$B$2:$B$313,B127)</f>
        <v>7410197.4396595526</v>
      </c>
      <c r="E127" s="21">
        <f>SUMIFS(Annual_Cost!$S$2:$S$313,Annual_Cost!$A$2:$A$313,A127,Annual_Cost!$B$2:$B$313,B127)</f>
        <v>7410197.4396595526</v>
      </c>
      <c r="F127" s="21">
        <f>SUMIFS(Annual_Cost!$W$2:$W$313,Annual_Cost!$A$2:$A$313,A127,Annual_Cost!$B$2:$B$313,B127)</f>
        <v>3983346.2680321857</v>
      </c>
      <c r="G127" s="21">
        <f>SUMIFS($E$2:E127,$A$2:A127,A127)</f>
        <v>142380969.78957695</v>
      </c>
      <c r="H127" s="21">
        <f>SUMIFS($F$2:F127,$A$2:A127,A127)</f>
        <v>102397042.56774631</v>
      </c>
    </row>
    <row r="128" spans="1:8">
      <c r="A128" t="s">
        <v>212</v>
      </c>
      <c r="B128" s="18">
        <v>2047</v>
      </c>
      <c r="C128" s="21">
        <f>SUMIFS(Annual_Cost!$Q$2:$Q$313,Annual_Cost!$A$2:$A$313,A128,Annual_Cost!$B$2:$B$313,B128)</f>
        <v>0</v>
      </c>
      <c r="D128" s="21">
        <f>SUMIFS(Annual_Cost!$R$2:$R$313,Annual_Cost!$A$2:$A$313,A128,Annual_Cost!$B$2:$B$313,B128)</f>
        <v>7431544.0489615481</v>
      </c>
      <c r="E128" s="21">
        <f>SUMIFS(Annual_Cost!$S$2:$S$313,Annual_Cost!$A$2:$A$313,A128,Annual_Cost!$B$2:$B$313,B128)</f>
        <v>7431544.0489615481</v>
      </c>
      <c r="F128" s="21">
        <f>SUMIFS(Annual_Cost!$W$2:$W$313,Annual_Cost!$A$2:$A$313,A128,Annual_Cost!$B$2:$B$313,B128)</f>
        <v>3878467.109131638</v>
      </c>
      <c r="G128" s="21">
        <f>SUMIFS($E$2:E128,$A$2:A128,A128)</f>
        <v>149812513.8385385</v>
      </c>
      <c r="H128" s="21">
        <f>SUMIFS($F$2:F128,$A$2:A128,A128)</f>
        <v>106275509.67687795</v>
      </c>
    </row>
    <row r="129" spans="1:8">
      <c r="A129" t="s">
        <v>212</v>
      </c>
      <c r="B129" s="18">
        <v>2048</v>
      </c>
      <c r="C129" s="21">
        <f>SUMIFS(Annual_Cost!$Q$2:$Q$313,Annual_Cost!$A$2:$A$313,A129,Annual_Cost!$B$2:$B$313,B129)</f>
        <v>0</v>
      </c>
      <c r="D129" s="21">
        <f>SUMIFS(Annual_Cost!$R$2:$R$313,Annual_Cost!$A$2:$A$313,A129,Annual_Cost!$B$2:$B$313,B129)</f>
        <v>7447487.6346771289</v>
      </c>
      <c r="E129" s="21">
        <f>SUMIFS(Annual_Cost!$S$2:$S$313,Annual_Cost!$A$2:$A$313,A129,Annual_Cost!$B$2:$B$313,B129)</f>
        <v>7447487.6346771289</v>
      </c>
      <c r="F129" s="21">
        <f>SUMIFS(Annual_Cost!$W$2:$W$313,Annual_Cost!$A$2:$A$313,A129,Annual_Cost!$B$2:$B$313,B129)</f>
        <v>3773580.5310230856</v>
      </c>
      <c r="G129" s="21">
        <f>SUMIFS($E$2:E129,$A$2:A129,A129)</f>
        <v>157260001.47321564</v>
      </c>
      <c r="H129" s="21">
        <f>SUMIFS($F$2:F129,$A$2:A129,A129)</f>
        <v>110049090.20790103</v>
      </c>
    </row>
    <row r="130" spans="1:8">
      <c r="A130" t="s">
        <v>212</v>
      </c>
      <c r="B130" s="18">
        <v>2049</v>
      </c>
      <c r="C130" s="21">
        <f>SUMIFS(Annual_Cost!$Q$2:$Q$313,Annual_Cost!$A$2:$A$313,A130,Annual_Cost!$B$2:$B$313,B130)</f>
        <v>0</v>
      </c>
      <c r="D130" s="21">
        <f>SUMIFS(Annual_Cost!$R$2:$R$313,Annual_Cost!$A$2:$A$313,A130,Annual_Cost!$B$2:$B$313,B130)</f>
        <v>7466172.0145144435</v>
      </c>
      <c r="E130" s="21">
        <f>SUMIFS(Annual_Cost!$S$2:$S$313,Annual_Cost!$A$2:$A$313,A130,Annual_Cost!$B$2:$B$313,B130)</f>
        <v>7466172.0145144435</v>
      </c>
      <c r="F130" s="21">
        <f>SUMIFS(Annual_Cost!$W$2:$W$313,Annual_Cost!$A$2:$A$313,A130,Annual_Cost!$B$2:$B$313,B130)</f>
        <v>3672861.8952535721</v>
      </c>
      <c r="G130" s="21">
        <f>SUMIFS($E$2:E130,$A$2:A130,A130)</f>
        <v>164726173.48773009</v>
      </c>
      <c r="H130" s="21">
        <f>SUMIFS($F$2:F130,$A$2:A130,A130)</f>
        <v>113721952.1031546</v>
      </c>
    </row>
    <row r="131" spans="1:8">
      <c r="A131" t="s">
        <v>212</v>
      </c>
      <c r="B131" s="18">
        <v>2050</v>
      </c>
      <c r="C131" s="21">
        <f>SUMIFS(Annual_Cost!$Q$2:$Q$313,Annual_Cost!$A$2:$A$313,A131,Annual_Cost!$B$2:$B$313,B131)</f>
        <v>0</v>
      </c>
      <c r="D131" s="21">
        <f>SUMIFS(Annual_Cost!$R$2:$R$313,Annual_Cost!$A$2:$A$313,A131,Annual_Cost!$B$2:$B$313,B131)</f>
        <v>7483668.3307529921</v>
      </c>
      <c r="E131" s="21">
        <f>SUMIFS(Annual_Cost!$S$2:$S$313,Annual_Cost!$A$2:$A$313,A131,Annual_Cost!$B$2:$B$313,B131)</f>
        <v>7483668.3307529921</v>
      </c>
      <c r="F131" s="21">
        <f>SUMIFS(Annual_Cost!$W$2:$W$313,Annual_Cost!$A$2:$A$313,A131,Annual_Cost!$B$2:$B$313,B131)</f>
        <v>3574241.6732747369</v>
      </c>
      <c r="G131" s="21">
        <f>SUMIFS($E$2:E131,$A$2:A131,A131)</f>
        <v>172209841.81848308</v>
      </c>
      <c r="H131" s="21">
        <f>SUMIFS($F$2:F131,$A$2:A131,A131)</f>
        <v>117296193.77642934</v>
      </c>
    </row>
    <row r="132" spans="1:8">
      <c r="A132" t="s">
        <v>223</v>
      </c>
      <c r="B132" s="18">
        <v>2025</v>
      </c>
      <c r="C132" s="21">
        <f>SUMIFS(Annual_Cost!$Q$2:$Q$313,Annual_Cost!$A$2:$A$313,A132,Annual_Cost!$B$2:$B$313,B132)</f>
        <v>0</v>
      </c>
      <c r="D132" s="21">
        <f>SUMIFS(Annual_Cost!$R$2:$R$313,Annual_Cost!$A$2:$A$313,A132,Annual_Cost!$B$2:$B$313,B132)</f>
        <v>0</v>
      </c>
      <c r="E132" s="21">
        <f>SUMIFS(Annual_Cost!$S$2:$S$313,Annual_Cost!$A$2:$A$313,A132,Annual_Cost!$B$2:$B$313,B132)</f>
        <v>0</v>
      </c>
      <c r="F132" s="21">
        <f>SUMIFS(Annual_Cost!$W$2:$W$313,Annual_Cost!$A$2:$A$313,A132,Annual_Cost!$B$2:$B$313,B132)</f>
        <v>0</v>
      </c>
      <c r="G132" s="21">
        <f>SUMIFS($E$2:E132,$A$2:A132,A132)</f>
        <v>0</v>
      </c>
      <c r="H132" s="21">
        <f>SUMIFS($F$2:F132,$A$2:A132,A132)</f>
        <v>0</v>
      </c>
    </row>
    <row r="133" spans="1:8">
      <c r="A133" t="s">
        <v>223</v>
      </c>
      <c r="B133" s="18">
        <v>2026</v>
      </c>
      <c r="C133" s="21">
        <f>SUMIFS(Annual_Cost!$Q$2:$Q$313,Annual_Cost!$A$2:$A$313,A133,Annual_Cost!$B$2:$B$313,B133)</f>
        <v>0</v>
      </c>
      <c r="D133" s="21">
        <f>SUMIFS(Annual_Cost!$R$2:$R$313,Annual_Cost!$A$2:$A$313,A133,Annual_Cost!$B$2:$B$313,B133)</f>
        <v>386831.3281376253</v>
      </c>
      <c r="E133" s="21">
        <f>SUMIFS(Annual_Cost!$S$2:$S$313,Annual_Cost!$A$2:$A$313,A133,Annual_Cost!$B$2:$B$313,B133)</f>
        <v>386831.3281376253</v>
      </c>
      <c r="F133" s="21">
        <f>SUMIFS(Annual_Cost!$W$2:$W$313,Annual_Cost!$A$2:$A$313,A133,Annual_Cost!$B$2:$B$313,B133)</f>
        <v>375564.39625012164</v>
      </c>
      <c r="G133" s="21">
        <f>SUMIFS($E$2:E133,$A$2:A133,A133)</f>
        <v>386831.3281376253</v>
      </c>
      <c r="H133" s="21">
        <f>SUMIFS($F$2:F133,$A$2:A133,A133)</f>
        <v>375564.39625012164</v>
      </c>
    </row>
    <row r="134" spans="1:8">
      <c r="A134" t="s">
        <v>223</v>
      </c>
      <c r="B134" s="18">
        <v>2027</v>
      </c>
      <c r="C134" s="21">
        <f>SUMIFS(Annual_Cost!$Q$2:$Q$313,Annual_Cost!$A$2:$A$313,A134,Annual_Cost!$B$2:$B$313,B134)</f>
        <v>0</v>
      </c>
      <c r="D134" s="21">
        <f>SUMIFS(Annual_Cost!$R$2:$R$313,Annual_Cost!$A$2:$A$313,A134,Annual_Cost!$B$2:$B$313,B134)</f>
        <v>779341.05359188269</v>
      </c>
      <c r="E134" s="21">
        <f>SUMIFS(Annual_Cost!$S$2:$S$313,Annual_Cost!$A$2:$A$313,A134,Annual_Cost!$B$2:$B$313,B134)</f>
        <v>779341.05359188269</v>
      </c>
      <c r="F134" s="21">
        <f>SUMIFS(Annual_Cost!$W$2:$W$313,Annual_Cost!$A$2:$A$313,A134,Annual_Cost!$B$2:$B$313,B134)</f>
        <v>734603.68893569859</v>
      </c>
      <c r="G134" s="21">
        <f>SUMIFS($E$2:E134,$A$2:A134,A134)</f>
        <v>1166172.3817295081</v>
      </c>
      <c r="H134" s="21">
        <f>SUMIFS($F$2:F134,$A$2:A134,A134)</f>
        <v>1110168.0851858202</v>
      </c>
    </row>
    <row r="135" spans="1:8">
      <c r="A135" t="s">
        <v>223</v>
      </c>
      <c r="B135" s="18">
        <v>2028</v>
      </c>
      <c r="C135" s="21">
        <f>SUMIFS(Annual_Cost!$Q$2:$Q$313,Annual_Cost!$A$2:$A$313,A135,Annual_Cost!$B$2:$B$313,B135)</f>
        <v>0</v>
      </c>
      <c r="D135" s="21">
        <f>SUMIFS(Annual_Cost!$R$2:$R$313,Annual_Cost!$A$2:$A$313,A135,Annual_Cost!$B$2:$B$313,B135)</f>
        <v>1177259.5812218599</v>
      </c>
      <c r="E135" s="21">
        <f>SUMIFS(Annual_Cost!$S$2:$S$313,Annual_Cost!$A$2:$A$313,A135,Annual_Cost!$B$2:$B$313,B135)</f>
        <v>1177259.5812218599</v>
      </c>
      <c r="F135" s="21">
        <f>SUMIFS(Annual_Cost!$W$2:$W$313,Annual_Cost!$A$2:$A$313,A135,Annual_Cost!$B$2:$B$313,B135)</f>
        <v>1077359.2866487787</v>
      </c>
      <c r="G135" s="21">
        <f>SUMIFS($E$2:E135,$A$2:A135,A135)</f>
        <v>2343431.9629513677</v>
      </c>
      <c r="H135" s="21">
        <f>SUMIFS($F$2:F135,$A$2:A135,A135)</f>
        <v>2187527.3718345989</v>
      </c>
    </row>
    <row r="136" spans="1:8">
      <c r="A136" t="s">
        <v>223</v>
      </c>
      <c r="B136" s="18">
        <v>2029</v>
      </c>
      <c r="C136" s="21">
        <f>SUMIFS(Annual_Cost!$Q$2:$Q$313,Annual_Cost!$A$2:$A$313,A136,Annual_Cost!$B$2:$B$313,B136)</f>
        <v>0</v>
      </c>
      <c r="D136" s="21">
        <f>SUMIFS(Annual_Cost!$R$2:$R$313,Annual_Cost!$A$2:$A$313,A136,Annual_Cost!$B$2:$B$313,B136)</f>
        <v>1184118.9939145879</v>
      </c>
      <c r="E136" s="21">
        <f>SUMIFS(Annual_Cost!$S$2:$S$313,Annual_Cost!$A$2:$A$313,A136,Annual_Cost!$B$2:$B$313,B136)</f>
        <v>1184118.9939145879</v>
      </c>
      <c r="F136" s="21">
        <f>SUMIFS(Annual_Cost!$W$2:$W$313,Annual_Cost!$A$2:$A$313,A136,Annual_Cost!$B$2:$B$313,B136)</f>
        <v>1052074.3892840678</v>
      </c>
      <c r="G136" s="21">
        <f>SUMIFS($E$2:E136,$A$2:A136,A136)</f>
        <v>3527550.9568659556</v>
      </c>
      <c r="H136" s="21">
        <f>SUMIFS($F$2:F136,$A$2:A136,A136)</f>
        <v>3239601.7611186667</v>
      </c>
    </row>
    <row r="137" spans="1:8">
      <c r="A137" t="s">
        <v>223</v>
      </c>
      <c r="B137" s="18">
        <v>2030</v>
      </c>
      <c r="C137" s="21">
        <f>SUMIFS(Annual_Cost!$Q$2:$Q$313,Annual_Cost!$A$2:$A$313,A137,Annual_Cost!$B$2:$B$313,B137)</f>
        <v>0</v>
      </c>
      <c r="D137" s="21">
        <f>SUMIFS(Annual_Cost!$R$2:$R$313,Annual_Cost!$A$2:$A$313,A137,Annual_Cost!$B$2:$B$313,B137)</f>
        <v>1191932.4311064319</v>
      </c>
      <c r="E137" s="21">
        <f>SUMIFS(Annual_Cost!$S$2:$S$313,Annual_Cost!$A$2:$A$313,A137,Annual_Cost!$B$2:$B$313,B137)</f>
        <v>1191932.4311064319</v>
      </c>
      <c r="F137" s="21">
        <f>SUMIFS(Annual_Cost!$W$2:$W$313,Annual_Cost!$A$2:$A$313,A137,Annual_Cost!$B$2:$B$313,B137)</f>
        <v>1028171.3854647806</v>
      </c>
      <c r="G137" s="21">
        <f>SUMIFS($E$2:E137,$A$2:A137,A137)</f>
        <v>4719483.3879723875</v>
      </c>
      <c r="H137" s="21">
        <f>SUMIFS($F$2:F137,$A$2:A137,A137)</f>
        <v>4267773.1465834472</v>
      </c>
    </row>
    <row r="138" spans="1:8">
      <c r="A138" t="s">
        <v>223</v>
      </c>
      <c r="B138" s="18">
        <v>2031</v>
      </c>
      <c r="C138" s="21">
        <f>SUMIFS(Annual_Cost!$Q$2:$Q$313,Annual_Cost!$A$2:$A$313,A138,Annual_Cost!$B$2:$B$313,B138)</f>
        <v>0</v>
      </c>
      <c r="D138" s="21">
        <f>SUMIFS(Annual_Cost!$R$2:$R$313,Annual_Cost!$A$2:$A$313,A138,Annual_Cost!$B$2:$B$313,B138)</f>
        <v>1199487.6151383482</v>
      </c>
      <c r="E138" s="21">
        <f>SUMIFS(Annual_Cost!$S$2:$S$313,Annual_Cost!$A$2:$A$313,A138,Annual_Cost!$B$2:$B$313,B138)</f>
        <v>1199487.6151383482</v>
      </c>
      <c r="F138" s="21">
        <f>SUMIFS(Annual_Cost!$W$2:$W$313,Annual_Cost!$A$2:$A$313,A138,Annual_Cost!$B$2:$B$313,B138)</f>
        <v>1004551.993765389</v>
      </c>
      <c r="G138" s="21">
        <f>SUMIFS($E$2:E138,$A$2:A138,A138)</f>
        <v>5918971.0031107357</v>
      </c>
      <c r="H138" s="21">
        <f>SUMIFS($F$2:F138,$A$2:A138,A138)</f>
        <v>5272325.1403488358</v>
      </c>
    </row>
    <row r="139" spans="1:8">
      <c r="A139" t="s">
        <v>223</v>
      </c>
      <c r="B139" s="18">
        <v>2032</v>
      </c>
      <c r="C139" s="21">
        <f>SUMIFS(Annual_Cost!$Q$2:$Q$313,Annual_Cost!$A$2:$A$313,A139,Annual_Cost!$B$2:$B$313,B139)</f>
        <v>0</v>
      </c>
      <c r="D139" s="21">
        <f>SUMIFS(Annual_Cost!$R$2:$R$313,Annual_Cost!$A$2:$A$313,A139,Annual_Cost!$B$2:$B$313,B139)</f>
        <v>1206788.2783265281</v>
      </c>
      <c r="E139" s="21">
        <f>SUMIFS(Annual_Cost!$S$2:$S$313,Annual_Cost!$A$2:$A$313,A139,Annual_Cost!$B$2:$B$313,B139)</f>
        <v>1206788.2783265281</v>
      </c>
      <c r="F139" s="21">
        <f>SUMIFS(Annual_Cost!$W$2:$W$313,Annual_Cost!$A$2:$A$313,A139,Annual_Cost!$B$2:$B$313,B139)</f>
        <v>981229.30509596062</v>
      </c>
      <c r="G139" s="21">
        <f>SUMIFS($E$2:E139,$A$2:A139,A139)</f>
        <v>7125759.2814372638</v>
      </c>
      <c r="H139" s="21">
        <f>SUMIFS($F$2:F139,$A$2:A139,A139)</f>
        <v>6253554.4454447962</v>
      </c>
    </row>
    <row r="140" spans="1:8">
      <c r="A140" t="s">
        <v>223</v>
      </c>
      <c r="B140" s="18">
        <v>2033</v>
      </c>
      <c r="C140" s="21">
        <f>SUMIFS(Annual_Cost!$Q$2:$Q$313,Annual_Cost!$A$2:$A$313,A140,Annual_Cost!$B$2:$B$313,B140)</f>
        <v>0</v>
      </c>
      <c r="D140" s="21">
        <f>SUMIFS(Annual_Cost!$R$2:$R$313,Annual_Cost!$A$2:$A$313,A140,Annual_Cost!$B$2:$B$313,B140)</f>
        <v>1213837.8417516241</v>
      </c>
      <c r="E140" s="21">
        <f>SUMIFS(Annual_Cost!$S$2:$S$313,Annual_Cost!$A$2:$A$313,A140,Annual_Cost!$B$2:$B$313,B140)</f>
        <v>1213837.8417516241</v>
      </c>
      <c r="F140" s="21">
        <f>SUMIFS(Annual_Cost!$W$2:$W$313,Annual_Cost!$A$2:$A$313,A140,Annual_Cost!$B$2:$B$313,B140)</f>
        <v>958214.80123842985</v>
      </c>
      <c r="G140" s="21">
        <f>SUMIFS($E$2:E140,$A$2:A140,A140)</f>
        <v>8339597.1231888877</v>
      </c>
      <c r="H140" s="21">
        <f>SUMIFS($F$2:F140,$A$2:A140,A140)</f>
        <v>7211769.246683226</v>
      </c>
    </row>
    <row r="141" spans="1:8">
      <c r="A141" t="s">
        <v>223</v>
      </c>
      <c r="B141" s="18">
        <v>2034</v>
      </c>
      <c r="C141" s="21">
        <f>SUMIFS(Annual_Cost!$Q$2:$Q$313,Annual_Cost!$A$2:$A$313,A141,Annual_Cost!$B$2:$B$313,B141)</f>
        <v>0</v>
      </c>
      <c r="D141" s="21">
        <f>SUMIFS(Annual_Cost!$R$2:$R$313,Annual_Cost!$A$2:$A$313,A141,Annual_Cost!$B$2:$B$313,B141)</f>
        <v>1220639.8456019522</v>
      </c>
      <c r="E141" s="21">
        <f>SUMIFS(Annual_Cost!$S$2:$S$313,Annual_Cost!$A$2:$A$313,A141,Annual_Cost!$B$2:$B$313,B141)</f>
        <v>1220639.8456019522</v>
      </c>
      <c r="F141" s="21">
        <f>SUMIFS(Annual_Cost!$W$2:$W$313,Annual_Cost!$A$2:$A$313,A141,Annual_Cost!$B$2:$B$313,B141)</f>
        <v>935518.80183467746</v>
      </c>
      <c r="G141" s="21">
        <f>SUMIFS($E$2:E141,$A$2:A141,A141)</f>
        <v>9560236.9687908404</v>
      </c>
      <c r="H141" s="21">
        <f>SUMIFS($F$2:F141,$A$2:A141,A141)</f>
        <v>8147288.0485179033</v>
      </c>
    </row>
    <row r="142" spans="1:8">
      <c r="A142" t="s">
        <v>223</v>
      </c>
      <c r="B142" s="18">
        <v>2035</v>
      </c>
      <c r="C142" s="21">
        <f>SUMIFS(Annual_Cost!$Q$2:$Q$313,Annual_Cost!$A$2:$A$313,A142,Annual_Cost!$B$2:$B$313,B142)</f>
        <v>0</v>
      </c>
      <c r="D142" s="21">
        <f>SUMIFS(Annual_Cost!$R$2:$R$313,Annual_Cost!$A$2:$A$313,A142,Annual_Cost!$B$2:$B$313,B142)</f>
        <v>1227197.8675809081</v>
      </c>
      <c r="E142" s="21">
        <f>SUMIFS(Annual_Cost!$S$2:$S$313,Annual_Cost!$A$2:$A$313,A142,Annual_Cost!$B$2:$B$313,B142)</f>
        <v>1227197.8675809081</v>
      </c>
      <c r="F142" s="21">
        <f>SUMIFS(Annual_Cost!$W$2:$W$313,Annual_Cost!$A$2:$A$313,A142,Annual_Cost!$B$2:$B$313,B142)</f>
        <v>913150.46564119088</v>
      </c>
      <c r="G142" s="21">
        <f>SUMIFS($E$2:E142,$A$2:A142,A142)</f>
        <v>10787434.836371748</v>
      </c>
      <c r="H142" s="21">
        <f>SUMIFS($F$2:F142,$A$2:A142,A142)</f>
        <v>9060438.5141590945</v>
      </c>
    </row>
    <row r="143" spans="1:8">
      <c r="A143" t="s">
        <v>223</v>
      </c>
      <c r="B143" s="18">
        <v>2036</v>
      </c>
      <c r="C143" s="21">
        <f>SUMIFS(Annual_Cost!$Q$2:$Q$313,Annual_Cost!$A$2:$A$313,A143,Annual_Cost!$B$2:$B$313,B143)</f>
        <v>0</v>
      </c>
      <c r="D143" s="21">
        <f>SUMIFS(Annual_Cost!$R$2:$R$313,Annual_Cost!$A$2:$A$313,A143,Annual_Cost!$B$2:$B$313,B143)</f>
        <v>1233514.9858728079</v>
      </c>
      <c r="E143" s="21">
        <f>SUMIFS(Annual_Cost!$S$2:$S$313,Annual_Cost!$A$2:$A$313,A143,Annual_Cost!$B$2:$B$313,B143)</f>
        <v>1233514.9858728079</v>
      </c>
      <c r="F143" s="21">
        <f>SUMIFS(Annual_Cost!$W$2:$W$313,Annual_Cost!$A$2:$A$313,A143,Annual_Cost!$B$2:$B$313,B143)</f>
        <v>891117.47079793818</v>
      </c>
      <c r="G143" s="21">
        <f>SUMIFS($E$2:E143,$A$2:A143,A143)</f>
        <v>12020949.822244555</v>
      </c>
      <c r="H143" s="21">
        <f>SUMIFS($F$2:F143,$A$2:A143,A143)</f>
        <v>9951555.9849570319</v>
      </c>
    </row>
    <row r="144" spans="1:8">
      <c r="A144" t="s">
        <v>223</v>
      </c>
      <c r="B144" s="18">
        <v>2037</v>
      </c>
      <c r="C144" s="21">
        <f>SUMIFS(Annual_Cost!$Q$2:$Q$313,Annual_Cost!$A$2:$A$313,A144,Annual_Cost!$B$2:$B$313,B144)</f>
        <v>0</v>
      </c>
      <c r="D144" s="21">
        <f>SUMIFS(Annual_Cost!$R$2:$R$313,Annual_Cost!$A$2:$A$313,A144,Annual_Cost!$B$2:$B$313,B144)</f>
        <v>1239594.5606205722</v>
      </c>
      <c r="E144" s="21">
        <f>SUMIFS(Annual_Cost!$S$2:$S$313,Annual_Cost!$A$2:$A$313,A144,Annual_Cost!$B$2:$B$313,B144)</f>
        <v>1239594.5606205722</v>
      </c>
      <c r="F144" s="21">
        <f>SUMIFS(Annual_Cost!$W$2:$W$313,Annual_Cost!$A$2:$A$313,A144,Annual_Cost!$B$2:$B$313,B144)</f>
        <v>869426.68441591819</v>
      </c>
      <c r="G144" s="21">
        <f>SUMIFS($E$2:E144,$A$2:A144,A144)</f>
        <v>13260544.382865127</v>
      </c>
      <c r="H144" s="21">
        <f>SUMIFS($F$2:F144,$A$2:A144,A144)</f>
        <v>10820982.66937295</v>
      </c>
    </row>
    <row r="145" spans="1:8">
      <c r="A145" t="s">
        <v>223</v>
      </c>
      <c r="B145" s="18">
        <v>2038</v>
      </c>
      <c r="C145" s="21">
        <f>SUMIFS(Annual_Cost!$Q$2:$Q$313,Annual_Cost!$A$2:$A$313,A145,Annual_Cost!$B$2:$B$313,B145)</f>
        <v>0</v>
      </c>
      <c r="D145" s="21">
        <f>SUMIFS(Annual_Cost!$R$2:$R$313,Annual_Cost!$A$2:$A$313,A145,Annual_Cost!$B$2:$B$313,B145)</f>
        <v>1245440.4739142039</v>
      </c>
      <c r="E145" s="21">
        <f>SUMIFS(Annual_Cost!$S$2:$S$313,Annual_Cost!$A$2:$A$313,A145,Annual_Cost!$B$2:$B$313,B145)</f>
        <v>1245440.4739142039</v>
      </c>
      <c r="F145" s="21">
        <f>SUMIFS(Annual_Cost!$W$2:$W$313,Annual_Cost!$A$2:$A$313,A145,Annual_Cost!$B$2:$B$313,B145)</f>
        <v>848084.35959361575</v>
      </c>
      <c r="G145" s="21">
        <f>SUMIFS($E$2:E145,$A$2:A145,A145)</f>
        <v>14505984.856779331</v>
      </c>
      <c r="H145" s="21">
        <f>SUMIFS($F$2:F145,$A$2:A145,A145)</f>
        <v>11669067.028966565</v>
      </c>
    </row>
    <row r="146" spans="1:8">
      <c r="A146" t="s">
        <v>223</v>
      </c>
      <c r="B146" s="18">
        <v>2039</v>
      </c>
      <c r="C146" s="21">
        <f>SUMIFS(Annual_Cost!$Q$2:$Q$313,Annual_Cost!$A$2:$A$313,A146,Annual_Cost!$B$2:$B$313,B146)</f>
        <v>0</v>
      </c>
      <c r="D146" s="21">
        <f>SUMIFS(Annual_Cost!$R$2:$R$313,Annual_Cost!$A$2:$A$313,A146,Annual_Cost!$B$2:$B$313,B146)</f>
        <v>1251056.4523176639</v>
      </c>
      <c r="E146" s="21">
        <f>SUMIFS(Annual_Cost!$S$2:$S$313,Annual_Cost!$A$2:$A$313,A146,Annual_Cost!$B$2:$B$313,B146)</f>
        <v>1251056.4523176639</v>
      </c>
      <c r="F146" s="21">
        <f>SUMIFS(Annual_Cost!$W$2:$W$313,Annual_Cost!$A$2:$A$313,A146,Annual_Cost!$B$2:$B$313,B146)</f>
        <v>827095.69671148004</v>
      </c>
      <c r="G146" s="21">
        <f>SUMIFS($E$2:E146,$A$2:A146,A146)</f>
        <v>15757041.309096996</v>
      </c>
      <c r="H146" s="21">
        <f>SUMIFS($F$2:F146,$A$2:A146,A146)</f>
        <v>12496162.725678045</v>
      </c>
    </row>
    <row r="147" spans="1:8">
      <c r="A147" t="s">
        <v>223</v>
      </c>
      <c r="B147" s="18">
        <v>2040</v>
      </c>
      <c r="C147" s="21">
        <f>SUMIFS(Annual_Cost!$Q$2:$Q$313,Annual_Cost!$A$2:$A$313,A147,Annual_Cost!$B$2:$B$313,B147)</f>
        <v>0</v>
      </c>
      <c r="D147" s="21">
        <f>SUMIFS(Annual_Cost!$R$2:$R$313,Annual_Cost!$A$2:$A$313,A147,Annual_Cost!$B$2:$B$313,B147)</f>
        <v>1256445.4317791159</v>
      </c>
      <c r="E147" s="21">
        <f>SUMIFS(Annual_Cost!$S$2:$S$313,Annual_Cost!$A$2:$A$313,A147,Annual_Cost!$B$2:$B$313,B147)</f>
        <v>1256445.4317791159</v>
      </c>
      <c r="F147" s="21">
        <f>SUMIFS(Annual_Cost!$W$2:$W$313,Annual_Cost!$A$2:$A$313,A147,Annual_Cost!$B$2:$B$313,B147)</f>
        <v>806464.51163945312</v>
      </c>
      <c r="G147" s="21">
        <f>SUMIFS($E$2:E147,$A$2:A147,A147)</f>
        <v>17013486.740876112</v>
      </c>
      <c r="H147" s="21">
        <f>SUMIFS($F$2:F147,$A$2:A147,A147)</f>
        <v>13302627.237317499</v>
      </c>
    </row>
    <row r="148" spans="1:8">
      <c r="A148" t="s">
        <v>223</v>
      </c>
      <c r="B148" s="18">
        <v>2041</v>
      </c>
      <c r="C148" s="21">
        <f>SUMIFS(Annual_Cost!$Q$2:$Q$313,Annual_Cost!$A$2:$A$313,A148,Annual_Cost!$B$2:$B$313,B148)</f>
        <v>0</v>
      </c>
      <c r="D148" s="21">
        <f>SUMIFS(Annual_Cost!$R$2:$R$313,Annual_Cost!$A$2:$A$313,A148,Annual_Cost!$B$2:$B$313,B148)</f>
        <v>1261610.2248638361</v>
      </c>
      <c r="E148" s="21">
        <f>SUMIFS(Annual_Cost!$S$2:$S$313,Annual_Cost!$A$2:$A$313,A148,Annual_Cost!$B$2:$B$313,B148)</f>
        <v>1261610.2248638361</v>
      </c>
      <c r="F148" s="21">
        <f>SUMIFS(Annual_Cost!$W$2:$W$313,Annual_Cost!$A$2:$A$313,A148,Annual_Cost!$B$2:$B$313,B148)</f>
        <v>786193.78231719695</v>
      </c>
      <c r="G148" s="21">
        <f>SUMIFS($E$2:E148,$A$2:A148,A148)</f>
        <v>18275096.965739947</v>
      </c>
      <c r="H148" s="21">
        <f>SUMIFS($F$2:F148,$A$2:A148,A148)</f>
        <v>14088821.019634696</v>
      </c>
    </row>
    <row r="149" spans="1:8">
      <c r="A149" t="s">
        <v>223</v>
      </c>
      <c r="B149" s="18">
        <v>2042</v>
      </c>
      <c r="C149" s="21">
        <f>SUMIFS(Annual_Cost!$Q$2:$Q$313,Annual_Cost!$A$2:$A$313,A149,Annual_Cost!$B$2:$B$313,B149)</f>
        <v>0</v>
      </c>
      <c r="D149" s="21">
        <f>SUMIFS(Annual_Cost!$R$2:$R$313,Annual_Cost!$A$2:$A$313,A149,Annual_Cost!$B$2:$B$313,B149)</f>
        <v>1266552.416780788</v>
      </c>
      <c r="E149" s="21">
        <f>SUMIFS(Annual_Cost!$S$2:$S$313,Annual_Cost!$A$2:$A$313,A149,Annual_Cost!$B$2:$B$313,B149)</f>
        <v>1266552.416780788</v>
      </c>
      <c r="F149" s="21">
        <f>SUMIFS(Annual_Cost!$W$2:$W$313,Annual_Cost!$A$2:$A$313,A149,Annual_Cost!$B$2:$B$313,B149)</f>
        <v>766285.04167681769</v>
      </c>
      <c r="G149" s="21">
        <f>SUMIFS($E$2:E149,$A$2:A149,A149)</f>
        <v>19541649.382520735</v>
      </c>
      <c r="H149" s="21">
        <f>SUMIFS($F$2:F149,$A$2:A149,A149)</f>
        <v>14855106.061311513</v>
      </c>
    </row>
    <row r="150" spans="1:8">
      <c r="A150" t="s">
        <v>223</v>
      </c>
      <c r="B150" s="18">
        <v>2043</v>
      </c>
      <c r="C150" s="21">
        <f>SUMIFS(Annual_Cost!$Q$2:$Q$313,Annual_Cost!$A$2:$A$313,A150,Annual_Cost!$B$2:$B$313,B150)</f>
        <v>0</v>
      </c>
      <c r="D150" s="21">
        <f>SUMIFS(Annual_Cost!$R$2:$R$313,Annual_Cost!$A$2:$A$313,A150,Annual_Cost!$B$2:$B$313,B150)</f>
        <v>1271272.749115756</v>
      </c>
      <c r="E150" s="21">
        <f>SUMIFS(Annual_Cost!$S$2:$S$313,Annual_Cost!$A$2:$A$313,A150,Annual_Cost!$B$2:$B$313,B150)</f>
        <v>1271272.749115756</v>
      </c>
      <c r="F150" s="21">
        <f>SUMIFS(Annual_Cost!$W$2:$W$313,Annual_Cost!$A$2:$A$313,A150,Annual_Cost!$B$2:$B$313,B150)</f>
        <v>746738.75764012255</v>
      </c>
      <c r="G150" s="21">
        <f>SUMIFS($E$2:E150,$A$2:A150,A150)</f>
        <v>20812922.131636493</v>
      </c>
      <c r="H150" s="21">
        <f>SUMIFS($F$2:F150,$A$2:A150,A150)</f>
        <v>15601844.818951637</v>
      </c>
    </row>
    <row r="151" spans="1:8">
      <c r="A151" t="s">
        <v>223</v>
      </c>
      <c r="B151" s="18">
        <v>2044</v>
      </c>
      <c r="C151" s="21">
        <f>SUMIFS(Annual_Cost!$Q$2:$Q$313,Annual_Cost!$A$2:$A$313,A151,Annual_Cost!$B$2:$B$313,B151)</f>
        <v>0</v>
      </c>
      <c r="D151" s="21">
        <f>SUMIFS(Annual_Cost!$R$2:$R$313,Annual_Cost!$A$2:$A$313,A151,Annual_Cost!$B$2:$B$313,B151)</f>
        <v>1275773.1339632198</v>
      </c>
      <c r="E151" s="21">
        <f>SUMIFS(Annual_Cost!$S$2:$S$313,Annual_Cost!$A$2:$A$313,A151,Annual_Cost!$B$2:$B$313,B151)</f>
        <v>1275773.1339632198</v>
      </c>
      <c r="F151" s="21">
        <f>SUMIFS(Annual_Cost!$W$2:$W$313,Annual_Cost!$A$2:$A$313,A151,Annual_Cost!$B$2:$B$313,B151)</f>
        <v>727555.59168128239</v>
      </c>
      <c r="G151" s="21">
        <f>SUMIFS($E$2:E151,$A$2:A151,A151)</f>
        <v>22088695.265599713</v>
      </c>
      <c r="H151" s="21">
        <f>SUMIFS($F$2:F151,$A$2:A151,A151)</f>
        <v>16329400.41063292</v>
      </c>
    </row>
    <row r="152" spans="1:8">
      <c r="A152" t="s">
        <v>223</v>
      </c>
      <c r="B152" s="18">
        <v>2045</v>
      </c>
      <c r="C152" s="21">
        <f>SUMIFS(Annual_Cost!$Q$2:$Q$313,Annual_Cost!$A$2:$A$313,A152,Annual_Cost!$B$2:$B$313,B152)</f>
        <v>0</v>
      </c>
      <c r="D152" s="21">
        <f>SUMIFS(Annual_Cost!$R$2:$R$313,Annual_Cost!$A$2:$A$313,A152,Annual_Cost!$B$2:$B$313,B152)</f>
        <v>1280056.3148652681</v>
      </c>
      <c r="E152" s="21">
        <f>SUMIFS(Annual_Cost!$S$2:$S$313,Annual_Cost!$A$2:$A$313,A152,Annual_Cost!$B$2:$B$313,B152)</f>
        <v>1280056.3148652681</v>
      </c>
      <c r="F152" s="21">
        <f>SUMIFS(Annual_Cost!$W$2:$W$313,Annual_Cost!$A$2:$A$313,A152,Annual_Cost!$B$2:$B$313,B152)</f>
        <v>708736.14553400793</v>
      </c>
      <c r="G152" s="21">
        <f>SUMIFS($E$2:E152,$A$2:A152,A152)</f>
        <v>23368751.580464981</v>
      </c>
      <c r="H152" s="21">
        <f>SUMIFS($F$2:F152,$A$2:A152,A152)</f>
        <v>17038136.556166928</v>
      </c>
    </row>
    <row r="153" spans="1:8">
      <c r="A153" t="s">
        <v>223</v>
      </c>
      <c r="B153" s="18">
        <v>2046</v>
      </c>
      <c r="C153" s="21">
        <f>SUMIFS(Annual_Cost!$Q$2:$Q$313,Annual_Cost!$A$2:$A$313,A153,Annual_Cost!$B$2:$B$313,B153)</f>
        <v>0</v>
      </c>
      <c r="D153" s="21">
        <f>SUMIFS(Annual_Cost!$R$2:$R$313,Annual_Cost!$A$2:$A$313,A153,Annual_Cost!$B$2:$B$313,B153)</f>
        <v>1284125.3150764799</v>
      </c>
      <c r="E153" s="21">
        <f>SUMIFS(Annual_Cost!$S$2:$S$313,Annual_Cost!$A$2:$A$313,A153,Annual_Cost!$B$2:$B$313,B153)</f>
        <v>1284125.3150764799</v>
      </c>
      <c r="F153" s="21">
        <f>SUMIFS(Annual_Cost!$W$2:$W$313,Annual_Cost!$A$2:$A$313,A153,Annual_Cost!$B$2:$B$313,B153)</f>
        <v>690280.63329585933</v>
      </c>
      <c r="G153" s="21">
        <f>SUMIFS($E$2:E153,$A$2:A153,A153)</f>
        <v>24652876.895541463</v>
      </c>
      <c r="H153" s="21">
        <f>SUMIFS($F$2:F153,$A$2:A153,A153)</f>
        <v>17728417.189462788</v>
      </c>
    </row>
    <row r="154" spans="1:8">
      <c r="A154" t="s">
        <v>223</v>
      </c>
      <c r="B154" s="18">
        <v>2047</v>
      </c>
      <c r="C154" s="21">
        <f>SUMIFS(Annual_Cost!$Q$2:$Q$313,Annual_Cost!$A$2:$A$313,A154,Annual_Cost!$B$2:$B$313,B154)</f>
        <v>0</v>
      </c>
      <c r="D154" s="21">
        <f>SUMIFS(Annual_Cost!$R$2:$R$313,Annual_Cost!$A$2:$A$313,A154,Annual_Cost!$B$2:$B$313,B154)</f>
        <v>1287983.3405544199</v>
      </c>
      <c r="E154" s="21">
        <f>SUMIFS(Annual_Cost!$S$2:$S$313,Annual_Cost!$A$2:$A$313,A154,Annual_Cost!$B$2:$B$313,B154)</f>
        <v>1287983.3405544199</v>
      </c>
      <c r="F154" s="21">
        <f>SUMIFS(Annual_Cost!$W$2:$W$313,Annual_Cost!$A$2:$A$313,A154,Annual_Cost!$B$2:$B$313,B154)</f>
        <v>672188.84669705306</v>
      </c>
      <c r="G154" s="21">
        <f>SUMIFS($E$2:E154,$A$2:A154,A154)</f>
        <v>25940860.236095883</v>
      </c>
      <c r="H154" s="21">
        <f>SUMIFS($F$2:F154,$A$2:A154,A154)</f>
        <v>18400606.036159843</v>
      </c>
    </row>
    <row r="155" spans="1:8">
      <c r="A155" t="s">
        <v>223</v>
      </c>
      <c r="B155" s="18">
        <v>2048</v>
      </c>
      <c r="C155" s="21">
        <f>SUMIFS(Annual_Cost!$Q$2:$Q$313,Annual_Cost!$A$2:$A$313,A155,Annual_Cost!$B$2:$B$313,B155)</f>
        <v>0</v>
      </c>
      <c r="D155" s="21">
        <f>SUMIFS(Annual_Cost!$R$2:$R$313,Annual_Cost!$A$2:$A$313,A155,Annual_Cost!$B$2:$B$313,B155)</f>
        <v>1291633.8334379562</v>
      </c>
      <c r="E155" s="21">
        <f>SUMIFS(Annual_Cost!$S$2:$S$313,Annual_Cost!$A$2:$A$313,A155,Annual_Cost!$B$2:$B$313,B155)</f>
        <v>1291633.8334379562</v>
      </c>
      <c r="F155" s="21">
        <f>SUMIFS(Annual_Cost!$W$2:$W$313,Annual_Cost!$A$2:$A$313,A155,Annual_Cost!$B$2:$B$313,B155)</f>
        <v>654460.20539562707</v>
      </c>
      <c r="G155" s="21">
        <f>SUMIFS($E$2:E155,$A$2:A155,A155)</f>
        <v>27232494.06953384</v>
      </c>
      <c r="H155" s="21">
        <f>SUMIFS($F$2:F155,$A$2:A155,A155)</f>
        <v>19055066.241555471</v>
      </c>
    </row>
    <row r="156" spans="1:8">
      <c r="A156" t="s">
        <v>223</v>
      </c>
      <c r="B156" s="18">
        <v>2049</v>
      </c>
      <c r="C156" s="21">
        <f>SUMIFS(Annual_Cost!$Q$2:$Q$313,Annual_Cost!$A$2:$A$313,A156,Annual_Cost!$B$2:$B$313,B156)</f>
        <v>0</v>
      </c>
      <c r="D156" s="21">
        <f>SUMIFS(Annual_Cost!$R$2:$R$313,Annual_Cost!$A$2:$A$313,A156,Annual_Cost!$B$2:$B$313,B156)</f>
        <v>1295080.79766026</v>
      </c>
      <c r="E156" s="21">
        <f>SUMIFS(Annual_Cost!$S$2:$S$313,Annual_Cost!$A$2:$A$313,A156,Annual_Cost!$B$2:$B$313,B156)</f>
        <v>1295080.79766026</v>
      </c>
      <c r="F156" s="21">
        <f>SUMIFS(Annual_Cost!$W$2:$W$313,Annual_Cost!$A$2:$A$313,A156,Annual_Cost!$B$2:$B$313,B156)</f>
        <v>637093.93565456395</v>
      </c>
      <c r="G156" s="21">
        <f>SUMIFS($E$2:E156,$A$2:A156,A156)</f>
        <v>28527574.867194101</v>
      </c>
      <c r="H156" s="21">
        <f>SUMIFS($F$2:F156,$A$2:A156,A156)</f>
        <v>19692160.177210037</v>
      </c>
    </row>
    <row r="157" spans="1:8">
      <c r="A157" t="s">
        <v>223</v>
      </c>
      <c r="B157" s="18">
        <v>2050</v>
      </c>
      <c r="C157" s="21">
        <f>SUMIFS(Annual_Cost!$Q$2:$Q$313,Annual_Cost!$A$2:$A$313,A157,Annual_Cost!$B$2:$B$313,B157)</f>
        <v>0</v>
      </c>
      <c r="D157" s="21">
        <f>SUMIFS(Annual_Cost!$R$2:$R$313,Annual_Cost!$A$2:$A$313,A157,Annual_Cost!$B$2:$B$313,B157)</f>
        <v>1298328.9737865601</v>
      </c>
      <c r="E157" s="21">
        <f>SUMIFS(Annual_Cost!$S$2:$S$313,Annual_Cost!$A$2:$A$313,A157,Annual_Cost!$B$2:$B$313,B157)</f>
        <v>1298328.9737865601</v>
      </c>
      <c r="F157" s="21">
        <f>SUMIFS(Annual_Cost!$W$2:$W$313,Annual_Cost!$A$2:$A$313,A157,Annual_Cost!$B$2:$B$313,B157)</f>
        <v>620089.14861423639</v>
      </c>
      <c r="G157" s="21">
        <f>SUMIFS($E$2:E157,$A$2:A157,A157)</f>
        <v>29825903.84098066</v>
      </c>
      <c r="H157" s="21">
        <f>SUMIFS($F$2:F157,$A$2:A157,A157)</f>
        <v>20312249.325824272</v>
      </c>
    </row>
    <row r="158" spans="1:8">
      <c r="A158" t="s">
        <v>76</v>
      </c>
      <c r="B158" s="18">
        <v>2025</v>
      </c>
      <c r="C158" s="21">
        <f>SUMIFS(Annual_Cost!$Q$2:$Q$313,Annual_Cost!$A$2:$A$313,A158,Annual_Cost!$B$2:$B$313,B158)</f>
        <v>0</v>
      </c>
      <c r="D158" s="21">
        <f>SUMIFS(Annual_Cost!$R$2:$R$313,Annual_Cost!$A$2:$A$313,A158,Annual_Cost!$B$2:$B$313,B158)</f>
        <v>0</v>
      </c>
      <c r="E158" s="21">
        <f>SUMIFS(Annual_Cost!$S$2:$S$313,Annual_Cost!$A$2:$A$313,A158,Annual_Cost!$B$2:$B$313,B158)</f>
        <v>0</v>
      </c>
      <c r="F158" s="21">
        <f>SUMIFS(Annual_Cost!$W$2:$W$313,Annual_Cost!$A$2:$A$313,A158,Annual_Cost!$B$2:$B$313,B158)</f>
        <v>0</v>
      </c>
      <c r="G158" s="21">
        <f>SUMIFS($E$2:E158,$A$2:A158,A158)</f>
        <v>0</v>
      </c>
      <c r="H158" s="21">
        <f>SUMIFS($F$2:F158,$A$2:A158,A158)</f>
        <v>0</v>
      </c>
    </row>
    <row r="159" spans="1:8">
      <c r="A159" t="s">
        <v>76</v>
      </c>
      <c r="B159" s="18">
        <v>2026</v>
      </c>
      <c r="C159" s="21">
        <f>SUMIFS(Annual_Cost!$Q$2:$Q$313,Annual_Cost!$A$2:$A$313,A159,Annual_Cost!$B$2:$B$313,B159)</f>
        <v>0</v>
      </c>
      <c r="D159" s="21">
        <f>SUMIFS(Annual_Cost!$R$2:$R$313,Annual_Cost!$A$2:$A$313,A159,Annual_Cost!$B$2:$B$313,B159)</f>
        <v>7330453.6682079993</v>
      </c>
      <c r="E159" s="21">
        <f>SUMIFS(Annual_Cost!$S$2:$S$313,Annual_Cost!$A$2:$A$313,A159,Annual_Cost!$B$2:$B$313,B159)</f>
        <v>7330453.6682079993</v>
      </c>
      <c r="F159" s="21">
        <f>SUMIFS(Annual_Cost!$W$2:$W$313,Annual_Cost!$A$2:$A$313,A159,Annual_Cost!$B$2:$B$313,B159)</f>
        <v>7116945.3089398034</v>
      </c>
      <c r="G159" s="21">
        <f>SUMIFS($E$2:E159,$A$2:A159,A159)</f>
        <v>7330453.6682079993</v>
      </c>
      <c r="H159" s="21">
        <f>SUMIFS($F$2:F159,$A$2:A159,A159)</f>
        <v>7116945.3089398034</v>
      </c>
    </row>
    <row r="160" spans="1:8">
      <c r="A160" t="s">
        <v>76</v>
      </c>
      <c r="B160" s="18">
        <v>2027</v>
      </c>
      <c r="C160" s="21">
        <f>SUMIFS(Annual_Cost!$Q$2:$Q$313,Annual_Cost!$A$2:$A$313,A160,Annual_Cost!$B$2:$B$313,B160)</f>
        <v>0</v>
      </c>
      <c r="D160" s="21">
        <f>SUMIFS(Annual_Cost!$R$2:$R$313,Annual_Cost!$A$2:$A$313,A160,Annual_Cost!$B$2:$B$313,B160)</f>
        <v>14768512.965566175</v>
      </c>
      <c r="E160" s="21">
        <f>SUMIFS(Annual_Cost!$S$2:$S$313,Annual_Cost!$A$2:$A$313,A160,Annual_Cost!$B$2:$B$313,B160)</f>
        <v>14768512.965566175</v>
      </c>
      <c r="F160" s="21">
        <f>SUMIFS(Annual_Cost!$W$2:$W$313,Annual_Cost!$A$2:$A$313,A160,Annual_Cost!$B$2:$B$313,B160)</f>
        <v>13920739.905331491</v>
      </c>
      <c r="G160" s="21">
        <f>SUMIFS($E$2:E160,$A$2:A160,A160)</f>
        <v>22098966.633774176</v>
      </c>
      <c r="H160" s="21">
        <f>SUMIFS($F$2:F160,$A$2:A160,A160)</f>
        <v>21037685.214271292</v>
      </c>
    </row>
    <row r="161" spans="1:8">
      <c r="A161" t="s">
        <v>76</v>
      </c>
      <c r="B161" s="18">
        <v>2028</v>
      </c>
      <c r="C161" s="21">
        <f>SUMIFS(Annual_Cost!$Q$2:$Q$313,Annual_Cost!$A$2:$A$313,A161,Annual_Cost!$B$2:$B$313,B161)</f>
        <v>0</v>
      </c>
      <c r="D161" s="21">
        <f>SUMIFS(Annual_Cost!$R$2:$R$313,Annual_Cost!$A$2:$A$313,A161,Annual_Cost!$B$2:$B$313,B161)</f>
        <v>22309361.303519804</v>
      </c>
      <c r="E161" s="21">
        <f>SUMIFS(Annual_Cost!$S$2:$S$313,Annual_Cost!$A$2:$A$313,A161,Annual_Cost!$B$2:$B$313,B161)</f>
        <v>22309361.303519804</v>
      </c>
      <c r="F161" s="21">
        <f>SUMIFS(Annual_Cost!$W$2:$W$313,Annual_Cost!$A$2:$A$313,A161,Annual_Cost!$B$2:$B$313,B161)</f>
        <v>20416225.92241228</v>
      </c>
      <c r="G161" s="21">
        <f>SUMIFS($E$2:E161,$A$2:A161,A161)</f>
        <v>44408327.937293977</v>
      </c>
      <c r="H161" s="21">
        <f>SUMIFS($F$2:F161,$A$2:A161,A161)</f>
        <v>41453911.136683568</v>
      </c>
    </row>
    <row r="162" spans="1:8">
      <c r="A162" t="s">
        <v>76</v>
      </c>
      <c r="B162" s="18">
        <v>2029</v>
      </c>
      <c r="C162" s="21">
        <f>SUMIFS(Annual_Cost!$Q$2:$Q$313,Annual_Cost!$A$2:$A$313,A162,Annual_Cost!$B$2:$B$313,B162)</f>
        <v>0</v>
      </c>
      <c r="D162" s="21">
        <f>SUMIFS(Annual_Cost!$R$2:$R$313,Annual_Cost!$A$2:$A$313,A162,Annual_Cost!$B$2:$B$313,B162)</f>
        <v>22463809.227774624</v>
      </c>
      <c r="E162" s="21">
        <f>SUMIFS(Annual_Cost!$S$2:$S$313,Annual_Cost!$A$2:$A$313,A162,Annual_Cost!$B$2:$B$313,B162)</f>
        <v>22463809.227774624</v>
      </c>
      <c r="F162" s="21">
        <f>SUMIFS(Annual_Cost!$W$2:$W$313,Annual_Cost!$A$2:$A$313,A162,Annual_Cost!$B$2:$B$313,B162)</f>
        <v>19958803.545726687</v>
      </c>
      <c r="G162" s="21">
        <f>SUMIFS($E$2:E162,$A$2:A162,A162)</f>
        <v>66872137.165068597</v>
      </c>
      <c r="H162" s="21">
        <f>SUMIFS($F$2:F162,$A$2:A162,A162)</f>
        <v>61412714.682410255</v>
      </c>
    </row>
    <row r="163" spans="1:8">
      <c r="A163" t="s">
        <v>76</v>
      </c>
      <c r="B163" s="18">
        <v>2030</v>
      </c>
      <c r="C163" s="21">
        <f>SUMIFS(Annual_Cost!$Q$2:$Q$313,Annual_Cost!$A$2:$A$313,A163,Annual_Cost!$B$2:$B$313,B163)</f>
        <v>0</v>
      </c>
      <c r="D163" s="21">
        <f>SUMIFS(Annual_Cost!$R$2:$R$313,Annual_Cost!$A$2:$A$313,A163,Annual_Cost!$B$2:$B$313,B163)</f>
        <v>22612428.954648189</v>
      </c>
      <c r="E163" s="21">
        <f>SUMIFS(Annual_Cost!$S$2:$S$313,Annual_Cost!$A$2:$A$313,A163,Annual_Cost!$B$2:$B$313,B163)</f>
        <v>22612428.954648189</v>
      </c>
      <c r="F163" s="21">
        <f>SUMIFS(Annual_Cost!$W$2:$W$313,Annual_Cost!$A$2:$A$313,A163,Annual_Cost!$B$2:$B$313,B163)</f>
        <v>19505679.852542348</v>
      </c>
      <c r="G163" s="21">
        <f>SUMIFS($E$2:E163,$A$2:A163,A163)</f>
        <v>89484566.119716793</v>
      </c>
      <c r="H163" s="21">
        <f>SUMIFS($F$2:F163,$A$2:A163,A163)</f>
        <v>80918394.534952611</v>
      </c>
    </row>
    <row r="164" spans="1:8">
      <c r="A164" t="s">
        <v>76</v>
      </c>
      <c r="B164" s="18">
        <v>2031</v>
      </c>
      <c r="C164" s="21">
        <f>SUMIFS(Annual_Cost!$Q$2:$Q$313,Annual_Cost!$A$2:$A$313,A164,Annual_Cost!$B$2:$B$313,B164)</f>
        <v>0</v>
      </c>
      <c r="D164" s="21">
        <f>SUMIFS(Annual_Cost!$R$2:$R$313,Annual_Cost!$A$2:$A$313,A164,Annual_Cost!$B$2:$B$313,B164)</f>
        <v>22756893.027953688</v>
      </c>
      <c r="E164" s="21">
        <f>SUMIFS(Annual_Cost!$S$2:$S$313,Annual_Cost!$A$2:$A$313,A164,Annual_Cost!$B$2:$B$313,B164)</f>
        <v>22756893.027953688</v>
      </c>
      <c r="F164" s="21">
        <f>SUMIFS(Annual_Cost!$W$2:$W$313,Annual_Cost!$A$2:$A$313,A164,Annual_Cost!$B$2:$B$313,B164)</f>
        <v>19058539.641945235</v>
      </c>
      <c r="G164" s="21">
        <f>SUMIFS($E$2:E164,$A$2:A164,A164)</f>
        <v>112241459.14767048</v>
      </c>
      <c r="H164" s="21">
        <f>SUMIFS($F$2:F164,$A$2:A164,A164)</f>
        <v>99976934.176897854</v>
      </c>
    </row>
    <row r="165" spans="1:8">
      <c r="A165" t="s">
        <v>76</v>
      </c>
      <c r="B165" s="18">
        <v>2032</v>
      </c>
      <c r="C165" s="21">
        <f>SUMIFS(Annual_Cost!$Q$2:$Q$313,Annual_Cost!$A$2:$A$313,A165,Annual_Cost!$B$2:$B$313,B165)</f>
        <v>0</v>
      </c>
      <c r="D165" s="21">
        <f>SUMIFS(Annual_Cost!$R$2:$R$313,Annual_Cost!$A$2:$A$313,A165,Annual_Cost!$B$2:$B$313,B165)</f>
        <v>22891771.229728162</v>
      </c>
      <c r="E165" s="21">
        <f>SUMIFS(Annual_Cost!$S$2:$S$313,Annual_Cost!$A$2:$A$313,A165,Annual_Cost!$B$2:$B$313,B165)</f>
        <v>22891771.229728162</v>
      </c>
      <c r="F165" s="21">
        <f>SUMIFS(Annual_Cost!$W$2:$W$313,Annual_Cost!$A$2:$A$313,A165,Annual_Cost!$B$2:$B$313,B165)</f>
        <v>18613104.866505977</v>
      </c>
      <c r="G165" s="21">
        <f>SUMIFS($E$2:E165,$A$2:A165,A165)</f>
        <v>135133230.37739864</v>
      </c>
      <c r="H165" s="21">
        <f>SUMIFS($F$2:F165,$A$2:A165,A165)</f>
        <v>118590039.04340383</v>
      </c>
    </row>
    <row r="166" spans="1:8">
      <c r="A166" t="s">
        <v>76</v>
      </c>
      <c r="B166" s="18">
        <v>2033</v>
      </c>
      <c r="C166" s="21">
        <f>SUMIFS(Annual_Cost!$Q$2:$Q$313,Annual_Cost!$A$2:$A$313,A166,Annual_Cost!$B$2:$B$313,B166)</f>
        <v>0</v>
      </c>
      <c r="D166" s="21">
        <f>SUMIFS(Annual_Cost!$R$2:$R$313,Annual_Cost!$A$2:$A$313,A166,Annual_Cost!$B$2:$B$313,B166)</f>
        <v>23027473.859919224</v>
      </c>
      <c r="E166" s="21">
        <f>SUMIFS(Annual_Cost!$S$2:$S$313,Annual_Cost!$A$2:$A$313,A166,Annual_Cost!$B$2:$B$313,B166)</f>
        <v>23027473.859919224</v>
      </c>
      <c r="F166" s="21">
        <f>SUMIFS(Annual_Cost!$W$2:$W$313,Annual_Cost!$A$2:$A$313,A166,Annual_Cost!$B$2:$B$313,B166)</f>
        <v>18178100.507943008</v>
      </c>
      <c r="G166" s="21">
        <f>SUMIFS($E$2:E166,$A$2:A166,A166)</f>
        <v>158160704.23731786</v>
      </c>
      <c r="H166" s="21">
        <f>SUMIFS($F$2:F166,$A$2:A166,A166)</f>
        <v>136768139.55134684</v>
      </c>
    </row>
    <row r="167" spans="1:8">
      <c r="A167" t="s">
        <v>76</v>
      </c>
      <c r="B167" s="18">
        <v>2034</v>
      </c>
      <c r="C167" s="21">
        <f>SUMIFS(Annual_Cost!$Q$2:$Q$313,Annual_Cost!$A$2:$A$313,A167,Annual_Cost!$B$2:$B$313,B167)</f>
        <v>0</v>
      </c>
      <c r="D167" s="21">
        <f>SUMIFS(Annual_Cost!$R$2:$R$313,Annual_Cost!$A$2:$A$313,A167,Annual_Cost!$B$2:$B$313,B167)</f>
        <v>23158960.76924511</v>
      </c>
      <c r="E167" s="21">
        <f>SUMIFS(Annual_Cost!$S$2:$S$313,Annual_Cost!$A$2:$A$313,A167,Annual_Cost!$B$2:$B$313,B167)</f>
        <v>23158960.76924511</v>
      </c>
      <c r="F167" s="21">
        <f>SUMIFS(Annual_Cost!$W$2:$W$313,Annual_Cost!$A$2:$A$313,A167,Annual_Cost!$B$2:$B$313,B167)</f>
        <v>17749415.03723909</v>
      </c>
      <c r="G167" s="21">
        <f>SUMIFS($E$2:E167,$A$2:A167,A167)</f>
        <v>181319665.00656298</v>
      </c>
      <c r="H167" s="21">
        <f>SUMIFS($F$2:F167,$A$2:A167,A167)</f>
        <v>154517554.58858591</v>
      </c>
    </row>
    <row r="168" spans="1:8">
      <c r="A168" t="s">
        <v>76</v>
      </c>
      <c r="B168" s="18">
        <v>2035</v>
      </c>
      <c r="C168" s="21">
        <f>SUMIFS(Annual_Cost!$Q$2:$Q$313,Annual_Cost!$A$2:$A$313,A168,Annual_Cost!$B$2:$B$313,B168)</f>
        <v>0</v>
      </c>
      <c r="D168" s="21">
        <f>SUMIFS(Annual_Cost!$R$2:$R$313,Annual_Cost!$A$2:$A$313,A168,Annual_Cost!$B$2:$B$313,B168)</f>
        <v>23286104.955574654</v>
      </c>
      <c r="E168" s="21">
        <f>SUMIFS(Annual_Cost!$S$2:$S$313,Annual_Cost!$A$2:$A$313,A168,Annual_Cost!$B$2:$B$313,B168)</f>
        <v>23286104.955574654</v>
      </c>
      <c r="F168" s="21">
        <f>SUMIFS(Annual_Cost!$W$2:$W$313,Annual_Cost!$A$2:$A$313,A168,Annual_Cost!$B$2:$B$313,B168)</f>
        <v>17327048.999089576</v>
      </c>
      <c r="G168" s="21">
        <f>SUMIFS($E$2:E168,$A$2:A168,A168)</f>
        <v>204605769.96213764</v>
      </c>
      <c r="H168" s="21">
        <f>SUMIFS($F$2:F168,$A$2:A168,A168)</f>
        <v>171844603.58767548</v>
      </c>
    </row>
    <row r="169" spans="1:8">
      <c r="A169" t="s">
        <v>76</v>
      </c>
      <c r="B169" s="18">
        <v>2036</v>
      </c>
      <c r="C169" s="21">
        <f>SUMIFS(Annual_Cost!$Q$2:$Q$313,Annual_Cost!$A$2:$A$313,A169,Annual_Cost!$B$2:$B$313,B169)</f>
        <v>0</v>
      </c>
      <c r="D169" s="21">
        <f>SUMIFS(Annual_Cost!$R$2:$R$313,Annual_Cost!$A$2:$A$313,A169,Annual_Cost!$B$2:$B$313,B169)</f>
        <v>23409070.954974748</v>
      </c>
      <c r="E169" s="21">
        <f>SUMIFS(Annual_Cost!$S$2:$S$313,Annual_Cost!$A$2:$A$313,A169,Annual_Cost!$B$2:$B$313,B169)</f>
        <v>23409070.954974748</v>
      </c>
      <c r="F169" s="21">
        <f>SUMIFS(Annual_Cost!$W$2:$W$313,Annual_Cost!$A$2:$A$313,A169,Annual_Cost!$B$2:$B$313,B169)</f>
        <v>16911210.923283868</v>
      </c>
      <c r="G169" s="21">
        <f>SUMIFS($E$2:E169,$A$2:A169,A169)</f>
        <v>228014840.91711238</v>
      </c>
      <c r="H169" s="21">
        <f>SUMIFS($F$2:F169,$A$2:A169,A169)</f>
        <v>188755814.51095936</v>
      </c>
    </row>
    <row r="170" spans="1:8">
      <c r="A170" t="s">
        <v>76</v>
      </c>
      <c r="B170" s="18">
        <v>2037</v>
      </c>
      <c r="C170" s="21">
        <f>SUMIFS(Annual_Cost!$Q$2:$Q$313,Annual_Cost!$A$2:$A$313,A170,Annual_Cost!$B$2:$B$313,B170)</f>
        <v>0</v>
      </c>
      <c r="D170" s="21">
        <f>SUMIFS(Annual_Cost!$R$2:$R$313,Annual_Cost!$A$2:$A$313,A170,Annual_Cost!$B$2:$B$313,B170)</f>
        <v>23527876.457170565</v>
      </c>
      <c r="E170" s="21">
        <f>SUMIFS(Annual_Cost!$S$2:$S$313,Annual_Cost!$A$2:$A$313,A170,Annual_Cost!$B$2:$B$313,B170)</f>
        <v>23527876.457170565</v>
      </c>
      <c r="F170" s="21">
        <f>SUMIFS(Annual_Cost!$W$2:$W$313,Annual_Cost!$A$2:$A$313,A170,Annual_Cost!$B$2:$B$313,B170)</f>
        <v>16501979.170725364</v>
      </c>
      <c r="G170" s="21">
        <f>SUMIFS($E$2:E170,$A$2:A170,A170)</f>
        <v>251542717.37428296</v>
      </c>
      <c r="H170" s="21">
        <f>SUMIFS($F$2:F170,$A$2:A170,A170)</f>
        <v>205257793.68168473</v>
      </c>
    </row>
    <row r="171" spans="1:8">
      <c r="A171" t="s">
        <v>76</v>
      </c>
      <c r="B171" s="18">
        <v>2038</v>
      </c>
      <c r="C171" s="21">
        <f>SUMIFS(Annual_Cost!$Q$2:$Q$313,Annual_Cost!$A$2:$A$313,A171,Annual_Cost!$B$2:$B$313,B171)</f>
        <v>0</v>
      </c>
      <c r="D171" s="21">
        <f>SUMIFS(Annual_Cost!$R$2:$R$313,Annual_Cost!$A$2:$A$313,A171,Annual_Cost!$B$2:$B$313,B171)</f>
        <v>23642491.671442565</v>
      </c>
      <c r="E171" s="21">
        <f>SUMIFS(Annual_Cost!$S$2:$S$313,Annual_Cost!$A$2:$A$313,A171,Annual_Cost!$B$2:$B$313,B171)</f>
        <v>23642491.671442565</v>
      </c>
      <c r="F171" s="21">
        <f>SUMIFS(Annual_Cost!$W$2:$W$313,Annual_Cost!$A$2:$A$313,A171,Annual_Cost!$B$2:$B$313,B171)</f>
        <v>16099386.384446366</v>
      </c>
      <c r="G171" s="21">
        <f>SUMIFS($E$2:E171,$A$2:A171,A171)</f>
        <v>275185209.04572552</v>
      </c>
      <c r="H171" s="21">
        <f>SUMIFS($F$2:F171,$A$2:A171,A171)</f>
        <v>221357180.06613109</v>
      </c>
    </row>
    <row r="172" spans="1:8">
      <c r="A172" t="s">
        <v>76</v>
      </c>
      <c r="B172" s="18">
        <v>2039</v>
      </c>
      <c r="C172" s="21">
        <f>SUMIFS(Annual_Cost!$Q$2:$Q$313,Annual_Cost!$A$2:$A$313,A172,Annual_Cost!$B$2:$B$313,B172)</f>
        <v>0</v>
      </c>
      <c r="D172" s="21">
        <f>SUMIFS(Annual_Cost!$R$2:$R$313,Annual_Cost!$A$2:$A$313,A172,Annual_Cost!$B$2:$B$313,B172)</f>
        <v>23752977.671262614</v>
      </c>
      <c r="E172" s="21">
        <f>SUMIFS(Annual_Cost!$S$2:$S$313,Annual_Cost!$A$2:$A$313,A172,Annual_Cost!$B$2:$B$313,B172)</f>
        <v>23752977.671262614</v>
      </c>
      <c r="F172" s="21">
        <f>SUMIFS(Annual_Cost!$W$2:$W$313,Annual_Cost!$A$2:$A$313,A172,Annual_Cost!$B$2:$B$313,B172)</f>
        <v>15703516.479683798</v>
      </c>
      <c r="G172" s="21">
        <f>SUMIFS($E$2:E172,$A$2:A172,A172)</f>
        <v>298938186.71698815</v>
      </c>
      <c r="H172" s="21">
        <f>SUMIFS($F$2:F172,$A$2:A172,A172)</f>
        <v>237060696.54581487</v>
      </c>
    </row>
    <row r="173" spans="1:8">
      <c r="A173" t="s">
        <v>76</v>
      </c>
      <c r="B173" s="18">
        <v>2040</v>
      </c>
      <c r="C173" s="21">
        <f>SUMIFS(Annual_Cost!$Q$2:$Q$313,Annual_Cost!$A$2:$A$313,A173,Annual_Cost!$B$2:$B$313,B173)</f>
        <v>0</v>
      </c>
      <c r="D173" s="21">
        <f>SUMIFS(Annual_Cost!$R$2:$R$313,Annual_Cost!$A$2:$A$313,A173,Annual_Cost!$B$2:$B$313,B173)</f>
        <v>23859473.763121177</v>
      </c>
      <c r="E173" s="21">
        <f>SUMIFS(Annual_Cost!$S$2:$S$313,Annual_Cost!$A$2:$A$313,A173,Annual_Cost!$B$2:$B$313,B173)</f>
        <v>23859473.763121177</v>
      </c>
      <c r="F173" s="21">
        <f>SUMIFS(Annual_Cost!$W$2:$W$313,Annual_Cost!$A$2:$A$313,A173,Annual_Cost!$B$2:$B$313,B173)</f>
        <v>15314488.293457851</v>
      </c>
      <c r="G173" s="21">
        <f>SUMIFS($E$2:E173,$A$2:A173,A173)</f>
        <v>322797660.48010933</v>
      </c>
      <c r="H173" s="21">
        <f>SUMIFS($F$2:F173,$A$2:A173,A173)</f>
        <v>252375184.83927274</v>
      </c>
    </row>
    <row r="174" spans="1:8">
      <c r="A174" t="s">
        <v>76</v>
      </c>
      <c r="B174" s="18">
        <v>2041</v>
      </c>
      <c r="C174" s="21">
        <f>SUMIFS(Annual_Cost!$Q$2:$Q$313,Annual_Cost!$A$2:$A$313,A174,Annual_Cost!$B$2:$B$313,B174)</f>
        <v>0</v>
      </c>
      <c r="D174" s="21">
        <f>SUMIFS(Annual_Cost!$R$2:$R$313,Annual_Cost!$A$2:$A$313,A174,Annual_Cost!$B$2:$B$313,B174)</f>
        <v>23961880.028622016</v>
      </c>
      <c r="E174" s="21">
        <f>SUMIFS(Annual_Cost!$S$2:$S$313,Annual_Cost!$A$2:$A$313,A174,Annual_Cost!$B$2:$B$313,B174)</f>
        <v>23961880.028622016</v>
      </c>
      <c r="F174" s="21">
        <f>SUMIFS(Annual_Cost!$W$2:$W$313,Annual_Cost!$A$2:$A$313,A174,Annual_Cost!$B$2:$B$313,B174)</f>
        <v>14932251.435395967</v>
      </c>
      <c r="G174" s="21">
        <f>SUMIFS($E$2:E174,$A$2:A174,A174)</f>
        <v>346759540.50873137</v>
      </c>
      <c r="H174" s="21">
        <f>SUMIFS($F$2:F174,$A$2:A174,A174)</f>
        <v>267307436.27466869</v>
      </c>
    </row>
    <row r="175" spans="1:8">
      <c r="A175" t="s">
        <v>76</v>
      </c>
      <c r="B175" s="18">
        <v>2042</v>
      </c>
      <c r="C175" s="21">
        <f>SUMIFS(Annual_Cost!$Q$2:$Q$313,Annual_Cost!$A$2:$A$313,A175,Annual_Cost!$B$2:$B$313,B175)</f>
        <v>0</v>
      </c>
      <c r="D175" s="21">
        <f>SUMIFS(Annual_Cost!$R$2:$R$313,Annual_Cost!$A$2:$A$313,A175,Annual_Cost!$B$2:$B$313,B175)</f>
        <v>24060226.829632882</v>
      </c>
      <c r="E175" s="21">
        <f>SUMIFS(Annual_Cost!$S$2:$S$313,Annual_Cost!$A$2:$A$313,A175,Annual_Cost!$B$2:$B$313,B175)</f>
        <v>24060226.829632882</v>
      </c>
      <c r="F175" s="21">
        <f>SUMIFS(Annual_Cost!$W$2:$W$313,Annual_Cost!$A$2:$A$313,A175,Annual_Cost!$B$2:$B$313,B175)</f>
        <v>14556832.922683494</v>
      </c>
      <c r="G175" s="21">
        <f>SUMIFS($E$2:E175,$A$2:A175,A175)</f>
        <v>370819767.33836424</v>
      </c>
      <c r="H175" s="21">
        <f>SUMIFS($F$2:F175,$A$2:A175,A175)</f>
        <v>281864269.19735217</v>
      </c>
    </row>
    <row r="176" spans="1:8">
      <c r="A176" t="s">
        <v>76</v>
      </c>
      <c r="B176" s="18">
        <v>2043</v>
      </c>
      <c r="C176" s="21">
        <f>SUMIFS(Annual_Cost!$Q$2:$Q$313,Annual_Cost!$A$2:$A$313,A176,Annual_Cost!$B$2:$B$313,B176)</f>
        <v>0</v>
      </c>
      <c r="D176" s="21">
        <f>SUMIFS(Annual_Cost!$R$2:$R$313,Annual_Cost!$A$2:$A$313,A176,Annual_Cost!$B$2:$B$313,B176)</f>
        <v>24163493.0144688</v>
      </c>
      <c r="E176" s="21">
        <f>SUMIFS(Annual_Cost!$S$2:$S$313,Annual_Cost!$A$2:$A$313,A176,Annual_Cost!$B$2:$B$313,B176)</f>
        <v>24163493.0144688</v>
      </c>
      <c r="F176" s="21">
        <f>SUMIFS(Annual_Cost!$W$2:$W$313,Annual_Cost!$A$2:$A$313,A176,Annual_Cost!$B$2:$B$313,B176)</f>
        <v>14193505.497872688</v>
      </c>
      <c r="G176" s="21">
        <f>SUMIFS($E$2:E176,$A$2:A176,A176)</f>
        <v>394983260.35283303</v>
      </c>
      <c r="H176" s="21">
        <f>SUMIFS($F$2:F176,$A$2:A176,A176)</f>
        <v>296057774.69522488</v>
      </c>
    </row>
    <row r="177" spans="1:8">
      <c r="A177" t="s">
        <v>76</v>
      </c>
      <c r="B177" s="18">
        <v>2044</v>
      </c>
      <c r="C177" s="21">
        <f>SUMIFS(Annual_Cost!$Q$2:$Q$313,Annual_Cost!$A$2:$A$313,A177,Annual_Cost!$B$2:$B$313,B177)</f>
        <v>0</v>
      </c>
      <c r="D177" s="21">
        <f>SUMIFS(Annual_Cost!$R$2:$R$313,Annual_Cost!$A$2:$A$313,A177,Annual_Cost!$B$2:$B$313,B177)</f>
        <v>24254905.627435807</v>
      </c>
      <c r="E177" s="21">
        <f>SUMIFS(Annual_Cost!$S$2:$S$313,Annual_Cost!$A$2:$A$313,A177,Annual_Cost!$B$2:$B$313,B177)</f>
        <v>24254905.627435807</v>
      </c>
      <c r="F177" s="21">
        <f>SUMIFS(Annual_Cost!$W$2:$W$313,Annual_Cost!$A$2:$A$313,A177,Annual_Cost!$B$2:$B$313,B177)</f>
        <v>13832233.76096857</v>
      </c>
      <c r="G177" s="21">
        <f>SUMIFS($E$2:E177,$A$2:A177,A177)</f>
        <v>419238165.98026884</v>
      </c>
      <c r="H177" s="21">
        <f>SUMIFS($F$2:F177,$A$2:A177,A177)</f>
        <v>309890008.45619345</v>
      </c>
    </row>
    <row r="178" spans="1:8">
      <c r="A178" t="s">
        <v>76</v>
      </c>
      <c r="B178" s="18">
        <v>2045</v>
      </c>
      <c r="C178" s="21">
        <f>SUMIFS(Annual_Cost!$Q$2:$Q$313,Annual_Cost!$A$2:$A$313,A178,Annual_Cost!$B$2:$B$313,B178)</f>
        <v>0</v>
      </c>
      <c r="D178" s="21">
        <f>SUMIFS(Annual_Cost!$R$2:$R$313,Annual_Cost!$A$2:$A$313,A178,Annual_Cost!$B$2:$B$313,B178)</f>
        <v>24328841.70686638</v>
      </c>
      <c r="E178" s="21">
        <f>SUMIFS(Annual_Cost!$S$2:$S$313,Annual_Cost!$A$2:$A$313,A178,Annual_Cost!$B$2:$B$313,B178)</f>
        <v>24328841.70686638</v>
      </c>
      <c r="F178" s="21">
        <f>SUMIFS(Annual_Cost!$W$2:$W$313,Annual_Cost!$A$2:$A$313,A178,Annual_Cost!$B$2:$B$313,B178)</f>
        <v>13470289.780529201</v>
      </c>
      <c r="G178" s="21">
        <f>SUMIFS($E$2:E178,$A$2:A178,A178)</f>
        <v>443567007.68713522</v>
      </c>
      <c r="H178" s="21">
        <f>SUMIFS($F$2:F178,$A$2:A178,A178)</f>
        <v>323360298.23672265</v>
      </c>
    </row>
    <row r="179" spans="1:8">
      <c r="A179" t="s">
        <v>76</v>
      </c>
      <c r="B179" s="18">
        <v>2046</v>
      </c>
      <c r="C179" s="21">
        <f>SUMIFS(Annual_Cost!$Q$2:$Q$313,Annual_Cost!$A$2:$A$313,A179,Annual_Cost!$B$2:$B$313,B179)</f>
        <v>0</v>
      </c>
      <c r="D179" s="21">
        <f>SUMIFS(Annual_Cost!$R$2:$R$313,Annual_Cost!$A$2:$A$313,A179,Annual_Cost!$B$2:$B$313,B179)</f>
        <v>24411661.534512859</v>
      </c>
      <c r="E179" s="21">
        <f>SUMIFS(Annual_Cost!$S$2:$S$313,Annual_Cost!$A$2:$A$313,A179,Annual_Cost!$B$2:$B$313,B179)</f>
        <v>24411661.534512859</v>
      </c>
      <c r="F179" s="21">
        <f>SUMIFS(Annual_Cost!$W$2:$W$313,Annual_Cost!$A$2:$A$313,A179,Annual_Cost!$B$2:$B$313,B179)</f>
        <v>13122470.981614513</v>
      </c>
      <c r="G179" s="21">
        <f>SUMIFS($E$2:E179,$A$2:A179,A179)</f>
        <v>467978669.2216481</v>
      </c>
      <c r="H179" s="21">
        <f>SUMIFS($F$2:F179,$A$2:A179,A179)</f>
        <v>336482769.21833718</v>
      </c>
    </row>
    <row r="180" spans="1:8">
      <c r="A180" t="s">
        <v>76</v>
      </c>
      <c r="B180" s="18">
        <v>2047</v>
      </c>
      <c r="C180" s="21">
        <f>SUMIFS(Annual_Cost!$Q$2:$Q$313,Annual_Cost!$A$2:$A$313,A180,Annual_Cost!$B$2:$B$313,B180)</f>
        <v>0</v>
      </c>
      <c r="D180" s="21">
        <f>SUMIFS(Annual_Cost!$R$2:$R$313,Annual_Cost!$A$2:$A$313,A180,Annual_Cost!$B$2:$B$313,B180)</f>
        <v>24490473.728141133</v>
      </c>
      <c r="E180" s="21">
        <f>SUMIFS(Annual_Cost!$S$2:$S$313,Annual_Cost!$A$2:$A$313,A180,Annual_Cost!$B$2:$B$313,B180)</f>
        <v>24490473.728141133</v>
      </c>
      <c r="F180" s="21">
        <f>SUMIFS(Annual_Cost!$W$2:$W$313,Annual_Cost!$A$2:$A$313,A180,Annual_Cost!$B$2:$B$313,B180)</f>
        <v>12781394.581778834</v>
      </c>
      <c r="G180" s="21">
        <f>SUMIFS($E$2:E180,$A$2:A180,A180)</f>
        <v>492469142.94978923</v>
      </c>
      <c r="H180" s="21">
        <f>SUMIFS($F$2:F180,$A$2:A180,A180)</f>
        <v>349264163.800116</v>
      </c>
    </row>
    <row r="181" spans="1:8">
      <c r="A181" t="s">
        <v>76</v>
      </c>
      <c r="B181" s="18">
        <v>2048</v>
      </c>
      <c r="C181" s="21">
        <f>SUMIFS(Annual_Cost!$Q$2:$Q$313,Annual_Cost!$A$2:$A$313,A181,Annual_Cost!$B$2:$B$313,B181)</f>
        <v>0</v>
      </c>
      <c r="D181" s="21">
        <f>SUMIFS(Annual_Cost!$R$2:$R$313,Annual_Cost!$A$2:$A$313,A181,Annual_Cost!$B$2:$B$313,B181)</f>
        <v>24565323.485958114</v>
      </c>
      <c r="E181" s="21">
        <f>SUMIFS(Annual_Cost!$S$2:$S$313,Annual_Cost!$A$2:$A$313,A181,Annual_Cost!$B$2:$B$313,B181)</f>
        <v>24565323.485958114</v>
      </c>
      <c r="F181" s="21">
        <f>SUMIFS(Annual_Cost!$W$2:$W$313,Annual_Cost!$A$2:$A$313,A181,Annual_Cost!$B$2:$B$313,B181)</f>
        <v>12447046.707841158</v>
      </c>
      <c r="G181" s="21">
        <f>SUMIFS($E$2:E181,$A$2:A181,A181)</f>
        <v>517034466.43574733</v>
      </c>
      <c r="H181" s="21">
        <f>SUMIFS($F$2:F181,$A$2:A181,A181)</f>
        <v>361711210.50795716</v>
      </c>
    </row>
    <row r="182" spans="1:8">
      <c r="A182" t="s">
        <v>76</v>
      </c>
      <c r="B182" s="18">
        <v>2049</v>
      </c>
      <c r="C182" s="21">
        <f>SUMIFS(Annual_Cost!$Q$2:$Q$313,Annual_Cost!$A$2:$A$313,A182,Annual_Cost!$B$2:$B$313,B182)</f>
        <v>0</v>
      </c>
      <c r="D182" s="21">
        <f>SUMIFS(Annual_Cost!$R$2:$R$313,Annual_Cost!$A$2:$A$313,A182,Annual_Cost!$B$2:$B$313,B182)</f>
        <v>24636267.87501831</v>
      </c>
      <c r="E182" s="21">
        <f>SUMIFS(Annual_Cost!$S$2:$S$313,Annual_Cost!$A$2:$A$313,A182,Annual_Cost!$B$2:$B$313,B182)</f>
        <v>24636267.87501831</v>
      </c>
      <c r="F182" s="21">
        <f>SUMIFS(Annual_Cost!$W$2:$W$313,Annual_Cost!$A$2:$A$313,A182,Annual_Cost!$B$2:$B$313,B182)</f>
        <v>12119411.305218784</v>
      </c>
      <c r="G182" s="21">
        <f>SUMIFS($E$2:E182,$A$2:A182,A182)</f>
        <v>541670734.31076562</v>
      </c>
      <c r="H182" s="21">
        <f>SUMIFS($F$2:F182,$A$2:A182,A182)</f>
        <v>373830621.81317592</v>
      </c>
    </row>
    <row r="183" spans="1:8">
      <c r="A183" t="s">
        <v>76</v>
      </c>
      <c r="B183" s="18">
        <v>2050</v>
      </c>
      <c r="C183" s="21">
        <f>SUMIFS(Annual_Cost!$Q$2:$Q$313,Annual_Cost!$A$2:$A$313,A183,Annual_Cost!$B$2:$B$313,B183)</f>
        <v>0</v>
      </c>
      <c r="D183" s="21">
        <f>SUMIFS(Annual_Cost!$R$2:$R$313,Annual_Cost!$A$2:$A$313,A183,Annual_Cost!$B$2:$B$313,B183)</f>
        <v>24703378.477403432</v>
      </c>
      <c r="E183" s="21">
        <f>SUMIFS(Annual_Cost!$S$2:$S$313,Annual_Cost!$A$2:$A$313,A183,Annual_Cost!$B$2:$B$313,B183)</f>
        <v>24703378.477403432</v>
      </c>
      <c r="F183" s="21">
        <f>SUMIFS(Annual_Cost!$W$2:$W$313,Annual_Cost!$A$2:$A$313,A183,Annual_Cost!$B$2:$B$313,B183)</f>
        <v>11798471.140386498</v>
      </c>
      <c r="G183" s="21">
        <f>SUMIFS($E$2:E183,$A$2:A183,A183)</f>
        <v>566374112.78816903</v>
      </c>
      <c r="H183" s="21">
        <f>SUMIFS($F$2:F183,$A$2:A183,A183)</f>
        <v>385629092.95356244</v>
      </c>
    </row>
  </sheetData>
  <autoFilter ref="A1:H1" xr:uid="{00000000-0009-0000-0000-00000A000000}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3" width="16.69921875" customWidth="1"/>
    <col min="4" max="4" width="15.69921875" customWidth="1"/>
    <col min="5" max="5" width="18.69921875" customWidth="1"/>
    <col min="6" max="6" width="23.69921875" customWidth="1"/>
    <col min="7" max="7" width="24.69921875" customWidth="1"/>
    <col min="8" max="8" width="11.69921875" customWidth="1"/>
    <col min="9" max="9" width="23.69921875" customWidth="1"/>
  </cols>
  <sheetData>
    <row r="1" spans="1:9" ht="28.05" customHeight="1">
      <c r="A1" s="1" t="s">
        <v>356</v>
      </c>
      <c r="B1" s="1" t="s">
        <v>357</v>
      </c>
      <c r="C1" s="1" t="s">
        <v>363</v>
      </c>
      <c r="D1" s="1" t="s">
        <v>364</v>
      </c>
      <c r="E1" s="1" t="s">
        <v>382</v>
      </c>
      <c r="F1" s="1" t="s">
        <v>383</v>
      </c>
      <c r="G1" s="1" t="s">
        <v>386</v>
      </c>
      <c r="H1" s="1" t="s">
        <v>387</v>
      </c>
      <c r="I1" s="1" t="s">
        <v>388</v>
      </c>
    </row>
    <row r="2" spans="1:9" ht="41.4">
      <c r="A2" t="s">
        <v>76</v>
      </c>
      <c r="B2" s="13" t="s">
        <v>366</v>
      </c>
      <c r="C2" s="21">
        <f>SUMIFS(Annual_Mortality!$I$2:$I$1275,Annual_Mortality!$A$2:$A$1275,A2)</f>
        <v>2743414.0440282142</v>
      </c>
      <c r="D2" s="21">
        <f>SUMIFS(Annual_Mortality!$J$2:$J$1275,Annual_Mortality!$A$2:$A$1275,A2)</f>
        <v>7137010.6231545759</v>
      </c>
      <c r="E2" s="21">
        <f>SUMIFS(Budget_Impact!$E$2:$E$183,Budget_Impact!$A$2:$A$183,A2)</f>
        <v>566374112.78816903</v>
      </c>
      <c r="F2" s="21">
        <f>SUMIFS(Budget_Impact!$F$2:$F$183,Budget_Impact!$A$2:$A$183,A2)</f>
        <v>385629092.95356244</v>
      </c>
      <c r="G2" s="21">
        <f t="shared" ref="G2:G8" si="0">IF(C2&gt;0,F2/C2,"")</f>
        <v>140.5654001782884</v>
      </c>
      <c r="H2" s="33" t="str">
        <f t="shared" ref="H2:H8" si="1">IF(AND(C2&gt;0,F2&lt;0),"Dominant (more health, lower cost)",IF(AND(C2&lt;=0,F2&gt;0),"Dominated (less/no health, higher cost)",IF(AND(C2&lt;=0,F2&lt;=0),"No deaths averted; ratio not defined","USD per death averted")))</f>
        <v>USD per death averted</v>
      </c>
      <c r="I2" s="15" t="str">
        <f>IF(AND(ABS(F2-SUMIFS(Budget_Impact!$F$2:$F$183,Budget_Impact!$A$2:$A$183,A2))&lt;=Calculation_Assumptions!$B$15,ABS(C2-SUMIFS(Annual_Mortality!$I$2:$I$1275,Annual_Mortality!$A$2:$A$1275,A2))&lt;=Calculation_Assumptions!$B$15),"consistent","mismatch")</f>
        <v>consistent</v>
      </c>
    </row>
    <row r="3" spans="1:9">
      <c r="A3" t="s">
        <v>193</v>
      </c>
      <c r="B3" s="13" t="s">
        <v>195</v>
      </c>
      <c r="C3" s="21">
        <f>SUMIFS(Annual_Mortality!$I$2:$I$1275,Annual_Mortality!$A$2:$A$1275,A3)</f>
        <v>1579315.0004343372</v>
      </c>
      <c r="D3" s="21">
        <f>SUMIFS(Annual_Mortality!$J$2:$J$1275,Annual_Mortality!$A$2:$A$1275,A3)</f>
        <v>2930885.9087980571</v>
      </c>
      <c r="E3" s="21">
        <f>SUMIFS(Budget_Impact!$E$2:$E$183,Budget_Impact!$A$2:$A$183,A3)</f>
        <v>262059404.17363653</v>
      </c>
      <c r="F3" s="21">
        <f>SUMIFS(Budget_Impact!$F$2:$F$183,Budget_Impact!$A$2:$A$183,A3)</f>
        <v>178453595.32765639</v>
      </c>
      <c r="G3" s="21">
        <f t="shared" si="0"/>
        <v>112.99430150323322</v>
      </c>
      <c r="H3" s="33" t="str">
        <f t="shared" si="1"/>
        <v>USD per death averted</v>
      </c>
      <c r="I3" s="15" t="str">
        <f>IF(AND(ABS(F3-SUMIFS(Budget_Impact!$F$2:$F$183,Budget_Impact!$A$2:$A$183,A3))&lt;=Calculation_Assumptions!$B$15,ABS(C3-SUMIFS(Annual_Mortality!$I$2:$I$1275,Annual_Mortality!$A$2:$A$1275,A3))&lt;=Calculation_Assumptions!$B$15),"consistent","mismatch")</f>
        <v>consistent</v>
      </c>
    </row>
    <row r="4" spans="1:9">
      <c r="A4" t="s">
        <v>223</v>
      </c>
      <c r="B4" s="13" t="s">
        <v>225</v>
      </c>
      <c r="C4" s="21">
        <f>SUMIFS(Annual_Mortality!$I$2:$I$1275,Annual_Mortality!$A$2:$A$1275,A4)</f>
        <v>1000520.6603995443</v>
      </c>
      <c r="D4" s="21">
        <f>SUMIFS(Annual_Mortality!$J$2:$J$1275,Annual_Mortality!$A$2:$A$1275,A4)</f>
        <v>3549276.9193544239</v>
      </c>
      <c r="E4" s="21">
        <f>SUMIFS(Budget_Impact!$E$2:$E$183,Budget_Impact!$A$2:$A$183,A4)</f>
        <v>29825903.84098066</v>
      </c>
      <c r="F4" s="21">
        <f>SUMIFS(Budget_Impact!$F$2:$F$183,Budget_Impact!$A$2:$A$183,A4)</f>
        <v>20312249.325824272</v>
      </c>
      <c r="G4" s="21">
        <f t="shared" si="0"/>
        <v>20.301679045501022</v>
      </c>
      <c r="H4" s="33" t="str">
        <f t="shared" si="1"/>
        <v>USD per death averted</v>
      </c>
      <c r="I4" s="15" t="str">
        <f>IF(AND(ABS(F4-SUMIFS(Budget_Impact!$F$2:$F$183,Budget_Impact!$A$2:$A$183,A4))&lt;=Calculation_Assumptions!$B$15,ABS(C4-SUMIFS(Annual_Mortality!$I$2:$I$1275,Annual_Mortality!$A$2:$A$1275,A4))&lt;=Calculation_Assumptions!$B$15),"consistent","mismatch")</f>
        <v>consistent</v>
      </c>
    </row>
    <row r="5" spans="1:9">
      <c r="A5" t="s">
        <v>212</v>
      </c>
      <c r="B5" s="13" t="s">
        <v>214</v>
      </c>
      <c r="C5" s="21">
        <f>SUMIFS(Annual_Mortality!$I$2:$I$1275,Annual_Mortality!$A$2:$A$1275,A5)</f>
        <v>200231.16792472813</v>
      </c>
      <c r="D5" s="21">
        <f>SUMIFS(Annual_Mortality!$J$2:$J$1275,Annual_Mortality!$A$2:$A$1275,A5)</f>
        <v>709784.98656576814</v>
      </c>
      <c r="E5" s="21">
        <f>SUMIFS(Budget_Impact!$E$2:$E$183,Budget_Impact!$A$2:$A$183,A5)</f>
        <v>172209841.81848308</v>
      </c>
      <c r="F5" s="21">
        <f>SUMIFS(Budget_Impact!$F$2:$F$183,Budget_Impact!$A$2:$A$183,A5)</f>
        <v>117296193.77642934</v>
      </c>
      <c r="G5" s="21">
        <f t="shared" si="0"/>
        <v>585.80387355341145</v>
      </c>
      <c r="H5" s="33" t="str">
        <f t="shared" si="1"/>
        <v>USD per death averted</v>
      </c>
      <c r="I5" s="15" t="str">
        <f>IF(AND(ABS(F5-SUMIFS(Budget_Impact!$F$2:$F$183,Budget_Impact!$A$2:$A$183,A5))&lt;=Calculation_Assumptions!$B$15,ABS(C5-SUMIFS(Annual_Mortality!$I$2:$I$1275,Annual_Mortality!$A$2:$A$1275,A5))&lt;=Calculation_Assumptions!$B$15),"consistent","mismatch")</f>
        <v>consistent</v>
      </c>
    </row>
    <row r="6" spans="1:9" ht="27.6">
      <c r="A6" t="s">
        <v>201</v>
      </c>
      <c r="B6" s="13" t="s">
        <v>203</v>
      </c>
      <c r="C6" s="21">
        <f>SUMIFS(Annual_Mortality!$I$2:$I$1275,Annual_Mortality!$A$2:$A$1275,A6)</f>
        <v>43286.747917890214</v>
      </c>
      <c r="D6" s="21">
        <f>SUMIFS(Annual_Mortality!$J$2:$J$1275,Annual_Mortality!$A$2:$A$1275,A6)</f>
        <v>150767.70590155231</v>
      </c>
      <c r="E6" s="21">
        <f>SUMIFS(Budget_Impact!$E$2:$E$183,Budget_Impact!$A$2:$A$183,A6)</f>
        <v>29803065.647237774</v>
      </c>
      <c r="F6" s="21">
        <f>SUMIFS(Budget_Impact!$F$2:$F$183,Budget_Impact!$A$2:$A$183,A6)</f>
        <v>20299232.821022768</v>
      </c>
      <c r="G6" s="21">
        <f t="shared" si="0"/>
        <v>468.94797593776241</v>
      </c>
      <c r="H6" s="33" t="str">
        <f t="shared" si="1"/>
        <v>USD per death averted</v>
      </c>
      <c r="I6" s="15" t="str">
        <f>IF(AND(ABS(F6-SUMIFS(Budget_Impact!$F$2:$F$183,Budget_Impact!$A$2:$A$183,A6))&lt;=Calculation_Assumptions!$B$15,ABS(C6-SUMIFS(Annual_Mortality!$I$2:$I$1275,Annual_Mortality!$A$2:$A$1275,A6))&lt;=Calculation_Assumptions!$B$15),"consistent","mismatch")</f>
        <v>consistent</v>
      </c>
    </row>
    <row r="7" spans="1:9">
      <c r="A7" t="s">
        <v>185</v>
      </c>
      <c r="B7" s="13" t="s">
        <v>187</v>
      </c>
      <c r="C7" s="21">
        <f>SUMIFS(Annual_Mortality!$I$2:$I$1275,Annual_Mortality!$A$2:$A$1275,A7)</f>
        <v>17.036735796964422</v>
      </c>
      <c r="D7" s="21">
        <f>SUMIFS(Annual_Mortality!$J$2:$J$1275,Annual_Mortality!$A$2:$A$1275,A7)</f>
        <v>29.353543687722777</v>
      </c>
      <c r="E7" s="21">
        <f>SUMIFS(Budget_Impact!$E$2:$E$183,Budget_Impact!$A$2:$A$183,A7)</f>
        <v>29815618.803438235</v>
      </c>
      <c r="F7" s="21">
        <f>SUMIFS(Budget_Impact!$F$2:$F$183,Budget_Impact!$A$2:$A$183,A7)</f>
        <v>20308544.264985058</v>
      </c>
      <c r="G7" s="21">
        <f t="shared" si="0"/>
        <v>1192044.3274470221</v>
      </c>
      <c r="H7" s="33" t="str">
        <f t="shared" si="1"/>
        <v>USD per death averted</v>
      </c>
      <c r="I7" s="15" t="str">
        <f>IF(AND(ABS(F7-SUMIFS(Budget_Impact!$F$2:$F$183,Budget_Impact!$A$2:$A$183,A7))&lt;=Calculation_Assumptions!$B$15,ABS(C7-SUMIFS(Annual_Mortality!$I$2:$I$1275,Annual_Mortality!$A$2:$A$1275,A7))&lt;=Calculation_Assumptions!$B$15),"consistent","mismatch")</f>
        <v>consistent</v>
      </c>
    </row>
    <row r="8" spans="1:9">
      <c r="A8" t="s">
        <v>162</v>
      </c>
      <c r="B8" s="13" t="s">
        <v>164</v>
      </c>
      <c r="C8" s="21">
        <f>SUMIFS(Annual_Mortality!$I$2:$I$1275,Annual_Mortality!$A$2:$A$1275,A8)</f>
        <v>9.3528218673263837</v>
      </c>
      <c r="D8" s="21">
        <f>SUMIFS(Annual_Mortality!$J$2:$J$1275,Annual_Mortality!$A$2:$A$1275,A8)</f>
        <v>16.114498919621838</v>
      </c>
      <c r="E8" s="21">
        <f>SUMIFS(Budget_Impact!$E$2:$E$183,Budget_Impact!$A$2:$A$183,A8)</f>
        <v>41742973.733089805</v>
      </c>
      <c r="F8" s="21">
        <f>SUMIFS(Budget_Impact!$F$2:$F$183,Budget_Impact!$A$2:$A$183,A8)</f>
        <v>28433042.313892461</v>
      </c>
      <c r="G8" s="21">
        <f t="shared" si="0"/>
        <v>3040049.5932913977</v>
      </c>
      <c r="H8" s="33" t="str">
        <f t="shared" si="1"/>
        <v>USD per death averted</v>
      </c>
      <c r="I8" s="15" t="str">
        <f>IF(AND(ABS(F8-SUMIFS(Budget_Impact!$F$2:$F$183,Budget_Impact!$A$2:$A$183,A8))&lt;=Calculation_Assumptions!$B$15,ABS(C8-SUMIFS(Annual_Mortality!$I$2:$I$1275,Annual_Mortality!$A$2:$A$1275,A8))&lt;=Calculation_Assumptions!$B$15),"consistent","mismatch")</f>
        <v>consistent</v>
      </c>
    </row>
  </sheetData>
  <autoFilter ref="A1:I1" xr:uid="{00000000-0009-0000-0000-00000B000000}"/>
  <conditionalFormatting sqref="I2:I8">
    <cfRule type="containsText" dxfId="7" priority="3" operator="containsText" text="consistent">
      <formula>NOT(ISERROR(SEARCH("consistent", I2)))</formula>
    </cfRule>
    <cfRule type="containsText" dxfId="6" priority="2" operator="containsText" text="mismatch">
      <formula>NOT(ISERROR(SEARCH("mismatch", I2)))</formula>
    </cfRule>
  </conditionalFormatting>
  <conditionalFormatting sqref="H2:H8">
    <cfRule type="containsText" dxfId="5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6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20.69921875" customWidth="1"/>
  </cols>
  <sheetData>
    <row r="1" spans="1:1">
      <c r="A1" s="1" t="s">
        <v>389</v>
      </c>
    </row>
    <row r="2" spans="1:1">
      <c r="A2" s="13" t="s">
        <v>390</v>
      </c>
    </row>
    <row r="3" spans="1:1">
      <c r="A3" s="13" t="s">
        <v>391</v>
      </c>
    </row>
    <row r="4" spans="1:1">
      <c r="A4" s="13" t="s">
        <v>392</v>
      </c>
    </row>
    <row r="5" spans="1:1">
      <c r="A5" s="13" t="s">
        <v>393</v>
      </c>
    </row>
    <row r="6" spans="1:1">
      <c r="A6" s="13" t="s">
        <v>394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6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395</v>
      </c>
      <c r="B1" s="1" t="s">
        <v>396</v>
      </c>
      <c r="C1" s="1" t="s">
        <v>397</v>
      </c>
      <c r="D1" s="1" t="s">
        <v>398</v>
      </c>
      <c r="E1" s="1" t="s">
        <v>389</v>
      </c>
    </row>
    <row r="2" spans="1:5" ht="55.2">
      <c r="A2" t="s">
        <v>399</v>
      </c>
      <c r="B2" t="s">
        <v>400</v>
      </c>
      <c r="C2" s="15">
        <f>COUNTIF(Selected_Interventions!$U$2:$U$28,"&gt;1")</f>
        <v>0</v>
      </c>
      <c r="D2" s="15" t="str">
        <f>IF(C2=0,"PASS","FAIL")</f>
        <v>PASS</v>
      </c>
      <c r="E2" s="13" t="s">
        <v>401</v>
      </c>
    </row>
    <row r="3" spans="1:5" ht="96.6">
      <c r="A3" t="s">
        <v>402</v>
      </c>
      <c r="B3" t="s">
        <v>400</v>
      </c>
      <c r="C3" s="15">
        <f>COUNTIF(Input_Diagnostic!$E$2:$E$17,"FAIL")</f>
        <v>1</v>
      </c>
      <c r="D3" s="15" t="str">
        <f>IF(C3=0,"PASS","REVIEW")</f>
        <v>REVIEW</v>
      </c>
      <c r="E3" s="13" t="s">
        <v>403</v>
      </c>
    </row>
    <row r="4" spans="1:5" ht="96.6">
      <c r="A4" t="s">
        <v>404</v>
      </c>
      <c r="B4" t="s">
        <v>400</v>
      </c>
      <c r="C4" s="15">
        <f>COUNTIF(Input_Diagnostic!$E$2:$E$17,"REVIEW")</f>
        <v>15</v>
      </c>
      <c r="D4" s="15" t="str">
        <f>IF(C4=0,"PASS","REVIEW")</f>
        <v>REVIEW</v>
      </c>
      <c r="E4" s="13" t="s">
        <v>405</v>
      </c>
    </row>
    <row r="5" spans="1:5" ht="82.8">
      <c r="A5" t="s">
        <v>406</v>
      </c>
      <c r="B5" t="s">
        <v>400</v>
      </c>
      <c r="C5" s="15">
        <f>COUNTBLANK(Annual_Mortality!$H$2:$H$1275)</f>
        <v>0</v>
      </c>
      <c r="D5" s="15" t="str">
        <f>IF(C5=0,"PASS","FAIL")</f>
        <v>PASS</v>
      </c>
      <c r="E5" s="13" t="s">
        <v>407</v>
      </c>
    </row>
    <row r="6" spans="1:5" ht="82.8">
      <c r="A6" t="s">
        <v>408</v>
      </c>
      <c r="B6" t="s">
        <v>400</v>
      </c>
      <c r="C6" s="15">
        <f>COUNTIF(Effect_Parameters!$N$2:$N$29,"&lt;&gt;incidence")</f>
        <v>0</v>
      </c>
      <c r="D6" s="15" t="str">
        <f>IF(C6=0,"PASS","FAIL")</f>
        <v>PASS</v>
      </c>
      <c r="E6" s="13" t="s">
        <v>409</v>
      </c>
    </row>
    <row r="7" spans="1:5" ht="55.2">
      <c r="A7" t="s">
        <v>410</v>
      </c>
      <c r="B7" t="s">
        <v>400</v>
      </c>
      <c r="C7" s="15">
        <f>Calculation_Assumptions!$B$17</f>
        <v>0</v>
      </c>
      <c r="D7" s="15" t="str">
        <f>IF(C7=0,"PASS","FAIL")</f>
        <v>PASS</v>
      </c>
      <c r="E7" s="13" t="s">
        <v>411</v>
      </c>
    </row>
    <row r="8" spans="1:5" ht="69">
      <c r="A8" t="s">
        <v>412</v>
      </c>
      <c r="B8" t="s">
        <v>413</v>
      </c>
      <c r="C8" s="15">
        <f>Calculation_Assumptions!$B$18</f>
        <v>127.1</v>
      </c>
      <c r="D8" s="15" t="str">
        <f>IF(C8&lt;=Calculation_Assumptions!$B$16,"PASS","REVIEW")</f>
        <v>PASS</v>
      </c>
      <c r="E8" s="13" t="s">
        <v>414</v>
      </c>
    </row>
    <row r="9" spans="1:5" ht="110.4">
      <c r="A9" t="s">
        <v>415</v>
      </c>
      <c r="B9" t="s">
        <v>416</v>
      </c>
      <c r="C9" s="15">
        <f>Calculation_Assumptions!$B$19</f>
        <v>1</v>
      </c>
      <c r="D9" s="15" t="str">
        <f>IF(C9=1,"PASS","FAIL")</f>
        <v>PASS</v>
      </c>
      <c r="E9" s="13" t="s">
        <v>417</v>
      </c>
    </row>
    <row r="10" spans="1:5" ht="82.8">
      <c r="A10" t="s">
        <v>418</v>
      </c>
      <c r="B10" t="s">
        <v>419</v>
      </c>
      <c r="C10" s="15">
        <f>ABS(SUM(Budget_Impact!$D$2:$D$183)-SUM(Annual_Cost!$R$2:$R$313))+ABS(SUM(Budget_Impact!$C$2:$C$183)-SUM(Annual_Cost!$Q$2:$Q$313))</f>
        <v>0</v>
      </c>
      <c r="D10" s="15" t="str">
        <f>IF(C10&lt;=Calculation_Assumptions!$B$15,"PASS","FAIL")</f>
        <v>PASS</v>
      </c>
      <c r="E10" s="13" t="s">
        <v>420</v>
      </c>
    </row>
    <row r="11" spans="1:5" ht="82.8">
      <c r="A11" t="s">
        <v>421</v>
      </c>
      <c r="B11" t="s">
        <v>400</v>
      </c>
      <c r="C11" s="15">
        <f>COUNTIF(Annual_Cost!$AA$2:$AA$313,"&gt;1")</f>
        <v>0</v>
      </c>
      <c r="D11" s="15" t="str">
        <f>IF(C11=0,"PASS","FAIL")</f>
        <v>PASS</v>
      </c>
      <c r="E11" s="13" t="s">
        <v>422</v>
      </c>
    </row>
    <row r="12" spans="1:5" ht="96.6">
      <c r="A12" t="s">
        <v>423</v>
      </c>
      <c r="B12" t="s">
        <v>419</v>
      </c>
      <c r="C12" s="15">
        <f>ABS(SUMIFS(Budget_Impact!$G$2:$G$183,Budget_Impact!$B$2:$B$183,Calculation_Assumptions!$B$3)-SUM(Budget_Impact!$E$2:$E$183))</f>
        <v>2.384185791015625E-7</v>
      </c>
      <c r="D12" s="15" t="str">
        <f>IF(C12&lt;=Calculation_Assumptions!$B$15,"PASS","FAIL")</f>
        <v>PASS</v>
      </c>
      <c r="E12" s="13" t="s">
        <v>424</v>
      </c>
    </row>
    <row r="13" spans="1:5" ht="82.8">
      <c r="A13" t="s">
        <v>425</v>
      </c>
      <c r="B13" t="s">
        <v>426</v>
      </c>
      <c r="C13" s="15" t="str">
        <f>IF(COUNTIF(Cost_Effectiveness!$I$2:$I$8,"mismatch")=0,"consistent","mismatch")</f>
        <v>consistent</v>
      </c>
      <c r="D13" s="15" t="str">
        <f>IF(C13="consistent","PASS","FAIL")</f>
        <v>PASS</v>
      </c>
      <c r="E13" s="13" t="s">
        <v>427</v>
      </c>
    </row>
    <row r="14" spans="1:5" ht="82.8">
      <c r="A14" t="s">
        <v>428</v>
      </c>
      <c r="B14" t="s">
        <v>429</v>
      </c>
      <c r="C14" s="15">
        <f>INDEX(Cost_Effectiveness!$C$2:$C$8,MATCH(Calculation_Assumptions!$B$23,Cost_Effectiveness!$A$2:$A$8,0))</f>
        <v>2743414.0440282142</v>
      </c>
      <c r="D14" s="15" t="str">
        <f>IF(ABS(C14-Calculation_Assumptions!$B$20)&lt;=ABS(Calculation_Assumptions!$B$20)*0.000001+0.5,"PASS","FAIL")</f>
        <v>PASS</v>
      </c>
      <c r="E14" s="13" t="s">
        <v>430</v>
      </c>
    </row>
    <row r="15" spans="1:5" ht="96.6">
      <c r="A15" t="s">
        <v>431</v>
      </c>
      <c r="B15" t="s">
        <v>429</v>
      </c>
      <c r="C15" s="15">
        <f>INDEX(Cost_Effectiveness!$F$2:$F$8,MATCH(Calculation_Assumptions!$B$23,Cost_Effectiveness!$A$2:$A$8,0))</f>
        <v>385629092.95356244</v>
      </c>
      <c r="D15" s="15" t="str">
        <f>IF(ABS(C15-Calculation_Assumptions!$B$21)&lt;=ABS(Calculation_Assumptions!$B$21)*0.000001+1,"PASS","FAIL")</f>
        <v>PASS</v>
      </c>
      <c r="E15" s="13" t="s">
        <v>432</v>
      </c>
    </row>
    <row r="16" spans="1:5" ht="96.6">
      <c r="A16" t="s">
        <v>433</v>
      </c>
      <c r="B16" t="s">
        <v>429</v>
      </c>
      <c r="C16" s="15">
        <f>INDEX(Cost_Effectiveness!$G$2:$G$8,MATCH(Calculation_Assumptions!$B$23,Cost_Effectiveness!$A$2:$A$8,0))</f>
        <v>140.5654001782884</v>
      </c>
      <c r="D16" s="15" t="str">
        <f>IF(ABS(C16-Calculation_Assumptions!$B$22)&lt;=ABS(Calculation_Assumptions!$B$22)*0.000001+1,"PASS","FAIL")</f>
        <v>PASS</v>
      </c>
      <c r="E16" s="13" t="s">
        <v>434</v>
      </c>
    </row>
  </sheetData>
  <autoFilter ref="A1:E1" xr:uid="{00000000-0009-0000-0000-00000D000000}"/>
  <conditionalFormatting sqref="D2:D16">
    <cfRule type="containsText" dxfId="4" priority="3" operator="containsText" text="PASS">
      <formula>NOT(ISERROR(SEARCH("PASS", D2)))</formula>
    </cfRule>
    <cfRule type="containsText" dxfId="3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435</v>
      </c>
      <c r="B1" s="1" t="s">
        <v>436</v>
      </c>
      <c r="C1" s="1" t="s">
        <v>437</v>
      </c>
      <c r="D1" s="1" t="s">
        <v>232</v>
      </c>
      <c r="E1" s="1" t="s">
        <v>438</v>
      </c>
    </row>
    <row r="2" spans="1:5" ht="96.6">
      <c r="A2" t="s">
        <v>439</v>
      </c>
      <c r="B2" t="s">
        <v>234</v>
      </c>
      <c r="C2" t="s">
        <v>151</v>
      </c>
      <c r="D2" s="13" t="s">
        <v>440</v>
      </c>
      <c r="E2" t="s">
        <v>441</v>
      </c>
    </row>
    <row r="3" spans="1:5" ht="41.4">
      <c r="A3" t="s">
        <v>442</v>
      </c>
      <c r="B3" t="s">
        <v>234</v>
      </c>
      <c r="C3" t="s">
        <v>443</v>
      </c>
      <c r="D3" s="13" t="s">
        <v>238</v>
      </c>
      <c r="E3" t="s">
        <v>444</v>
      </c>
    </row>
    <row r="4" spans="1:5" ht="96.6">
      <c r="A4" t="s">
        <v>445</v>
      </c>
      <c r="B4" t="s">
        <v>354</v>
      </c>
      <c r="C4" t="s">
        <v>330</v>
      </c>
      <c r="D4" s="13" t="s">
        <v>446</v>
      </c>
      <c r="E4" t="s">
        <v>441</v>
      </c>
    </row>
    <row r="5" spans="1:5" ht="96.6">
      <c r="A5" t="s">
        <v>445</v>
      </c>
      <c r="B5" t="s">
        <v>341</v>
      </c>
      <c r="C5" t="s">
        <v>330</v>
      </c>
      <c r="D5" s="13" t="s">
        <v>446</v>
      </c>
      <c r="E5" t="s">
        <v>441</v>
      </c>
    </row>
    <row r="6" spans="1:5" ht="96.6">
      <c r="A6" t="s">
        <v>445</v>
      </c>
      <c r="B6" t="s">
        <v>352</v>
      </c>
      <c r="C6" t="s">
        <v>330</v>
      </c>
      <c r="D6" s="13" t="s">
        <v>446</v>
      </c>
      <c r="E6" t="s">
        <v>441</v>
      </c>
    </row>
    <row r="7" spans="1:5" ht="96.6">
      <c r="A7" t="s">
        <v>445</v>
      </c>
      <c r="B7" t="s">
        <v>334</v>
      </c>
      <c r="C7" t="s">
        <v>330</v>
      </c>
      <c r="D7" s="13" t="s">
        <v>446</v>
      </c>
      <c r="E7" t="s">
        <v>441</v>
      </c>
    </row>
    <row r="8" spans="1:5" ht="96.6">
      <c r="A8" t="s">
        <v>445</v>
      </c>
      <c r="B8" t="s">
        <v>343</v>
      </c>
      <c r="C8" t="s">
        <v>330</v>
      </c>
      <c r="D8" s="13" t="s">
        <v>446</v>
      </c>
      <c r="E8" t="s">
        <v>441</v>
      </c>
    </row>
    <row r="9" spans="1:5" ht="96.6">
      <c r="A9" t="s">
        <v>445</v>
      </c>
      <c r="B9" t="s">
        <v>349</v>
      </c>
      <c r="C9" t="s">
        <v>330</v>
      </c>
      <c r="D9" s="13" t="s">
        <v>446</v>
      </c>
      <c r="E9" t="s">
        <v>441</v>
      </c>
    </row>
    <row r="10" spans="1:5" ht="96.6">
      <c r="A10" t="s">
        <v>445</v>
      </c>
      <c r="B10" t="s">
        <v>345</v>
      </c>
      <c r="C10" t="s">
        <v>330</v>
      </c>
      <c r="D10" s="13" t="s">
        <v>446</v>
      </c>
      <c r="E10" t="s">
        <v>441</v>
      </c>
    </row>
    <row r="11" spans="1:5" ht="69">
      <c r="A11" t="s">
        <v>445</v>
      </c>
      <c r="B11" t="s">
        <v>354</v>
      </c>
      <c r="C11" t="s">
        <v>329</v>
      </c>
      <c r="D11" s="13" t="s">
        <v>447</v>
      </c>
      <c r="E11" t="s">
        <v>441</v>
      </c>
    </row>
    <row r="12" spans="1:5" ht="69">
      <c r="A12" t="s">
        <v>445</v>
      </c>
      <c r="B12" t="s">
        <v>341</v>
      </c>
      <c r="C12" t="s">
        <v>329</v>
      </c>
      <c r="D12" s="13" t="s">
        <v>447</v>
      </c>
      <c r="E12" t="s">
        <v>441</v>
      </c>
    </row>
    <row r="13" spans="1:5" ht="69">
      <c r="A13" t="s">
        <v>445</v>
      </c>
      <c r="B13" t="s">
        <v>352</v>
      </c>
      <c r="C13" t="s">
        <v>329</v>
      </c>
      <c r="D13" s="13" t="s">
        <v>447</v>
      </c>
      <c r="E13" t="s">
        <v>441</v>
      </c>
    </row>
    <row r="14" spans="1:5" ht="69">
      <c r="A14" t="s">
        <v>445</v>
      </c>
      <c r="B14" t="s">
        <v>334</v>
      </c>
      <c r="C14" t="s">
        <v>329</v>
      </c>
      <c r="D14" s="13" t="s">
        <v>447</v>
      </c>
      <c r="E14" t="s">
        <v>441</v>
      </c>
    </row>
    <row r="15" spans="1:5" ht="69">
      <c r="A15" t="s">
        <v>445</v>
      </c>
      <c r="B15" t="s">
        <v>343</v>
      </c>
      <c r="C15" t="s">
        <v>329</v>
      </c>
      <c r="D15" s="13" t="s">
        <v>447</v>
      </c>
      <c r="E15" t="s">
        <v>441</v>
      </c>
    </row>
    <row r="16" spans="1:5" ht="69">
      <c r="A16" t="s">
        <v>445</v>
      </c>
      <c r="B16" t="s">
        <v>349</v>
      </c>
      <c r="C16" t="s">
        <v>329</v>
      </c>
      <c r="D16" s="13" t="s">
        <v>447</v>
      </c>
      <c r="E16" t="s">
        <v>441</v>
      </c>
    </row>
    <row r="17" spans="1:5" ht="69">
      <c r="A17" t="s">
        <v>445</v>
      </c>
      <c r="B17" t="s">
        <v>345</v>
      </c>
      <c r="C17" t="s">
        <v>329</v>
      </c>
      <c r="D17" s="13" t="s">
        <v>447</v>
      </c>
      <c r="E17" t="s">
        <v>441</v>
      </c>
    </row>
  </sheetData>
  <autoFilter ref="A1:E1" xr:uid="{00000000-0009-0000-0000-00000E000000}"/>
  <conditionalFormatting sqref="E2:E17">
    <cfRule type="containsText" dxfId="1" priority="2" operator="containsText" text="FAIL">
      <formula>NOT(ISERROR(SEARCH("FAIL", E2)))</formula>
    </cfRule>
    <cfRule type="containsText" dxfId="0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0.69921875" customWidth="1"/>
    <col min="2" max="2" width="28.69921875" customWidth="1"/>
    <col min="3" max="3" width="92.69921875" customWidth="1"/>
    <col min="4" max="4" width="56.69921875" customWidth="1"/>
  </cols>
  <sheetData>
    <row r="1" spans="1:4" ht="28.05" customHeight="1">
      <c r="A1" s="1" t="s">
        <v>448</v>
      </c>
      <c r="B1" s="1" t="s">
        <v>449</v>
      </c>
      <c r="C1" s="1" t="s">
        <v>450</v>
      </c>
      <c r="D1" s="1" t="s">
        <v>5</v>
      </c>
    </row>
    <row r="2" spans="1:4" ht="27.6">
      <c r="A2" t="s">
        <v>451</v>
      </c>
      <c r="B2" t="s">
        <v>452</v>
      </c>
      <c r="C2" s="13" t="s">
        <v>453</v>
      </c>
      <c r="D2" s="13" t="s">
        <v>454</v>
      </c>
    </row>
    <row r="3" spans="1:4" ht="27.6">
      <c r="A3" t="s">
        <v>455</v>
      </c>
      <c r="B3" t="s">
        <v>90</v>
      </c>
      <c r="C3" s="13" t="s">
        <v>456</v>
      </c>
      <c r="D3" s="13" t="s">
        <v>454</v>
      </c>
    </row>
    <row r="4" spans="1:4" ht="27.6">
      <c r="A4" t="s">
        <v>457</v>
      </c>
      <c r="B4" t="s">
        <v>458</v>
      </c>
      <c r="C4" s="13" t="s">
        <v>459</v>
      </c>
      <c r="D4" s="13" t="s">
        <v>454</v>
      </c>
    </row>
    <row r="5" spans="1:4" ht="27.6">
      <c r="A5" t="s">
        <v>460</v>
      </c>
      <c r="B5" t="s">
        <v>461</v>
      </c>
      <c r="C5" s="13" t="s">
        <v>462</v>
      </c>
      <c r="D5" s="13" t="s">
        <v>454</v>
      </c>
    </row>
    <row r="6" spans="1:4" ht="27.6">
      <c r="A6" t="s">
        <v>463</v>
      </c>
      <c r="B6" t="s">
        <v>464</v>
      </c>
      <c r="C6" s="13" t="s">
        <v>465</v>
      </c>
      <c r="D6" s="13" t="s">
        <v>454</v>
      </c>
    </row>
    <row r="7" spans="1:4" ht="27.6">
      <c r="A7" t="s">
        <v>466</v>
      </c>
      <c r="B7" t="s">
        <v>467</v>
      </c>
      <c r="C7" s="13" t="s">
        <v>468</v>
      </c>
      <c r="D7" s="13" t="s">
        <v>454</v>
      </c>
    </row>
    <row r="8" spans="1:4" ht="27.6">
      <c r="A8" t="s">
        <v>469</v>
      </c>
      <c r="B8" t="s">
        <v>470</v>
      </c>
      <c r="C8" s="13" t="s">
        <v>471</v>
      </c>
      <c r="D8" s="13" t="s">
        <v>454</v>
      </c>
    </row>
    <row r="9" spans="1:4" ht="27.6">
      <c r="A9" t="s">
        <v>472</v>
      </c>
      <c r="B9" t="s">
        <v>473</v>
      </c>
      <c r="C9" s="13" t="s">
        <v>474</v>
      </c>
      <c r="D9" s="13" t="s">
        <v>454</v>
      </c>
    </row>
    <row r="10" spans="1:4" ht="27.6">
      <c r="A10" t="s">
        <v>475</v>
      </c>
      <c r="B10" t="s">
        <v>476</v>
      </c>
      <c r="C10" s="13" t="s">
        <v>477</v>
      </c>
      <c r="D10" s="13" t="s">
        <v>454</v>
      </c>
    </row>
    <row r="11" spans="1:4" ht="27.6">
      <c r="A11" t="s">
        <v>478</v>
      </c>
      <c r="B11" t="s">
        <v>479</v>
      </c>
      <c r="C11" s="13" t="s">
        <v>480</v>
      </c>
      <c r="D11" s="13" t="s">
        <v>454</v>
      </c>
    </row>
    <row r="12" spans="1:4" ht="27.6">
      <c r="A12" t="s">
        <v>481</v>
      </c>
      <c r="B12" t="s">
        <v>482</v>
      </c>
      <c r="C12" s="13" t="s">
        <v>483</v>
      </c>
      <c r="D12" s="13" t="s">
        <v>454</v>
      </c>
    </row>
    <row r="13" spans="1:4" ht="27.6">
      <c r="A13" t="s">
        <v>484</v>
      </c>
      <c r="B13" t="s">
        <v>100</v>
      </c>
      <c r="C13" s="13" t="s">
        <v>485</v>
      </c>
      <c r="D13" s="13" t="s">
        <v>454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2.69921875" customWidth="1"/>
    <col min="2" max="2" width="18.69921875" customWidth="1"/>
    <col min="3" max="3" width="14.69921875" customWidth="1"/>
    <col min="4" max="4" width="22.69921875" customWidth="1"/>
    <col min="5" max="5" width="60.69921875" customWidth="1"/>
    <col min="6" max="6" width="40.69921875" customWidth="1"/>
  </cols>
  <sheetData>
    <row r="1" spans="1:6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4">
        <v>2025</v>
      </c>
      <c r="C2" t="s">
        <v>28</v>
      </c>
      <c r="D2" t="s">
        <v>29</v>
      </c>
      <c r="E2" s="13" t="s">
        <v>30</v>
      </c>
      <c r="F2" t="s">
        <v>31</v>
      </c>
    </row>
    <row r="3" spans="1:6">
      <c r="A3" t="s">
        <v>7</v>
      </c>
      <c r="B3" s="4">
        <v>2050</v>
      </c>
      <c r="C3" t="s">
        <v>28</v>
      </c>
      <c r="D3" t="s">
        <v>29</v>
      </c>
      <c r="E3" s="13" t="s">
        <v>32</v>
      </c>
      <c r="F3" t="s">
        <v>31</v>
      </c>
    </row>
    <row r="4" spans="1:6">
      <c r="A4" t="s">
        <v>8</v>
      </c>
      <c r="B4" s="2" t="s">
        <v>73</v>
      </c>
      <c r="C4" t="s">
        <v>33</v>
      </c>
      <c r="D4" t="s">
        <v>29</v>
      </c>
      <c r="E4" s="13" t="s">
        <v>34</v>
      </c>
      <c r="F4" t="s">
        <v>31</v>
      </c>
    </row>
    <row r="5" spans="1:6">
      <c r="A5" t="s">
        <v>9</v>
      </c>
      <c r="B5" s="4">
        <v>2026</v>
      </c>
      <c r="C5" t="s">
        <v>28</v>
      </c>
      <c r="D5" t="s">
        <v>29</v>
      </c>
      <c r="E5" s="13" t="s">
        <v>35</v>
      </c>
      <c r="F5" t="s">
        <v>31</v>
      </c>
    </row>
    <row r="6" spans="1:6">
      <c r="A6" t="s">
        <v>10</v>
      </c>
      <c r="B6" s="4">
        <v>2030</v>
      </c>
      <c r="C6" t="s">
        <v>28</v>
      </c>
      <c r="D6" t="s">
        <v>29</v>
      </c>
      <c r="E6" s="13" t="s">
        <v>36</v>
      </c>
      <c r="F6" t="s">
        <v>31</v>
      </c>
    </row>
    <row r="7" spans="1:6">
      <c r="A7" t="s">
        <v>11</v>
      </c>
      <c r="B7" s="5">
        <v>3</v>
      </c>
      <c r="C7" t="s">
        <v>37</v>
      </c>
      <c r="D7" t="s">
        <v>29</v>
      </c>
      <c r="E7" s="13" t="s">
        <v>38</v>
      </c>
      <c r="F7" t="s">
        <v>31</v>
      </c>
    </row>
    <row r="8" spans="1:6">
      <c r="A8" t="s">
        <v>12</v>
      </c>
      <c r="B8" s="6">
        <v>0.03</v>
      </c>
      <c r="C8" t="s">
        <v>39</v>
      </c>
      <c r="D8" t="s">
        <v>29</v>
      </c>
      <c r="E8" s="13" t="s">
        <v>40</v>
      </c>
      <c r="F8" t="s">
        <v>31</v>
      </c>
    </row>
    <row r="9" spans="1:6">
      <c r="A9" t="s">
        <v>13</v>
      </c>
      <c r="B9" s="4">
        <v>2023</v>
      </c>
      <c r="C9" t="s">
        <v>41</v>
      </c>
      <c r="D9" t="s">
        <v>29</v>
      </c>
      <c r="E9" s="13" t="s">
        <v>42</v>
      </c>
      <c r="F9" t="s">
        <v>31</v>
      </c>
    </row>
    <row r="10" spans="1:6">
      <c r="A10" t="s">
        <v>14</v>
      </c>
      <c r="B10" s="4">
        <v>2017</v>
      </c>
      <c r="C10" t="s">
        <v>41</v>
      </c>
      <c r="D10" t="s">
        <v>29</v>
      </c>
      <c r="E10" s="13" t="s">
        <v>43</v>
      </c>
      <c r="F10" t="s">
        <v>31</v>
      </c>
    </row>
    <row r="11" spans="1:6">
      <c r="A11" t="s">
        <v>15</v>
      </c>
      <c r="B11" s="2" t="s">
        <v>68</v>
      </c>
      <c r="C11" t="s">
        <v>15</v>
      </c>
      <c r="D11" t="s">
        <v>44</v>
      </c>
      <c r="E11" s="13" t="s">
        <v>45</v>
      </c>
      <c r="F11" t="s">
        <v>31</v>
      </c>
    </row>
    <row r="12" spans="1:6">
      <c r="A12" t="s">
        <v>16</v>
      </c>
      <c r="B12" s="2" t="s">
        <v>74</v>
      </c>
      <c r="C12" t="s">
        <v>46</v>
      </c>
      <c r="D12" t="s">
        <v>44</v>
      </c>
      <c r="E12" s="13" t="s">
        <v>47</v>
      </c>
      <c r="F12" t="s">
        <v>31</v>
      </c>
    </row>
    <row r="13" spans="1:6">
      <c r="A13" t="s">
        <v>17</v>
      </c>
      <c r="B13" s="2" t="s">
        <v>75</v>
      </c>
      <c r="C13" t="s">
        <v>46</v>
      </c>
      <c r="D13" t="s">
        <v>29</v>
      </c>
      <c r="E13" s="13" t="s">
        <v>48</v>
      </c>
      <c r="F13" t="s">
        <v>31</v>
      </c>
    </row>
    <row r="14" spans="1:6">
      <c r="A14" t="s">
        <v>18</v>
      </c>
      <c r="B14" s="7">
        <v>0</v>
      </c>
      <c r="C14" t="s">
        <v>49</v>
      </c>
      <c r="D14" t="s">
        <v>29</v>
      </c>
      <c r="E14" s="13" t="s">
        <v>50</v>
      </c>
      <c r="F14" t="s">
        <v>51</v>
      </c>
    </row>
    <row r="15" spans="1:6">
      <c r="A15" t="s">
        <v>19</v>
      </c>
      <c r="B15" s="7">
        <v>1E-3</v>
      </c>
      <c r="C15" t="s">
        <v>52</v>
      </c>
      <c r="D15" t="s">
        <v>53</v>
      </c>
      <c r="E15" s="13" t="s">
        <v>54</v>
      </c>
      <c r="F15" t="s">
        <v>55</v>
      </c>
    </row>
    <row r="16" spans="1:6">
      <c r="A16" t="s">
        <v>20</v>
      </c>
      <c r="B16" s="8">
        <v>1000</v>
      </c>
      <c r="C16" t="s">
        <v>56</v>
      </c>
      <c r="D16" t="s">
        <v>53</v>
      </c>
      <c r="E16" s="13" t="s">
        <v>57</v>
      </c>
      <c r="F16" t="s">
        <v>55</v>
      </c>
    </row>
    <row r="17" spans="1:6">
      <c r="A17" t="s">
        <v>21</v>
      </c>
      <c r="B17" s="9">
        <v>0</v>
      </c>
      <c r="C17" t="s">
        <v>58</v>
      </c>
      <c r="D17" t="s">
        <v>59</v>
      </c>
      <c r="E17" s="13" t="s">
        <v>60</v>
      </c>
      <c r="F17" t="s">
        <v>61</v>
      </c>
    </row>
    <row r="18" spans="1:6">
      <c r="A18" t="s">
        <v>22</v>
      </c>
      <c r="B18" s="10">
        <v>127.1</v>
      </c>
      <c r="C18" t="s">
        <v>56</v>
      </c>
      <c r="D18" t="s">
        <v>59</v>
      </c>
      <c r="E18" s="13" t="s">
        <v>62</v>
      </c>
      <c r="F18" t="s">
        <v>61</v>
      </c>
    </row>
    <row r="19" spans="1:6">
      <c r="A19" t="s">
        <v>23</v>
      </c>
      <c r="B19" s="11">
        <v>1</v>
      </c>
      <c r="C19" t="s">
        <v>58</v>
      </c>
      <c r="D19" t="s">
        <v>59</v>
      </c>
      <c r="E19" s="13" t="s">
        <v>63</v>
      </c>
      <c r="F19" t="s">
        <v>61</v>
      </c>
    </row>
    <row r="20" spans="1:6">
      <c r="A20" t="s">
        <v>24</v>
      </c>
      <c r="B20" s="9">
        <v>2743414.0440282202</v>
      </c>
      <c r="C20" t="s">
        <v>64</v>
      </c>
      <c r="D20" t="s">
        <v>65</v>
      </c>
      <c r="E20" s="13" t="s">
        <v>66</v>
      </c>
      <c r="F20" t="s">
        <v>67</v>
      </c>
    </row>
    <row r="21" spans="1:6">
      <c r="A21" t="s">
        <v>25</v>
      </c>
      <c r="B21" s="9">
        <v>385629092.95356202</v>
      </c>
      <c r="C21" t="s">
        <v>68</v>
      </c>
      <c r="D21" t="s">
        <v>65</v>
      </c>
      <c r="E21" s="13" t="s">
        <v>69</v>
      </c>
      <c r="F21" t="s">
        <v>67</v>
      </c>
    </row>
    <row r="22" spans="1:6">
      <c r="A22" t="s">
        <v>26</v>
      </c>
      <c r="B22" s="12">
        <v>140.565400178288</v>
      </c>
      <c r="C22" t="s">
        <v>70</v>
      </c>
      <c r="D22" t="s">
        <v>65</v>
      </c>
      <c r="E22" s="13" t="s">
        <v>71</v>
      </c>
      <c r="F22" t="s">
        <v>67</v>
      </c>
    </row>
    <row r="23" spans="1:6">
      <c r="A23" t="s">
        <v>27</v>
      </c>
      <c r="B23" s="3" t="s">
        <v>76</v>
      </c>
      <c r="C23" t="s">
        <v>33</v>
      </c>
      <c r="D23" t="s">
        <v>65</v>
      </c>
      <c r="E23" s="13" t="s">
        <v>72</v>
      </c>
      <c r="F23" t="s">
        <v>67</v>
      </c>
    </row>
  </sheetData>
  <autoFilter ref="A1:F1" xr:uid="{00000000-0009-0000-0000-000010000000}"/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2.69921875" customWidth="1"/>
    <col min="2" max="2" width="30.69921875" customWidth="1"/>
    <col min="3" max="3" width="40.69921875" customWidth="1"/>
    <col min="4" max="4" width="52.69921875" customWidth="1"/>
  </cols>
  <sheetData>
    <row r="1" spans="1:4" ht="28.05" customHeight="1">
      <c r="A1" s="1" t="s">
        <v>486</v>
      </c>
      <c r="B1" s="1" t="s">
        <v>487</v>
      </c>
      <c r="C1" s="1" t="s">
        <v>488</v>
      </c>
      <c r="D1" s="1" t="s">
        <v>489</v>
      </c>
    </row>
    <row r="2" spans="1:4">
      <c r="A2" t="s">
        <v>490</v>
      </c>
      <c r="B2" t="s">
        <v>491</v>
      </c>
      <c r="C2" s="13" t="s">
        <v>492</v>
      </c>
      <c r="D2" s="13" t="s">
        <v>493</v>
      </c>
    </row>
    <row r="3" spans="1:4">
      <c r="A3" t="s">
        <v>494</v>
      </c>
      <c r="B3" t="s">
        <v>495</v>
      </c>
      <c r="C3" s="13" t="s">
        <v>496</v>
      </c>
      <c r="D3" s="13" t="s">
        <v>497</v>
      </c>
    </row>
    <row r="4" spans="1:4">
      <c r="A4" t="s">
        <v>498</v>
      </c>
      <c r="B4" t="s">
        <v>499</v>
      </c>
      <c r="C4" s="13" t="s">
        <v>500</v>
      </c>
      <c r="D4" s="13" t="s">
        <v>501</v>
      </c>
    </row>
    <row r="5" spans="1:4">
      <c r="A5" t="s">
        <v>502</v>
      </c>
      <c r="B5" t="s">
        <v>503</v>
      </c>
      <c r="C5" s="13" t="s">
        <v>504</v>
      </c>
      <c r="D5" s="13" t="s">
        <v>505</v>
      </c>
    </row>
    <row r="6" spans="1:4">
      <c r="A6" t="s">
        <v>506</v>
      </c>
      <c r="B6" t="s">
        <v>507</v>
      </c>
      <c r="C6" s="13" t="s">
        <v>508</v>
      </c>
      <c r="D6" s="13" t="s">
        <v>509</v>
      </c>
    </row>
    <row r="7" spans="1:4" ht="27.6">
      <c r="A7" t="s">
        <v>510</v>
      </c>
      <c r="B7" t="s">
        <v>511</v>
      </c>
      <c r="C7" s="13" t="s">
        <v>512</v>
      </c>
      <c r="D7" s="13" t="s">
        <v>513</v>
      </c>
    </row>
    <row r="8" spans="1:4">
      <c r="A8" t="s">
        <v>514</v>
      </c>
      <c r="B8" t="s">
        <v>515</v>
      </c>
      <c r="C8" s="13" t="s">
        <v>510</v>
      </c>
      <c r="D8" s="13" t="s">
        <v>516</v>
      </c>
    </row>
    <row r="9" spans="1:4" ht="27.6">
      <c r="A9" t="s">
        <v>517</v>
      </c>
      <c r="B9" t="s">
        <v>518</v>
      </c>
      <c r="C9" s="13" t="s">
        <v>519</v>
      </c>
      <c r="D9" s="13" t="s">
        <v>520</v>
      </c>
    </row>
    <row r="10" spans="1:4">
      <c r="A10" t="s">
        <v>521</v>
      </c>
      <c r="B10" t="s">
        <v>522</v>
      </c>
      <c r="C10" s="13" t="s">
        <v>523</v>
      </c>
      <c r="D10" s="13" t="s">
        <v>524</v>
      </c>
    </row>
    <row r="11" spans="1:4">
      <c r="A11" t="s">
        <v>525</v>
      </c>
      <c r="B11" t="s">
        <v>526</v>
      </c>
      <c r="C11" s="13" t="s">
        <v>527</v>
      </c>
      <c r="D11" s="13" t="s">
        <v>528</v>
      </c>
    </row>
  </sheetData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README</vt:lpstr>
      <vt:lpstr>Run_Metadata</vt:lpstr>
      <vt:lpstr>Selected_Interventions</vt:lpstr>
      <vt:lpstr>Blocked_Links</vt:lpstr>
      <vt:lpstr>Policy_Levers</vt:lpstr>
      <vt:lpstr>Exposure_Targets</vt:lpstr>
      <vt:lpstr>Effect_Parameters</vt:lpstr>
      <vt:lpstr>Cost_Components</vt:lpstr>
      <vt:lpstr>Annual_Mortality</vt:lpstr>
      <vt:lpstr>Annual_Cost</vt:lpstr>
      <vt:lpstr>Budget_Impact</vt:lpstr>
      <vt:lpstr>Cost_Effectiveness</vt:lpstr>
      <vt:lpstr>Economic_Value</vt:lpstr>
      <vt:lpstr>QA_Checks</vt:lpstr>
      <vt:lpstr>Input_Diagnostic</vt:lpstr>
      <vt:lpstr>Methods_and_Sources</vt:lpstr>
      <vt:lpstr>Calculation_Assumptions</vt:lpstr>
      <vt:lpstr>Calculation_Map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wrgar</dc:creator>
  <cp:lastModifiedBy>William R Garcia</cp:lastModifiedBy>
  <dcterms:created xsi:type="dcterms:W3CDTF">2026-08-18T22:04:46Z</dcterms:created>
  <dcterms:modified xsi:type="dcterms:W3CDTF">2026-08-18T23:14:16Z</dcterms:modified>
</cp:coreProperties>
</file>