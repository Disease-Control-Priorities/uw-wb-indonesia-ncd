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16"/>
  </bookViews>
  <sheets>
    <sheet name="README" sheetId="2" state="visible" r:id="rId2"/>
    <sheet name="Run_Metadata" sheetId="3" state="visible" r:id="rId3"/>
    <sheet name="Selected_Interventions" sheetId="4" state="visible" r:id="rId4"/>
    <sheet name="Blocked_Links" sheetId="5" state="visible" r:id="rId5"/>
    <sheet name="Policy_Levers" sheetId="6" state="visible" r:id="rId6"/>
    <sheet name="Exposure_Targets" sheetId="7" state="visible" r:id="rId7"/>
    <sheet name="Effect_Parameters" sheetId="8" state="visible" r:id="rId8"/>
    <sheet name="Cost_Components" sheetId="9" state="visible" r:id="rId9"/>
    <sheet name="Annual_Mortality" sheetId="10" state="visible" r:id="rId10"/>
    <sheet name="Annual_Cost" sheetId="11" state="visible" r:id="rId11"/>
    <sheet name="Budget_Impact" sheetId="12" state="visible" r:id="rId12"/>
    <sheet name="Cost_Effectiveness" sheetId="13" state="visible" r:id="rId13"/>
    <sheet name="Economic_Value" sheetId="14" state="visible" r:id="rId14"/>
    <sheet name="QA_Checks" sheetId="15" state="visible" r:id="rId15"/>
    <sheet name="Input_Diagnostic" sheetId="16" state="visible" r:id="rId16"/>
    <sheet name="Methods_and_Sources" sheetId="17" state="visible" r:id="rId17"/>
    <sheet name="Calculation_Assumptions" sheetId="1" state="visible" r:id="rId1"/>
    <sheet name="Calculation_Map" sheetId="18" state="visible" r:id="rId18"/>
  </sheets>
  <calcPr calcId="191029" fullCalcOnLoad="1"/>
</workbook>
</file>

<file path=xl/sharedStrings.xml><?xml version="1.0" encoding="utf-8"?>
<sst xmlns="http://schemas.openxmlformats.org/spreadsheetml/2006/main" count="530" uniqueCount="530">
  <si>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</si>
  <si>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</si>
  <si>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</si>
  <si>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</si>
  <si>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</si>
  <si>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</si>
  <si>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</si>
  <si>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</si>
  <si>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</si>
  <si>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policy_start_year</t>
  </si>
  <si>
    <t xml:space="preserve">exposure_target_year</t>
  </si>
  <si>
    <t xml:space="preserve">policy_cost_ramp_years</t>
  </si>
  <si>
    <t xml:space="preserve">cost_discount_rate</t>
  </si>
  <si>
    <t xml:space="preserve">reporting_price_year</t>
  </si>
  <si>
    <t xml:space="preserve">source_cost_price_year</t>
  </si>
  <si>
    <t xml:space="preserve">currency</t>
  </si>
  <si>
    <t xml:space="preserve">economic_perspective</t>
  </si>
  <si>
    <t xml:space="preserve">scale_up_shape</t>
  </si>
  <si>
    <t xml:space="preserve">baseline_implementation_fraction</t>
  </si>
  <si>
    <t xml:space="preserve">formula_tolerance</t>
  </si>
  <si>
    <t xml:space="preserve">stock_flow_residual_limit</t>
  </si>
  <si>
    <t xml:space="preserve">r_negative_state_count</t>
  </si>
  <si>
    <t xml:space="preserve">r_stock_flow_max_residual</t>
  </si>
  <si>
    <t xml:space="preserve">r_background_distinct_count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</si>
  <si>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</si>
  <si>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</si>
  <si>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</si>
  <si>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</si>
  <si>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year</t>
  </si>
  <si>
    <t xml:space="preserve">formula control</t>
  </si>
  <si>
    <t xml:space="preserve">First model and discount year</t>
  </si>
  <si>
    <t xml:space="preserve">indonesia_model_inputs_public_health.xlsx</t>
  </si>
  <si>
    <t xml:space="preserve">Last model year</t>
  </si>
  <si>
    <t xml:space="preserve">scenario id</t>
  </si>
  <si>
    <t xml:space="preserve">No-new-policy comparator</t>
  </si>
  <si>
    <t xml:space="preserve">First policy implementation year</t>
  </si>
  <si>
    <t xml:space="preserve">Year full exposure reduction is reached</t>
  </si>
  <si>
    <t xml:space="preserve">years</t>
  </si>
  <si>
    <t xml:space="preserve">Years to full policy cost</t>
  </si>
  <si>
    <t xml:space="preserve">proportion/year</t>
  </si>
  <si>
    <t xml:space="preserve">Annual discount rate applied to costs</t>
  </si>
  <si>
    <t xml:space="preserve">USD year</t>
  </si>
  <si>
    <t xml:space="preserve">Reporting price year</t>
  </si>
  <si>
    <t xml:space="preserve">Price year of source unit costs</t>
  </si>
  <si>
    <t xml:space="preserve">metadata</t>
  </si>
  <si>
    <t xml:space="preserve">Reporting currency</t>
  </si>
  <si>
    <t xml:space="preserve">text</t>
  </si>
  <si>
    <t xml:space="preserve">Economic evaluation perspective</t>
  </si>
  <si>
    <t xml:space="preserve">Cost/effect scale-up shape</t>
  </si>
  <si>
    <t xml:space="preserve">proportion</t>
  </si>
  <si>
    <t xml:space="preserve">Baseline (counterfactual) policy implementation fraction</t>
  </si>
  <si>
    <t xml:space="preserve">Model 09</t>
  </si>
  <si>
    <t xml:space="preserve">USD/count</t>
  </si>
  <si>
    <t xml:space="preserve">QA control</t>
  </si>
  <si>
    <t xml:space="preserve">Absolute reconciliation tolerance</t>
  </si>
  <si>
    <t xml:space="preserve">Workbook QA rule</t>
  </si>
  <si>
    <t xml:space="preserve">persons</t>
  </si>
  <si>
    <t xml:space="preserve">Persons tolerance for the stock/flow identity check</t>
  </si>
  <si>
    <t xml:space="preserve">count</t>
  </si>
  <si>
    <t xml:space="preserve">R QA source</t>
  </si>
  <si>
    <t xml:space="preserve">Impossible negative state count (R)</t>
  </si>
  <si>
    <t xml:space="preserve">Model 09 current run</t>
  </si>
  <si>
    <t xml:space="preserve">Max stock/flow residual (R)</t>
  </si>
  <si>
    <t xml:space="preserve">Max distinct all-cause mx across cause (R)</t>
  </si>
  <si>
    <t xml:space="preserve">deaths</t>
  </si>
  <si>
    <t xml:space="preserve">R reconciliation source</t>
  </si>
  <si>
    <t xml:space="preserve">R deaths averted for the anchor scenario</t>
  </si>
  <si>
    <t xml:space="preserve">Model 09 current run (R CEA)</t>
  </si>
  <si>
    <t xml:space="preserve">USD</t>
  </si>
  <si>
    <t xml:space="preserve">R discounted incremental cost for the anchor scenario</t>
  </si>
  <si>
    <t xml:space="preserve">USD/death</t>
  </si>
  <si>
    <t xml:space="preserve">R USD per death averted for the anchor scenario</t>
  </si>
  <si>
    <t xml:space="preserve">Scenario used for Excel-vs-R reconciliation</t>
  </si>
  <si>
    <t xml:space="preserve">baseline</t>
  </si>
  <si>
    <t xml:space="preserve">health_system</t>
  </si>
  <si>
    <t xml:space="preserve">linear</t>
  </si>
  <si>
    <t xml:space="preserve">all_public_health</t>
  </si>
  <si>
    <t xml:space="preserve">Indonesia NCD - public-health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</si>
  <si>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</si>
  <si>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</si>
  <si>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</si>
  <si>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public-health (fiscal/regulatory) policies selected in the public-health input workbook.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</si>
  <si>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</si>
  <si>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the dependency chain.</t>
  </si>
  <si>
    <t xml:space="preserve">Scenarios</t>
  </si>
  <si>
    <t xml:space="preserve">Baseline + one scenario per runnable public-health intervention + a combined 'all_public_health' scenario. Membership derives only from the workbook selections (Model 04).</t>
  </si>
  <si>
    <t xml:space="preserve">Baseline pairing</t>
  </si>
  <si>
    <t xml:space="preserve">Deaths averted = baseline deaths - scenario deaths, matched at year x cause (both-sex totals).</t>
  </si>
  <si>
    <t xml:space="preserve">Effect model</t>
  </si>
  <si>
    <t xml:space="preserve">Incidence effect = exposure-based: prevalence-shift RR (tobacco), log-linear RR per unit reduction (alcohol/sodium/SSB) or PAF x policy score (TFA). NO clinical coverage-adjustment formula is used.</t>
  </si>
  <si>
    <t xml:space="preserve">Exposure path</t>
  </si>
  <si>
    <t xml:space="preserve">Achieved exposure pt(t) ramps linearly baseline-&gt;target over start_year..target_year, floored; exposure reductions are shown as formulas on Exposure_Targets.</t>
  </si>
  <si>
    <t xml:space="preserve">Lag</t>
  </si>
  <si>
    <t xml:space="preserve">immediate_after_full_implementation: effect tracks the exposure path. delayed_exponential_remaining_effect (tobacco): full target effect accrues as 1-(1-rate)^(years since start).</t>
  </si>
  <si>
    <t xml:space="preserve">Costing</t>
  </si>
  <si>
    <t xml:space="preserve">annual_cost = population(t) x PIN fraction x implementation_fraction(t) x frequency x unit_cost. Public-wide policies use the deduplicated total population (once per age/sex/year, never per cause).</t>
  </si>
  <si>
    <t xml:space="preserve">Shared costs</t>
  </si>
  <si>
    <t xml:space="preserve">Shared policy costs (cost_scope 'shared-count-once', ...__C_SHARED) are counted once per intervention/scenario/year, never once per affected cause.</t>
  </si>
  <si>
    <t xml:space="preserve">Budget impact</t>
  </si>
  <si>
    <t xml:space="preserve">Budget impact reports UNDISCOUNTED baseline, scenario, incremental and cumulative incremental cost; discounted incremental cost is a separate column.</t>
  </si>
  <si>
    <t xml:space="preserve">Cost-effectiveness</t>
  </si>
  <si>
    <t xml:space="preserve">USD per death averted = cumulative discounted incremental cost / cumulative (undiscounted) deaths averted. Not a DALY-based ICER; DALYs are deferred.</t>
  </si>
  <si>
    <t xml:space="preserve">Economic value</t>
  </si>
  <si>
    <t xml:space="preserve">Value of statistical life (Model 08) covers the clinical CVD scenarios only and does not reconcile with public-health scenarios; see the Economic_Value note.</t>
  </si>
  <si>
    <t xml:space="preserve">QA &amp; reconciliation</t>
  </si>
  <si>
    <t xml:space="preserve">QA_Checks recomputes each invariant in Excel and reconciles the Excel cost-effectiveness headline against the R engine values on Calculation_Assumptions. PASS/REVIEW/FAIL are conditionally formatted.</t>
  </si>
  <si>
    <t xml:space="preserve">Colour legend</t>
  </si>
  <si>
    <t xml:space="preserve">Header dark-blue; formula-derived light-blue; R source/helper grey; editable controls pale-yellow; PASS green; REVIEW amber; FAIL red.</t>
  </si>
  <si>
    <t xml:space="preserve">Deferred</t>
  </si>
  <si>
    <t xml:space="preserve">DALYs/YLL/YLD/disability weights are deferred; the principal cost-effectiveness result is USD per death averted.</t>
  </si>
  <si>
    <t xml:space="preserve">item</t>
  </si>
  <si>
    <t xml:space="preserve">Workbook title</t>
  </si>
  <si>
    <t xml:space="preserve">Indonesia NCD public-health - cost &amp; value</t>
  </si>
  <si>
    <t xml:space="preserve">Run date</t>
  </si>
  <si>
    <t xml:space="preserve">2026-08-19</t>
  </si>
  <si>
    <t xml:space="preserve">Model / pipeline</t>
  </si>
  <si>
    <t xml:space="preserve">CVD FAIR Choices pipeline (Models 00-06 -&gt; 09), public-health family</t>
  </si>
  <si>
    <t xml:space="preserve">Public-health input workbook</t>
  </si>
  <si>
    <t xml:space="preserve">C:/Users/wrgar/OneDrive - UW/02Work/WorldBank-Indonesia/uw-wb-indonesia-ncd/data/indonesia_model_inputs_public_health.xlsx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</si>
  <si>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</si>
  <si>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</si>
  <si>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</si>
  <si>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</si>
  <si>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</si>
  <si>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</si>
  <si>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</si>
  <si>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</si>
  <si>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I_PH_ALCOHOL_POLICY, I_PH_ALCOHOL_TAX, I_PH_SALT_POLICY, I_PH_SSB_TAX, I_PH_TOBACCO_POLICY, I_PH_TOBACCO_TAX, all_public_health</t>
  </si>
  <si>
    <t xml:space="preserve">Cost discount rate</t>
  </si>
  <si>
    <t xml:space="preserve">3.0%</t>
  </si>
  <si>
    <t xml:space="preserve">2023</t>
  </si>
  <si>
    <t xml:space="preserve">Currency</t>
  </si>
  <si>
    <t xml:space="preserve">Economic perspective</t>
  </si>
  <si>
    <t xml:space="preserve">Policy start / target year</t>
  </si>
  <si>
    <t xml:space="preserve">2026 / 2030</t>
  </si>
  <si>
    <t xml:space="preserve">Cost ramp years</t>
  </si>
  <si>
    <t xml:space="preserve">3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</si>
  <si>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</si>
  <si>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</si>
  <si>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</si>
  <si>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</si>
  <si>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</si>
  <si>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</si>
  <si>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intervention_id</t>
  </si>
  <si>
    <t xml:space="preserve">intervention_cause_key</t>
  </si>
  <si>
    <t xml:space="preserve">intervention_name</t>
  </si>
  <si>
    <t xml:space="preserve">risk_id</t>
  </si>
  <si>
    <t xml:space="preserve">cause_id</t>
  </si>
  <si>
    <t xml:space="preserve">cause_code</t>
  </si>
  <si>
    <t xml:space="preserve">effect_model</t>
  </si>
  <si>
    <t xml:space="preserve">baseline_exposure</t>
  </si>
  <si>
    <t xml:space="preserve">target_exposure</t>
  </si>
  <si>
    <t xml:space="preserve">response_value</t>
  </si>
  <si>
    <t xml:space="preserve">paf_value</t>
  </si>
  <si>
    <t xml:space="preserve">lag_model</t>
  </si>
  <si>
    <t xml:space="preserve">lag_parameter</t>
  </si>
  <si>
    <t xml:space="preserve">exposure_start_year</t>
  </si>
  <si>
    <t xml:space="preserve">full_effect_at_target</t>
  </si>
  <si>
    <t xml:space="preserve">exposure_reduction_abs</t>
  </si>
  <si>
    <t xml:space="preserve">exposure_reduction_rel</t>
  </si>
  <si>
    <t xml:space="preserve">cost_join_key</t>
  </si>
  <si>
    <t xml:space="preserve">review_status</t>
  </si>
  <si>
    <t xml:space="preserve">key_count</t>
  </si>
  <si>
    <t xml:space="preserve">formula_status</t>
  </si>
  <si>
    <t xml:space="preserve">I_PH_ALCOHOL_POLICY</t>
  </si>
  <si>
    <t xml:space="preserve">I_PH_ALCOHOL_POLICY__C_CMYO</t>
  </si>
  <si>
    <t xml:space="preserve">Alcohol policy</t>
  </si>
  <si>
    <t xml:space="preserve">R_ALCOHOL</t>
  </si>
  <si>
    <t xml:space="preserve">C_CMYO</t>
  </si>
  <si>
    <t xml:space="preserve">cmd</t>
  </si>
  <si>
    <t xml:space="preserve">direct_loglinear_rr_per_unit_reduction</t>
  </si>
  <si>
    <t xml:space="preserve">immediate_after_full_implementation</t>
  </si>
  <si>
    <t xml:space="preserve">I_PH_ALCOHOL_POLICY__C_SHARED</t>
  </si>
  <si>
    <t xml:space="preserve">Provisional proxy</t>
  </si>
  <si>
    <t xml:space="preserve">I_PH_ALCOHOL_POLICY__C_HHD</t>
  </si>
  <si>
    <t xml:space="preserve">C_HHD</t>
  </si>
  <si>
    <t xml:space="preserve">hhd</t>
  </si>
  <si>
    <t xml:space="preserve">Ready</t>
  </si>
  <si>
    <t xml:space="preserve">I_PH_ALCOHOL_POLICY__C_ICH</t>
  </si>
  <si>
    <t xml:space="preserve">C_ICH</t>
  </si>
  <si>
    <t xml:space="preserve">hstroke</t>
  </si>
  <si>
    <t xml:space="preserve">I_PH_ALCOHOL_POLICY__C_IHD</t>
  </si>
  <si>
    <t xml:space="preserve">C_IHD</t>
  </si>
  <si>
    <t xml:space="preserve">ihd</t>
  </si>
  <si>
    <t xml:space="preserve">I_PH_ALCOHOL_POLICY__C_IS</t>
  </si>
  <si>
    <t xml:space="preserve">C_IS</t>
  </si>
  <si>
    <t xml:space="preserve">istroke</t>
  </si>
  <si>
    <t xml:space="preserve">I_PH_ALCOHOL_TAX</t>
  </si>
  <si>
    <t xml:space="preserve">I_PH_ALCOHOL_TAX__C_CMYO</t>
  </si>
  <si>
    <t xml:space="preserve">Alcohol tax</t>
  </si>
  <si>
    <t xml:space="preserve">I_PH_ALCOHOL_TAX__C_SHARED</t>
  </si>
  <si>
    <t xml:space="preserve">I_PH_ALCOHOL_TAX__C_HHD</t>
  </si>
  <si>
    <t xml:space="preserve">I_PH_ALCOHOL_TAX__C_ICH</t>
  </si>
  <si>
    <t xml:space="preserve">I_PH_ALCOHOL_TAX__C_IHD</t>
  </si>
  <si>
    <t xml:space="preserve">I_PH_ALCOHOL_TAX__C_IS</t>
  </si>
  <si>
    <t xml:space="preserve">I_PH_SALT_POLICY</t>
  </si>
  <si>
    <t xml:space="preserve">I_PH_SALT_POLICY__C_HHD</t>
  </si>
  <si>
    <t xml:space="preserve">Salt policy</t>
  </si>
  <si>
    <t xml:space="preserve">R_SODIUM</t>
  </si>
  <si>
    <t xml:space="preserve">I_PH_SALT_POLICY__C_SHARED</t>
  </si>
  <si>
    <t xml:space="preserve">I_PH_SALT_POLICY__C_ICH</t>
  </si>
  <si>
    <t xml:space="preserve">I_PH_SALT_POLICY__C_IHD</t>
  </si>
  <si>
    <t xml:space="preserve">I_PH_SALT_POLICY__C_IS</t>
  </si>
  <si>
    <t xml:space="preserve">I_PH_SSB_TAX</t>
  </si>
  <si>
    <t xml:space="preserve">I_PH_SSB_TAX__C_T2DM</t>
  </si>
  <si>
    <t xml:space="preserve">Sugar-sweetened beverage tax</t>
  </si>
  <si>
    <t xml:space="preserve">R_SSB</t>
  </si>
  <si>
    <t xml:space="preserve">C_T2DM</t>
  </si>
  <si>
    <t xml:space="preserve">dm2</t>
  </si>
  <si>
    <t xml:space="preserve">I_PH_SSB_TAX__C_SHARED</t>
  </si>
  <si>
    <t xml:space="preserve">I_PH_SSB_TAX__C_HHD</t>
  </si>
  <si>
    <t xml:space="preserve">I_PH_SSB_TAX__C_ICH</t>
  </si>
  <si>
    <t xml:space="preserve">I_PH_SSB_TAX__C_IHD</t>
  </si>
  <si>
    <t xml:space="preserve">I_PH_SSB_TAX__C_IS</t>
  </si>
  <si>
    <t xml:space="preserve">I_PH_TOBACCO_POLICY</t>
  </si>
  <si>
    <t xml:space="preserve">I_PH_TOBACCO_POLICY__C_T2DM</t>
  </si>
  <si>
    <t xml:space="preserve">Tobacco policy</t>
  </si>
  <si>
    <t xml:space="preserve">R_SMOKING</t>
  </si>
  <si>
    <t xml:space="preserve">direct_smoking_prevalence_shift_rr</t>
  </si>
  <si>
    <t xml:space="preserve">delayed_exponential_remaining_effect</t>
  </si>
  <si>
    <t xml:space="preserve">I_PH_TOBACCO_POLICY__C_SHARED</t>
  </si>
  <si>
    <t xml:space="preserve">Provisional lag proxy</t>
  </si>
  <si>
    <t xml:space="preserve">I_PH_TOBACCO_POLICY__C_ICH</t>
  </si>
  <si>
    <t xml:space="preserve">I_PH_TOBACCO_POLICY__C_IHD</t>
  </si>
  <si>
    <t xml:space="preserve">I_PH_TOBACCO_POLICY__C_IS</t>
  </si>
  <si>
    <t xml:space="preserve">I_PH_TOBACCO_TAX</t>
  </si>
  <si>
    <t xml:space="preserve">I_PH_TOBACCO_TAX__C_T2DM</t>
  </si>
  <si>
    <t xml:space="preserve">Tobacco tax</t>
  </si>
  <si>
    <t xml:space="preserve">I_PH_TOBACCO_TAX__C_SHARED</t>
  </si>
  <si>
    <t xml:space="preserve">I_PH_TOBACCO_TAX__C_ICH</t>
  </si>
  <si>
    <t xml:space="preserve">I_PH_TOBACCO_TAX__C_IHD</t>
  </si>
  <si>
    <t xml:space="preserve">I_PH_TOBACCO_TAX__C_IS</t>
  </si>
  <si>
    <t xml:space="preserve">transition_from</t>
  </si>
  <si>
    <t xml:space="preserve">transition_to</t>
  </si>
  <si>
    <t xml:space="preserve">problem</t>
  </si>
  <si>
    <t xml:space="preserve">I_PH_TFA_POLICY</t>
  </si>
  <si>
    <t xml:space="preserve">I_PH_TFA_POLICY__C_IHD</t>
  </si>
  <si>
    <t xml:space="preserve">well</t>
  </si>
  <si>
    <t xml:space="preserve">sick</t>
  </si>
  <si>
    <t xml:space="preserve">tfa_attributable_ihd_PAF_x_policy_score</t>
  </si>
  <si>
    <t xml:space="preserve">missing response parameter</t>
  </si>
  <si>
    <t xml:space="preserve">lever_id</t>
  </si>
  <si>
    <t xml:space="preserve">component</t>
  </si>
  <si>
    <t xml:space="preserve">lever_method</t>
  </si>
  <si>
    <t xml:space="preserve">baseline_value</t>
  </si>
  <si>
    <t xml:space="preserve">target_value</t>
  </si>
  <si>
    <t xml:space="preserve">lever_unit</t>
  </si>
  <si>
    <t xml:space="preserve">effect_parameter</t>
  </si>
  <si>
    <t xml:space="preserve">estimated_risk_reduction</t>
  </si>
  <si>
    <t xml:space="preserve">qa_status</t>
  </si>
  <si>
    <t xml:space="preserve">PL_TOB_TAX_SHARE</t>
  </si>
  <si>
    <t xml:space="preserve">Tax share of final retail price</t>
  </si>
  <si>
    <t xml:space="preserve">tax_share_to_price_elasticity</t>
  </si>
  <si>
    <t xml:space="preserve">NCD Countdown supplement p 32</t>
  </si>
  <si>
    <t xml:space="preserve">Missing</t>
  </si>
  <si>
    <t xml:space="preserve">OK</t>
  </si>
  <si>
    <t xml:space="preserve">PL_ALC_PRICE</t>
  </si>
  <si>
    <t xml:space="preserve">Total price increase</t>
  </si>
  <si>
    <t xml:space="preserve">price_elasticity</t>
  </si>
  <si>
    <t xml:space="preserve">relative price change</t>
  </si>
  <si>
    <t xml:space="preserve">NCD Countdown supplement p 31</t>
  </si>
  <si>
    <t xml:space="preserve">Provisional</t>
  </si>
  <si>
    <t xml:space="preserve">PL_TOB_CLEAN_AIR</t>
  </si>
  <si>
    <t xml:space="preserve">Smoking ban / clean-air law</t>
  </si>
  <si>
    <t xml:space="preserve">coverage_gap_multiplicative</t>
  </si>
  <si>
    <t xml:space="preserve">implementation proportion</t>
  </si>
  <si>
    <t xml:space="preserve">Review</t>
  </si>
  <si>
    <t xml:space="preserve">PL_TOB_MEDIA</t>
  </si>
  <si>
    <t xml:space="preserve">Highly publicised mass media</t>
  </si>
  <si>
    <t xml:space="preserve">PL_TOB_AD_BAN</t>
  </si>
  <si>
    <t xml:space="preserve">Advertising bans</t>
  </si>
  <si>
    <t xml:space="preserve">PL_ALC_AD_BAN</t>
  </si>
  <si>
    <t xml:space="preserve">Alcohol advertising ban</t>
  </si>
  <si>
    <t xml:space="preserve">PL_SALT_REFORM</t>
  </si>
  <si>
    <t xml:space="preserve">Mandatory product reformulation</t>
  </si>
  <si>
    <t xml:space="preserve">NCD Countdown supplement p 33</t>
  </si>
  <si>
    <t xml:space="preserve">PL_SALT_FOPL</t>
  </si>
  <si>
    <t xml:space="preserve">Front-of-pack labelling</t>
  </si>
  <si>
    <t xml:space="preserve">PL_SALT_MEDIA</t>
  </si>
  <si>
    <t xml:space="preserve">Mass-media campaign</t>
  </si>
  <si>
    <t xml:space="preserve">PL_SALT_ENV</t>
  </si>
  <si>
    <t xml:space="preserve">Supportive public-institution environment</t>
  </si>
  <si>
    <t xml:space="preserve">PL_TFA_SCORE</t>
  </si>
  <si>
    <t xml:space="preserve">Trans fat policy</t>
  </si>
  <si>
    <t xml:space="preserve">WHO TFA policy score</t>
  </si>
  <si>
    <t xml:space="preserve">score_lookup</t>
  </si>
  <si>
    <t xml:space="preserve">score 0-4</t>
  </si>
  <si>
    <t xml:space="preserve">NCD Countdown supplement pp 33-34</t>
  </si>
  <si>
    <t xml:space="preserve">PL_SSB_PRICE</t>
  </si>
  <si>
    <t xml:space="preserve">Retail price increase</t>
  </si>
  <si>
    <t xml:space="preserve">https://doi.org/10.1371/journal.pone.0293913; https://doi.org/10.1001/jamanetworkopen.2022.15276</t>
  </si>
  <si>
    <t xml:space="preserve">risk_exposure_measure</t>
  </si>
  <si>
    <t xml:space="preserve">exposure_unit</t>
  </si>
  <si>
    <t xml:space="preserve">reduction_method</t>
  </si>
  <si>
    <t xml:space="preserve">red_or_target</t>
  </si>
  <si>
    <t xml:space="preserve">exposure_floor</t>
  </si>
  <si>
    <t xml:space="preserve">absolute_reduction</t>
  </si>
  <si>
    <t xml:space="preserve">relative_reduction</t>
  </si>
  <si>
    <t xml:space="preserve">start_year</t>
  </si>
  <si>
    <t xml:space="preserve">target_year</t>
  </si>
  <si>
    <t xml:space="preserve">Smoking prevalence</t>
  </si>
  <si>
    <t xml:space="preserve">relative</t>
  </si>
  <si>
    <t xml:space="preserve">Missing input</t>
  </si>
  <si>
    <t xml:space="preserve">Alcohol consumption per adult</t>
  </si>
  <si>
    <t xml:space="preserve">litres pure alcohol/adult/year</t>
  </si>
  <si>
    <t xml:space="preserve">Mean sodium intake</t>
  </si>
  <si>
    <t xml:space="preserve">g sodium/day</t>
  </si>
  <si>
    <t xml:space="preserve">R_TFA</t>
  </si>
  <si>
    <t xml:space="preserve">Mean trans-fat intake</t>
  </si>
  <si>
    <t xml:space="preserve">% energy</t>
  </si>
  <si>
    <t xml:space="preserve">Mean SSB intake</t>
  </si>
  <si>
    <t xml:space="preserve">8 oz (248 g) servings/adult/day</t>
  </si>
  <si>
    <t xml:space="preserve">Base exposure is GDD 2020 adult mean (0.8 servings/week); tax response is Indonesia-specific. Replace baseline if a newer comparable intake series is selected.</t>
  </si>
  <si>
    <t xml:space="preserve">response_parameter</t>
  </si>
  <si>
    <t xml:space="preserve">model_transition</t>
  </si>
  <si>
    <t xml:space="preserve">valid</t>
  </si>
  <si>
    <t xml:space="preserve">RR per 1 L pure alcohol/adult/year</t>
  </si>
  <si>
    <t xml:space="preserve">incidence</t>
  </si>
  <si>
    <t xml:space="preserve">RR per 1 g sodium</t>
  </si>
  <si>
    <t xml:space="preserve">RR per 1 daily 8 oz (248 g) SSB serving</t>
  </si>
  <si>
    <t xml:space="preserve">policy-score effect on TFA-attributable IHD deaths</t>
  </si>
  <si>
    <t xml:space="preserve">RR current smoker vs non-smoker</t>
  </si>
  <si>
    <t xml:space="preserve">cost_record_id</t>
  </si>
  <si>
    <t xml:space="preserve">cost_component_key</t>
  </si>
  <si>
    <t xml:space="preserve">cost_scope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</si>
  <si>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</si>
  <si>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</si>
  <si>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</si>
  <si>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</si>
  <si>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unit_cost_usd</t>
  </si>
  <si>
    <t xml:space="preserve">price_year</t>
  </si>
  <si>
    <t xml:space="preserve">indonesia_adjusted_flag</t>
  </si>
  <si>
    <t xml:space="preserve">source_country</t>
  </si>
  <si>
    <t xml:space="preserve">cost_ready</t>
  </si>
  <si>
    <t xml:space="preserve">notes</t>
  </si>
  <si>
    <t xml:space="preserve">COST_PH_ALC_POLICY</t>
  </si>
  <si>
    <t xml:space="preserve">CC_PH_ALC_POLICY</t>
  </si>
  <si>
    <t xml:space="preserve">shared-count-once</t>
  </si>
  <si>
    <t xml:space="preserve">Annual intersectoral policy implementation</t>
  </si>
  <si>
    <t xml:space="preserve">all</t>
  </si>
  <si>
    <t xml:space="preserve">China</t>
  </si>
  <si>
    <t xml:space="preserve">WHO NCD Costing Tool value; requires Indonesia/price-year adjustment</t>
  </si>
  <si>
    <t xml:space="preserve">COST_PH_ALC_TAX</t>
  </si>
  <si>
    <t xml:space="preserve">CC_PH_ALC_TAX</t>
  </si>
  <si>
    <t xml:space="preserve">COST_PH_SALT</t>
  </si>
  <si>
    <t xml:space="preserve">CC_PH_SALT</t>
  </si>
  <si>
    <t xml:space="preserve">COST_PH_SSB_TAX</t>
  </si>
  <si>
    <t xml:space="preserve">CC_PH_SSB_TAX</t>
  </si>
  <si>
    <t xml:space="preserve">Tax-policy proxy</t>
  </si>
  <si>
    <t xml:space="preserve">Watkins used tobacco/alcohol tax administrative costs as the SSB proxy and reports US$27.3m total Indonesia cost (2016 USD, discounted 2015-2070). Workbook uses the compatible 0.004 per-capita-year tax proxy pending Indonesia/price-year calibration.</t>
  </si>
  <si>
    <t xml:space="preserve">COST_PH_TFA</t>
  </si>
  <si>
    <t xml:space="preserve">CC_PH_TFA</t>
  </si>
  <si>
    <t xml:space="preserve">I_PH_TFA_POLICY__C_SHARED</t>
  </si>
  <si>
    <t xml:space="preserve">COST_PH_TOB_POLICY</t>
  </si>
  <si>
    <t xml:space="preserve">CC_PH_TOB_POLICY</t>
  </si>
  <si>
    <t xml:space="preserve">COST_PH_TOB_TAX</t>
  </si>
  <si>
    <t xml:space="preserve">CC_PH_TOB_TAX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</si>
  <si>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</si>
  <si>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</si>
  <si>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</si>
  <si>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</si>
  <si>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</si>
  <si>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base_cases</t>
  </si>
  <si>
    <t xml:space="preserve">base_deaths</t>
  </si>
  <si>
    <t xml:space="preserve">deaths_averted</t>
  </si>
  <si>
    <t xml:space="preserve">cases_averted</t>
  </si>
  <si>
    <t xml:space="preserve">rhd</t>
  </si>
  <si>
    <t xml:space="preserve">All selected public-health interventions (combined)</t>
  </si>
  <si>
    <t xml:space="preserve">pop_scenario</t>
  </si>
  <si>
    <t xml:space="preserve">pop_baseline</t>
  </si>
  <si>
    <t xml:space="preserve">cost_impl_frac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</si>
  <si>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</si>
  <si>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</si>
  <si>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</si>
  <si>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</si>
  <si>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</si>
  <si>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</si>
  <si>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</si>
  <si>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</si>
  <si>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</si>
  <si>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shared_duplicate_count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</si>
  <si>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</si>
  <si>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</si>
  <si>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</si>
  <si>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</si>
  <si>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</si>
  <si>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</si>
  <si>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cost_per_death_averted</t>
  </si>
  <si>
    <t xml:space="preserve">dominance</t>
  </si>
  <si>
    <t xml:space="preserve">reconciliation_status</t>
  </si>
  <si>
    <t xml:space="preserve">note</t>
  </si>
  <si>
    <t xml:space="preserve">Economic value (value of statistical life, VSL/VSLY) is produced by Model 08 for the clinical CVD scenarios only.</t>
  </si>
  <si>
    <t xml:space="preserve">Model 08 does not currently run the public-health scenario ids (I_PH_* / all_public_health), so its monetary-value</t>
  </si>
  <si>
    <t xml:space="preserve">results cannot be reconciled against this run's public-health scenarios and are intentionally NOT reproduced here.</t>
  </si>
  <si>
    <t xml:space="preserve">The principal public-health result in this workbook is USD per death averted (Cost_Effectiveness).</t>
  </si>
  <si>
    <t xml:space="preserve">To populate a public-health economic-value view, re-run Model 08 on the public-health scenarios and extend this sheet.</t>
  </si>
  <si>
    <t xml:space="preserve">check</t>
  </si>
  <si>
    <t xml:space="preserve">expected</t>
  </si>
  <si>
    <t xml:space="preserve">actual</t>
  </si>
  <si>
    <t xml:space="preserve">status</t>
  </si>
  <si>
    <t xml:space="preserve">Selected intervention-cause key uniqueness</t>
  </si>
  <si>
    <t xml:space="preserve">0</t>
  </si>
  <si>
    <t xml:space="preserve">Each selected link key appears once</t>
  </si>
  <si>
    <t xml:space="preserve">Workbook FAIL-level issues</t>
  </si>
  <si>
    <t xml:space="preserve">Blocked links excluded (see Blocked_Links / Input_Diagnostic)</t>
  </si>
  <si>
    <t xml:space="preserve">Workbook REVIEW-level issues</t>
  </si>
  <si>
    <t xml:space="preserve">Flagged but usable (e.g. cost not Indonesia-adjusted; provisional PAF)</t>
  </si>
  <si>
    <t xml:space="preserve">Every scenario paired to baseline</t>
  </si>
  <si>
    <t xml:space="preserve">Deaths averted = baseline - scenario at matched year/cause</t>
  </si>
  <si>
    <t xml:space="preserve">Public-health transitions are well -&gt; sick incidence</t>
  </si>
  <si>
    <t xml:space="preserve">All modeled public-health effects map to incidence (no case fatality)</t>
  </si>
  <si>
    <t xml:space="preserve">No impossible negative states</t>
  </si>
  <si>
    <t xml:space="preserve">well/sick/new_cases/deaths/population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</si>
  <si>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</si>
  <si>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</si>
  <si>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</si>
  <si>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</t>
  </si>
  <si>
    <t xml:space="preserve">1</t>
  </si>
  <si>
    <t xml:space="preserve">all.mx taken once per stratum (population not duplicated across causes)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</si>
  <si>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</si>
  <si>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</si>
  <si>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</si>
  <si>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</si>
  <si>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</si>
  <si>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Annual reconciles to cumulative (budget impact)</t>
  </si>
  <si>
    <t xml:space="preserve">Last-year cumulative equals the sum of annual incremental cost</t>
  </si>
  <si>
    <t xml:space="preserve">CEA reconciliation (detail -&gt; summary)</t>
  </si>
  <si>
    <t xml:space="preserve">consistent</t>
  </si>
  <si>
    <t xml:space="preserve">Every Cost_Effectiveness row's internal reconciliation is consistent</t>
  </si>
  <si>
    <t xml:space="preserve">Excel vs R: deaths averted (anchor)</t>
  </si>
  <si>
    <t xml:space="preserve">match R</t>
  </si>
  <si>
    <t xml:space="preserve">Excel CEA deaths averted reconciles to the R engine value</t>
  </si>
  <si>
    <t xml:space="preserve">Excel vs R: discounted incremental cost (anchor)</t>
  </si>
  <si>
    <t xml:space="preserve">Excel CEA discounted incremental cost reconciles to the R engine value</t>
  </si>
  <si>
    <t xml:space="preserve">Excel vs R: cost per death averted (anchor)</t>
  </si>
  <si>
    <t xml:space="preserve">Excel CEA USD per death averted reconciles to the R engine value</t>
  </si>
  <si>
    <t xml:space="preserve">scope</t>
  </si>
  <si>
    <t xml:space="preserve">item_key</t>
  </si>
  <si>
    <t xml:space="preserve">field</t>
  </si>
  <si>
    <t xml:space="preserve">severity</t>
  </si>
  <si>
    <t xml:space="preserve">ph_effect</t>
  </si>
  <si>
    <t xml:space="preserve">PAF-dependent effect missing/zero PAF (kept; effect provisional)</t>
  </si>
  <si>
    <t xml:space="preserve">REVIEW</t>
  </si>
  <si>
    <t xml:space="preserve">ph_link</t>
  </si>
  <si>
    <t xml:space="preserve">effect/exposure</t>
  </si>
  <si>
    <t xml:space="preserve">FAIL</t>
  </si>
  <si>
    <t xml:space="preserve">ph_cost</t>
  </si>
  <si>
    <t xml:space="preserve">cost not Indonesia-adjusted (proxy/review estimate; kept but flagged)</t>
  </si>
  <si>
    <t xml:space="preserve">cost price year != reporting price year (2023)</t>
  </si>
  <si>
    <t xml:space="preserve">method_id</t>
  </si>
  <si>
    <t xml:space="preserve">concept</t>
  </si>
  <si>
    <t xml:space="preserve">formula_or_rule</t>
  </si>
  <si>
    <t xml:space="preserve">M01</t>
  </si>
  <si>
    <t xml:space="preserve">Exposure target</t>
  </si>
  <si>
    <t xml:space="preserve">relative: max(floor, baseline*(1-reduction)); absolute: max(floor, baseline-reduction); level: max(floor, target)</t>
  </si>
  <si>
    <t xml:space="preserve">NCD Countdown supplement (Countdown_Methods sheet) + public-health input workbook</t>
  </si>
  <si>
    <t xml:space="preserve">M02</t>
  </si>
  <si>
    <t xml:space="preserve">pt(t) linear baseline-&gt;target over start_year..target_year, then held; floored at exposure_floor</t>
  </si>
  <si>
    <t xml:space="preserve">M03</t>
  </si>
  <si>
    <t xml:space="preserve">Prevalence-shift RR effect</t>
  </si>
  <si>
    <t xml:space="preserve">effect = 1 - (1 + pt*(RR-1)) / (1 + p0*(RR-1))</t>
  </si>
  <si>
    <t xml:space="preserve">M04</t>
  </si>
  <si>
    <t xml:space="preserve">Log-linear RR effect</t>
  </si>
  <si>
    <t xml:space="preserve">effect = 1 - 1/(RR^(p0-pt))</t>
  </si>
  <si>
    <t xml:space="preserve">M05</t>
  </si>
  <si>
    <t xml:space="preserve">TFA policy-score effect</t>
  </si>
  <si>
    <t xml:space="preserve">effect = PAF * achieved_policy_score</t>
  </si>
  <si>
    <t xml:space="preserve">M06</t>
  </si>
  <si>
    <t xml:space="preserve">Effect lag</t>
  </si>
  <si>
    <t xml:space="preserve">immediate: effect tracks exposure path; delayed_exponential: full_effect * (1-(1-rate)^(years since start))</t>
  </si>
  <si>
    <t xml:space="preserve">M07</t>
  </si>
  <si>
    <t xml:space="preserve">Incidence application</t>
  </si>
  <si>
    <t xml:space="preserve">cause-specific incidence x (1 - effect_t); multiple policies combine multiplicatively on the surviving fraction</t>
  </si>
  <si>
    <t xml:space="preserve">M08</t>
  </si>
  <si>
    <t xml:space="preserve">Policy implementation fraction</t>
  </si>
  <si>
    <t xml:space="preserve">implementation_fraction(t) = min(max((t - policy_start_year + 1)/policy_cost_ramp_years, 0), 1)</t>
  </si>
  <si>
    <t xml:space="preserve">M09</t>
  </si>
  <si>
    <t xml:space="preserve">Annual policy cost</t>
  </si>
  <si>
    <t xml:space="preserve">annual_cost = population(t) * PIN_fraction * implementation_fraction(t) * frequency * unit_cost</t>
  </si>
  <si>
    <t xml:space="preserve">M10</t>
  </si>
  <si>
    <t xml:space="preserve">Shared cost</t>
  </si>
  <si>
    <t xml:space="preserve">shared-count-once costs counted once per intervention &amp; scenario-year, never once per affected cause</t>
  </si>
  <si>
    <t xml:space="preserve">M11</t>
  </si>
  <si>
    <t xml:space="preserve">Discounting</t>
  </si>
  <si>
    <t xml:space="preserve">discount_factor(t) = 1/(1+cost_discount_rate)^(t - analysis_start_year); costs discounted, deaths undiscounted</t>
  </si>
  <si>
    <t xml:space="preserve">M12</t>
  </si>
  <si>
    <t xml:space="preserve">USD per death averted = cumulative discounted incremental cost / cumulative deaths averted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</si>
  <si>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</si>
  <si>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</si>
  <si>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</si>
  <si>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</si>
  <si>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Selected_Interventions</t>
  </si>
  <si>
    <t xml:space="preserve">P,Q,R,U,V</t>
  </si>
  <si>
    <t xml:space="preserve">effect_model + exposures (H:J)</t>
  </si>
  <si>
    <t xml:space="preserve">Full effect at target; exposure reductions; key uniqueness</t>
  </si>
  <si>
    <t xml:space="preserve">Exposure_Targets</t>
  </si>
  <si>
    <t xml:space="preserve">I,J,K</t>
  </si>
  <si>
    <t xml:space="preserve">baseline/method/reduction (E:H)</t>
  </si>
  <si>
    <t xml:space="preserve">Exposure target and absolute/relative reductions</t>
  </si>
  <si>
    <t xml:space="preserve">Effect_Parameters</t>
  </si>
  <si>
    <t xml:space="preserve">M</t>
  </si>
  <si>
    <t xml:space="preserve">effect_model + exposures (G,H,K,L)</t>
  </si>
  <si>
    <t xml:space="preserve">Full effect at target</t>
  </si>
  <si>
    <t xml:space="preserve">Cost_Components</t>
  </si>
  <si>
    <t xml:space="preserve">O(cost_ready)</t>
  </si>
  <si>
    <t xml:space="preserve">cost inputs (G:K)</t>
  </si>
  <si>
    <t xml:space="preserve">Cost-readiness rule</t>
  </si>
  <si>
    <t xml:space="preserve">Annual_Mortality</t>
  </si>
  <si>
    <t xml:space="preserve">I,J</t>
  </si>
  <si>
    <t xml:space="preserve">R deaths/cases (E:H)</t>
  </si>
  <si>
    <t xml:space="preserve">Deaths and cases averted</t>
  </si>
  <si>
    <t xml:space="preserve">Annual_Cost</t>
  </si>
  <si>
    <t xml:space="preserve">N,O,P,Q,R,S,T,U,V,W,AA</t>
  </si>
  <si>
    <t xml:space="preserve">Cost_Components inputs; Calculation_Assumptions; R population (L:M)</t>
  </si>
  <si>
    <t xml:space="preserve">Implementation fraction, PIN, annual/discounted cost, shared-cost QA</t>
  </si>
  <si>
    <t xml:space="preserve">Budget_Impact</t>
  </si>
  <si>
    <t xml:space="preserve">C:H</t>
  </si>
  <si>
    <t xml:space="preserve">Annual and cumulative cost by scenario</t>
  </si>
  <si>
    <t xml:space="preserve">Cost_Effectiveness</t>
  </si>
  <si>
    <t xml:space="preserve">C:I</t>
  </si>
  <si>
    <t xml:space="preserve">Annual_Mortality; Budget_Impact; Calculation_Assumptions</t>
  </si>
  <si>
    <t xml:space="preserve">Cumulative health, cost, cost/death, dominance, reconciliation</t>
  </si>
  <si>
    <t xml:space="preserve">QA_Checks</t>
  </si>
  <si>
    <t xml:space="preserve">C:D</t>
  </si>
  <si>
    <t xml:space="preserve">calculation + diagnostic sheets</t>
  </si>
  <si>
    <t xml:space="preserve">Invariant recomputation and Excel-vs-R reconciliation</t>
  </si>
  <si>
    <t xml:space="preserve">Run_Metadata</t>
  </si>
  <si>
    <t xml:space="preserve">B (subset)</t>
  </si>
  <si>
    <t xml:space="preserve">Calculation_Assumptions</t>
  </si>
  <si>
    <t xml:space="preserve">Metadata pulled from controls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</si>
</sst>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0">
    <numFmt numFmtId="166" formatCode="0"/>
    <numFmt numFmtId="167" formatCode="0"/>
    <numFmt numFmtId="168" formatCode="0"/>
    <numFmt numFmtId="169" formatCode="0"/>
    <numFmt numFmtId="170" formatCode="0.0"/>
    <numFmt numFmtId="171" formatCode="0.0%"/>
    <numFmt numFmtId="172" formatCode="0"/>
    <numFmt numFmtId="173" formatCode="0"/>
    <numFmt numFmtId="174" formatCode="0.000"/>
    <numFmt numFmtId="175" formatCode="0.000"/>
    <numFmt numFmtId="176" formatCode="#,##0"/>
    <numFmt numFmtId="177" formatCode="#,##0"/>
    <numFmt numFmtId="178" formatCode="#,##0.0"/>
    <numFmt numFmtId="179" formatCode="0"/>
    <numFmt numFmtId="180" formatCode="#,##0"/>
    <numFmt numFmtId="181" formatCode="#,##0"/>
    <numFmt numFmtId="182" formatCode="#,##0.00"/>
    <numFmt numFmtId="183" formatCode="0.0%"/>
    <numFmt numFmtId="184" formatCode="0.0000"/>
    <numFmt numFmtId="185" formatCode="0.0000"/>
    <numFmt numFmtId="186" formatCode="0.0000"/>
    <numFmt numFmtId="187" formatCode="0.0000"/>
    <numFmt numFmtId="188" formatCode="0.0000"/>
    <numFmt numFmtId="189" formatCode="0"/>
    <numFmt numFmtId="190" formatCode="0"/>
    <numFmt numFmtId="191" formatCode="0.0000"/>
    <numFmt numFmtId="192" formatCode="0.0000"/>
    <numFmt numFmtId="193" formatCode="0.0000"/>
    <numFmt numFmtId="194" formatCode="#,##0"/>
    <numFmt numFmtId="195" formatCode="#,##0"/>
    <numFmt numFmtId="196" formatCode="0.0000"/>
    <numFmt numFmtId="197" formatCode="0.0000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.0000"/>
    <numFmt numFmtId="204" formatCode="0.0000"/>
    <numFmt numFmtId="205" formatCode="0"/>
    <numFmt numFmtId="206" formatCode="0"/>
    <numFmt numFmtId="207" formatCode="0.0000"/>
    <numFmt numFmtId="208" formatCode="0.0000"/>
    <numFmt numFmtId="209" formatCode="0.0000"/>
    <numFmt numFmtId="210" formatCode="0.0000"/>
    <numFmt numFmtId="211" formatCode="0.0000"/>
    <numFmt numFmtId="212" formatCode="0.0000"/>
    <numFmt numFmtId="213" formatCode="#,##0"/>
    <numFmt numFmtId="214" formatCode="#,##0"/>
    <numFmt numFmtId="215" formatCode="#,##0"/>
    <numFmt numFmtId="216" formatCode="#,##0"/>
    <numFmt numFmtId="218" formatCode="#,##0"/>
    <numFmt numFmtId="219" formatCode="0.0%"/>
    <numFmt numFmtId="220" formatCode="0.00"/>
    <numFmt numFmtId="221" formatCode="#,##0.0000"/>
    <numFmt numFmtId="222" formatCode="0"/>
    <numFmt numFmtId="223" formatCode="#,##0"/>
    <numFmt numFmtId="217" formatCode="#,##0"/>
    <numFmt numFmtId="224" formatCode="0"/>
    <numFmt numFmtId="225" formatCode="#,##0"/>
    <numFmt numFmtId="226" formatCode="#,##0"/>
    <numFmt numFmtId="227" formatCode="#,##0"/>
    <numFmt numFmtId="228" formatCode="#,##0"/>
    <numFmt numFmtId="229" formatCode="#,##0"/>
    <numFmt numFmtId="230" formatCode="#,##0"/>
    <numFmt numFmtId="231" formatCode="0"/>
    <numFmt numFmtId="232" formatCode="#,##0"/>
    <numFmt numFmtId="233" formatCode="#,##0"/>
    <numFmt numFmtId="234" formatCode="#,##0"/>
    <numFmt numFmtId="235" formatCode="#,##0"/>
    <numFmt numFmtId="236" formatCode="#,##0"/>
    <numFmt numFmtId="237" formatCode="0.0%"/>
    <numFmt numFmtId="238" formatCode="0.00"/>
    <numFmt numFmtId="239" formatCode="#,##0.0000"/>
    <numFmt numFmtId="240" formatCode="#,##0"/>
    <numFmt numFmtId="241" formatCode="#,##0"/>
    <numFmt numFmtId="242" formatCode="0.000"/>
    <numFmt numFmtId="243" formatCode="#,##0"/>
    <numFmt numFmtId="244" formatCode="#,##0"/>
    <numFmt numFmtId="245" formatCode="#,##0"/>
    <numFmt numFmtId="246" formatCode="#,##0"/>
    <numFmt numFmtId="247" formatCode="#,##0"/>
    <numFmt numFmtId="248" formatCode="0.000"/>
    <numFmt numFmtId="249" formatCode="#,##0"/>
    <numFmt numFmtId="250" formatCode="#,##0"/>
    <numFmt numFmtId="251" formatCode="#,##0"/>
    <numFmt numFmtId="252" formatCode="0"/>
    <numFmt numFmtId="253" formatCode="#,##0"/>
    <numFmt numFmtId="254" formatCode="0"/>
    <numFmt numFmtId="255" formatCode="#,##0"/>
    <numFmt numFmtId="256" formatCode="#,##0"/>
    <numFmt numFmtId="257" formatCode="#,##0"/>
    <numFmt numFmtId="258" formatCode="#,##0"/>
    <numFmt numFmtId="259" formatCode="#,##0"/>
    <numFmt numFmtId="260" formatCode="#,##0"/>
    <numFmt numFmtId="261" formatCode="#,##0"/>
    <numFmt numFmtId="262" formatCode="#,##0"/>
    <numFmt numFmtId="263" formatCode="#,##0"/>
    <numFmt numFmtId="264" formatCode="#,##0"/>
    <numFmt numFmtId="265" formatCode="#,##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3" borderId="0" xfId="0" applyFont="1" applyNumberFormat="1" applyFill="1"/>
    <xf numFmtId="175" fontId="0" fillId="3" borderId="0" xfId="0" applyFont="1" applyNumberFormat="1" applyFill="1"/>
    <xf numFmtId="176" fontId="0" fillId="3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4" borderId="0" xfId="0" applyFont="1" applyNumberFormat="1" applyFill="1"/>
    <xf numFmtId="181" fontId="0" fillId="4" borderId="0" xfId="0" applyFont="1" applyNumberFormat="1" applyFill="1"/>
    <xf numFmtId="182" fontId="0" fillId="4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83" fontId="0" fillId="5" borderId="0" xfId="0" applyFont="1" applyNumberFormat="1" applyFill="1"/>
    <xf numFmtId="184" fontId="0" fillId="0" borderId="0" xfId="0" applyFont="1" applyNumberFormat="1"/>
    <xf numFmtId="185" fontId="0" fillId="0" borderId="0" xfId="0" applyFont="1" applyNumberFormat="1"/>
    <xf numFmtId="186" fontId="0" fillId="0" borderId="0" xfId="0" applyFont="1" applyNumberFormat="1"/>
    <xf numFmtId="187" fontId="0" fillId="0" borderId="0" xfId="0" applyFont="1" applyNumberFormat="1"/>
    <xf numFmtId="188" fontId="0" fillId="0" borderId="0" xfId="0" applyFont="1" applyNumberFormat="1"/>
    <xf numFmtId="189" fontId="0" fillId="0" borderId="0" xfId="0" applyFont="1" applyNumberFormat="1"/>
    <xf numFmtId="190" fontId="0" fillId="0" borderId="0" xfId="0" applyFont="1" applyNumberFormat="1"/>
    <xf numFmtId="191" fontId="0" fillId="5" borderId="0" xfId="0" applyFont="1" applyNumberFormat="1" applyFill="1"/>
    <xf numFmtId="192" fontId="0" fillId="5" borderId="0" xfId="0" applyFont="1" applyNumberFormat="1" applyFill="1"/>
    <xf numFmtId="193" fontId="0" fillId="5" borderId="0" xfId="0" applyFont="1" applyNumberFormat="1" applyFill="1"/>
    <xf numFmtId="194" fontId="0" fillId="0" borderId="0" xfId="0" applyFont="1" applyNumberFormat="1"/>
    <xf numFmtId="195" fontId="0" fillId="5" borderId="0" xfId="0" applyFont="1" applyNumberFormat="1" applyFill="1"/>
    <xf numFmtId="0" fontId="0" fillId="3" borderId="0" xfId="0" applyFont="1" applyFill="1" applyAlignment="1">
      <alignment vertical="top" wrapText="1"/>
    </xf>
    <xf numFmtId="196" fontId="0" fillId="4" borderId="0" xfId="0" applyFont="1" applyNumberFormat="1" applyFill="1"/>
    <xf numFmtId="197" fontId="0" fillId="4" borderId="0" xfId="0" applyFont="1" applyNumberFormat="1" applyFill="1"/>
    <xf numFmtId="198" fontId="0" fillId="4" borderId="0" xfId="0" applyFont="1" applyNumberFormat="1" applyFill="1"/>
    <xf numFmtId="0" fontId="0" fillId="4" borderId="0" xfId="0" applyFont="1" applyFill="1" applyAlignment="1">
      <alignment vertical="top" wrapText="1"/>
    </xf>
    <xf numFmtId="199" fontId="0" fillId="0" borderId="0" xfId="0" applyFont="1" applyNumberFormat="1"/>
    <xf numFmtId="200" fontId="0" fillId="0" borderId="0" xfId="0" applyFont="1" applyNumberFormat="1"/>
    <xf numFmtId="201" fontId="0" fillId="0" borderId="0" xfId="0" applyFont="1" applyNumberFormat="1"/>
    <xf numFmtId="202" fontId="0" fillId="5" borderId="0" xfId="0" applyFont="1" applyNumberFormat="1" applyFill="1"/>
    <xf numFmtId="203" fontId="0" fillId="5" borderId="0" xfId="0" applyFont="1" applyNumberFormat="1" applyFill="1"/>
    <xf numFmtId="204" fontId="0" fillId="5" borderId="0" xfId="0" applyFont="1" applyNumberFormat="1" applyFill="1"/>
    <xf numFmtId="205" fontId="0" fillId="0" borderId="0" xfId="0" applyFont="1" applyNumberFormat="1"/>
    <xf numFmtId="206" fontId="0" fillId="0" borderId="0" xfId="0" applyFont="1" applyNumberFormat="1"/>
    <xf numFmtId="207" fontId="0" fillId="0" borderId="0" xfId="0" applyFont="1" applyNumberFormat="1"/>
    <xf numFmtId="208" fontId="0" fillId="0" borderId="0" xfId="0" applyFont="1" applyNumberFormat="1"/>
    <xf numFmtId="209" fontId="0" fillId="0" borderId="0" xfId="0" applyFont="1" applyNumberFormat="1"/>
    <xf numFmtId="210" fontId="0" fillId="0" borderId="0" xfId="0" applyFont="1" applyNumberFormat="1"/>
    <xf numFmtId="211" fontId="0" fillId="0" borderId="0" xfId="0" applyFont="1" applyNumberFormat="1"/>
    <xf numFmtId="212" fontId="0" fillId="5" borderId="0" xfId="0" applyFont="1" applyNumberFormat="1" applyFill="1"/>
    <xf numFmtId="213" fontId="0" fillId="0" borderId="0" xfId="0" applyFont="1" applyNumberFormat="1"/>
    <xf numFmtId="214" fontId="0" fillId="0" borderId="0" xfId="0" applyFont="1" applyNumberFormat="1"/>
    <xf numFmtId="215" fontId="0" fillId="0" borderId="0" xfId="0" applyFont="1" applyNumberFormat="1"/>
    <xf numFmtId="216" fontId="0" fillId="0" borderId="0" xfId="0" applyFont="1" applyNumberFormat="1"/>
    <xf numFmtId="218" fontId="0" fillId="0" borderId="0" xfId="0" applyFont="1" applyNumberFormat="1"/>
    <xf numFmtId="219" fontId="0" fillId="0" borderId="0" xfId="0" applyFont="1" applyNumberFormat="1"/>
    <xf numFmtId="220" fontId="0" fillId="0" borderId="0" xfId="0" applyFont="1" applyNumberFormat="1"/>
    <xf numFmtId="221" fontId="0" fillId="0" borderId="0" xfId="0" applyFont="1" applyNumberFormat="1"/>
    <xf numFmtId="222" fontId="0" fillId="0" borderId="0" xfId="0" applyFont="1" applyNumberFormat="1"/>
    <xf numFmtId="223" fontId="0" fillId="5" borderId="0" xfId="0" applyFont="1" applyNumberFormat="1" applyFill="1"/>
    <xf numFmtId="217" fontId="0" fillId="0" borderId="0" xfId="0" applyFont="1" applyNumberFormat="1" applyAlignment="1">
      <alignment vertical="top" wrapText="1"/>
    </xf>
    <xf numFmtId="224" fontId="0" fillId="0" borderId="0" xfId="0" applyFont="1" applyNumberFormat="1"/>
    <xf numFmtId="225" fontId="0" fillId="4" borderId="0" xfId="0" applyFont="1" applyNumberFormat="1" applyFill="1"/>
    <xf numFmtId="226" fontId="0" fillId="4" borderId="0" xfId="0" applyFont="1" applyNumberFormat="1" applyFill="1"/>
    <xf numFmtId="227" fontId="0" fillId="4" borderId="0" xfId="0" applyFont="1" applyNumberFormat="1" applyFill="1"/>
    <xf numFmtId="228" fontId="0" fillId="4" borderId="0" xfId="0" applyFont="1" applyNumberFormat="1" applyFill="1"/>
    <xf numFmtId="229" fontId="0" fillId="5" borderId="0" xfId="0" applyFont="1" applyNumberFormat="1" applyFill="1"/>
    <xf numFmtId="230" fontId="0" fillId="5" borderId="0" xfId="0" applyFont="1" applyNumberFormat="1" applyFill="1"/>
    <xf numFmtId="231" fontId="0" fillId="0" borderId="0" xfId="0" applyFont="1" applyNumberFormat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5" fontId="0" fillId="0" borderId="0" xfId="0" applyFont="1" applyNumberFormat="1"/>
    <xf numFmtId="236" fontId="0" fillId="0" borderId="0" xfId="0" applyFont="1" applyNumberFormat="1"/>
    <xf numFmtId="237" fontId="0" fillId="4" borderId="0" xfId="0" applyFont="1" applyNumberFormat="1" applyFill="1"/>
    <xf numFmtId="238" fontId="0" fillId="4" borderId="0" xfId="0" applyFont="1" applyNumberFormat="1" applyFill="1"/>
    <xf numFmtId="239" fontId="0" fillId="4" borderId="0" xfId="0" applyFont="1" applyNumberFormat="1" applyFill="1"/>
    <xf numFmtId="240" fontId="0" fillId="4" borderId="0" xfId="0" applyFont="1" applyNumberFormat="1" applyFill="1"/>
    <xf numFmtId="241" fontId="0" fillId="4" borderId="0" xfId="0" applyFont="1" applyNumberFormat="1" applyFill="1"/>
    <xf numFmtId="242" fontId="0" fillId="5" borderId="0" xfId="0" applyFont="1" applyNumberFormat="1" applyFill="1"/>
    <xf numFmtId="243" fontId="0" fillId="5" borderId="0" xfId="0" applyFont="1" applyNumberFormat="1" applyFill="1"/>
    <xf numFmtId="244" fontId="0" fillId="5" borderId="0" xfId="0" applyFont="1" applyNumberFormat="1" applyFill="1"/>
    <xf numFmtId="245" fontId="0" fillId="5" borderId="0" xfId="0" applyFont="1" applyNumberFormat="1" applyFill="1"/>
    <xf numFmtId="246" fontId="0" fillId="5" borderId="0" xfId="0" applyFont="1" applyNumberFormat="1" applyFill="1"/>
    <xf numFmtId="247" fontId="0" fillId="5" borderId="0" xfId="0" applyFont="1" applyNumberFormat="1" applyFill="1"/>
    <xf numFmtId="248" fontId="0" fillId="5" borderId="0" xfId="0" applyFont="1" applyNumberFormat="1" applyFill="1"/>
    <xf numFmtId="249" fontId="0" fillId="5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0" borderId="0" xfId="0" applyFont="1" applyNumberFormat="1"/>
    <xf numFmtId="253" fontId="0" fillId="5" borderId="0" xfId="0" applyFont="1" applyNumberFormat="1" applyFill="1"/>
    <xf numFmtId="254" fontId="0" fillId="0" borderId="0" xfId="0" applyFont="1" applyNumberFormat="1"/>
    <xf numFmtId="255" fontId="0" fillId="5" borderId="0" xfId="0" applyFont="1" applyNumberFormat="1" applyFill="1"/>
    <xf numFmtId="256" fontId="0" fillId="5" borderId="0" xfId="0" applyFont="1" applyNumberFormat="1" applyFill="1"/>
    <xf numFmtId="257" fontId="0" fillId="5" borderId="0" xfId="0" applyFont="1" applyNumberFormat="1" applyFill="1"/>
    <xf numFmtId="258" fontId="0" fillId="5" borderId="0" xfId="0" applyFont="1" applyNumberFormat="1" applyFill="1"/>
    <xf numFmtId="259" fontId="0" fillId="5" borderId="0" xfId="0" applyFont="1" applyNumberFormat="1" applyFill="1"/>
    <xf numFmtId="260" fontId="0" fillId="5" borderId="0" xfId="0" applyFont="1" applyNumberFormat="1" applyFill="1"/>
    <xf numFmtId="261" fontId="0" fillId="5" borderId="0" xfId="0" applyFont="1" applyNumberFormat="1" applyFill="1"/>
    <xf numFmtId="262" fontId="0" fillId="5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0" fontId="0" fillId="5" borderId="0" xfId="0" applyFont="1" applyFill="1" applyAlignment="1">
      <alignment vertical="top" wrapText="1"/>
    </xf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2.71" hidden="0" customWidth="1"/>
    <col min="2" max="2" width="18.71" hidden="0" customWidth="1"/>
    <col min="3" max="3" width="14.71" hidden="0" customWidth="1"/>
    <col min="4" max="4" width="22.71" hidden="0" customWidth="1"/>
    <col min="5" max="5" width="60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28</v>
      </c>
      <c r="D2" t="s">
        <v>29</v>
      </c>
      <c r="E2" s="21" t="s">
        <v>30</v>
      </c>
      <c r="F2" t="s">
        <v>31</v>
      </c>
    </row>
    <row r="3">
      <c r="A3" t="s">
        <v>7</v>
      </c>
      <c r="B3" s="5" t="n">
        <v>2050</v>
      </c>
      <c r="C3" t="s">
        <v>28</v>
      </c>
      <c r="D3" t="s">
        <v>29</v>
      </c>
      <c r="E3" s="21" t="s">
        <v>32</v>
      </c>
      <c r="F3" t="s">
        <v>31</v>
      </c>
    </row>
    <row r="4">
      <c r="A4" t="s">
        <v>8</v>
      </c>
      <c r="B4" s="2" t="s">
        <v>73</v>
      </c>
      <c r="C4" t="s">
        <v>33</v>
      </c>
      <c r="D4" t="s">
        <v>29</v>
      </c>
      <c r="E4" s="21" t="s">
        <v>34</v>
      </c>
      <c r="F4" t="s">
        <v>31</v>
      </c>
    </row>
    <row r="5">
      <c r="A5" t="s">
        <v>9</v>
      </c>
      <c r="B5" s="6" t="n">
        <v>2026</v>
      </c>
      <c r="C5" t="s">
        <v>28</v>
      </c>
      <c r="D5" t="s">
        <v>29</v>
      </c>
      <c r="E5" s="21" t="s">
        <v>35</v>
      </c>
      <c r="F5" t="s">
        <v>31</v>
      </c>
    </row>
    <row r="6">
      <c r="A6" t="s">
        <v>10</v>
      </c>
      <c r="B6" s="7" t="n">
        <v>2030</v>
      </c>
      <c r="C6" t="s">
        <v>28</v>
      </c>
      <c r="D6" t="s">
        <v>29</v>
      </c>
      <c r="E6" s="21" t="s">
        <v>36</v>
      </c>
      <c r="F6" t="s">
        <v>31</v>
      </c>
    </row>
    <row r="7">
      <c r="A7" t="s">
        <v>11</v>
      </c>
      <c r="B7" s="8" t="n">
        <v>3</v>
      </c>
      <c r="C7" t="s">
        <v>37</v>
      </c>
      <c r="D7" t="s">
        <v>29</v>
      </c>
      <c r="E7" s="21" t="s">
        <v>38</v>
      </c>
      <c r="F7" t="s">
        <v>31</v>
      </c>
    </row>
    <row r="8">
      <c r="A8" t="s">
        <v>12</v>
      </c>
      <c r="B8" s="9" t="n">
        <v>0.03</v>
      </c>
      <c r="C8" t="s">
        <v>39</v>
      </c>
      <c r="D8" t="s">
        <v>29</v>
      </c>
      <c r="E8" s="21" t="s">
        <v>40</v>
      </c>
      <c r="F8" t="s">
        <v>31</v>
      </c>
    </row>
    <row r="9">
      <c r="A9" t="s">
        <v>13</v>
      </c>
      <c r="B9" s="10" t="n">
        <v>2023</v>
      </c>
      <c r="C9" t="s">
        <v>41</v>
      </c>
      <c r="D9" t="s">
        <v>29</v>
      </c>
      <c r="E9" s="21" t="s">
        <v>42</v>
      </c>
      <c r="F9" t="s">
        <v>31</v>
      </c>
    </row>
    <row r="10">
      <c r="A10" t="s">
        <v>14</v>
      </c>
      <c r="B10" s="11" t="n">
        <v>2017</v>
      </c>
      <c r="C10" t="s">
        <v>41</v>
      </c>
      <c r="D10" t="s">
        <v>29</v>
      </c>
      <c r="E10" s="21" t="s">
        <v>43</v>
      </c>
      <c r="F10" t="s">
        <v>31</v>
      </c>
    </row>
    <row r="11">
      <c r="A11" t="s">
        <v>15</v>
      </c>
      <c r="B11" s="2" t="s">
        <v>68</v>
      </c>
      <c r="C11" t="s">
        <v>15</v>
      </c>
      <c r="D11" t="s">
        <v>44</v>
      </c>
      <c r="E11" s="21" t="s">
        <v>45</v>
      </c>
      <c r="F11" t="s">
        <v>31</v>
      </c>
    </row>
    <row r="12">
      <c r="A12" t="s">
        <v>16</v>
      </c>
      <c r="B12" s="2" t="s">
        <v>74</v>
      </c>
      <c r="C12" t="s">
        <v>46</v>
      </c>
      <c r="D12" t="s">
        <v>44</v>
      </c>
      <c r="E12" s="21" t="s">
        <v>47</v>
      </c>
      <c r="F12" t="s">
        <v>31</v>
      </c>
    </row>
    <row r="13">
      <c r="A13" t="s">
        <v>17</v>
      </c>
      <c r="B13" s="2" t="s">
        <v>75</v>
      </c>
      <c r="C13" t="s">
        <v>46</v>
      </c>
      <c r="D13" t="s">
        <v>29</v>
      </c>
      <c r="E13" s="21" t="s">
        <v>48</v>
      </c>
      <c r="F13" t="s">
        <v>31</v>
      </c>
    </row>
    <row r="14">
      <c r="A14" t="s">
        <v>18</v>
      </c>
      <c r="B14" s="12" t="n">
        <v>0</v>
      </c>
      <c r="C14" t="s">
        <v>49</v>
      </c>
      <c r="D14" t="s">
        <v>29</v>
      </c>
      <c r="E14" s="21" t="s">
        <v>50</v>
      </c>
      <c r="F14" t="s">
        <v>51</v>
      </c>
    </row>
    <row r="15">
      <c r="A15" t="s">
        <v>19</v>
      </c>
      <c r="B15" s="13" t="n">
        <v>0.001</v>
      </c>
      <c r="C15" t="s">
        <v>52</v>
      </c>
      <c r="D15" t="s">
        <v>53</v>
      </c>
      <c r="E15" s="21" t="s">
        <v>54</v>
      </c>
      <c r="F15" t="s">
        <v>55</v>
      </c>
    </row>
    <row r="16">
      <c r="A16" t="s">
        <v>20</v>
      </c>
      <c r="B16" s="14" t="n">
        <v>1000</v>
      </c>
      <c r="C16" t="s">
        <v>56</v>
      </c>
      <c r="D16" t="s">
        <v>53</v>
      </c>
      <c r="E16" s="21" t="s">
        <v>57</v>
      </c>
      <c r="F16" t="s">
        <v>55</v>
      </c>
    </row>
    <row r="17">
      <c r="A17" t="s">
        <v>21</v>
      </c>
      <c r="B17" s="15" t="n">
        <v>0</v>
      </c>
      <c r="C17" t="s">
        <v>58</v>
      </c>
      <c r="D17" t="s">
        <v>59</v>
      </c>
      <c r="E17" s="21" t="s">
        <v>60</v>
      </c>
      <c r="F17" t="s">
        <v>61</v>
      </c>
    </row>
    <row r="18">
      <c r="A18" t="s">
        <v>22</v>
      </c>
      <c r="B18" s="16" t="n">
        <v>127.1</v>
      </c>
      <c r="C18" t="s">
        <v>56</v>
      </c>
      <c r="D18" t="s">
        <v>59</v>
      </c>
      <c r="E18" s="21" t="s">
        <v>62</v>
      </c>
      <c r="F18" t="s">
        <v>61</v>
      </c>
    </row>
    <row r="19">
      <c r="A19" t="s">
        <v>23</v>
      </c>
      <c r="B19" s="17" t="n">
        <v>1</v>
      </c>
      <c r="C19" t="s">
        <v>58</v>
      </c>
      <c r="D19" t="s">
        <v>59</v>
      </c>
      <c r="E19" s="21" t="s">
        <v>63</v>
      </c>
      <c r="F19" t="s">
        <v>61</v>
      </c>
    </row>
    <row r="20">
      <c r="A20" t="s">
        <v>24</v>
      </c>
      <c r="B20" s="18" t="n">
        <v>2743414.04402822</v>
      </c>
      <c r="C20" t="s">
        <v>64</v>
      </c>
      <c r="D20" t="s">
        <v>65</v>
      </c>
      <c r="E20" s="21" t="s">
        <v>66</v>
      </c>
      <c r="F20" t="s">
        <v>67</v>
      </c>
    </row>
    <row r="21">
      <c r="A21" t="s">
        <v>25</v>
      </c>
      <c r="B21" s="19" t="n">
        <v>385629092.953562</v>
      </c>
      <c r="C21" t="s">
        <v>68</v>
      </c>
      <c r="D21" t="s">
        <v>65</v>
      </c>
      <c r="E21" s="21" t="s">
        <v>69</v>
      </c>
      <c r="F21" t="s">
        <v>67</v>
      </c>
    </row>
    <row r="22">
      <c r="A22" t="s">
        <v>26</v>
      </c>
      <c r="B22" s="20" t="n">
        <v>140.565400178288</v>
      </c>
      <c r="C22" t="s">
        <v>70</v>
      </c>
      <c r="D22" t="s">
        <v>65</v>
      </c>
      <c r="E22" s="21" t="s">
        <v>71</v>
      </c>
      <c r="F22" t="s">
        <v>67</v>
      </c>
    </row>
    <row r="23">
      <c r="A23" t="s">
        <v>27</v>
      </c>
      <c r="B23" s="3" t="s">
        <v>76</v>
      </c>
      <c r="C23" t="s">
        <v>33</v>
      </c>
      <c r="D23" t="s">
        <v>65</v>
      </c>
      <c r="E23" s="21" t="s">
        <v>72</v>
      </c>
      <c r="F23" t="s">
        <v>67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2.71" hidden="0" customWidth="1"/>
  </cols>
  <sheetData>
    <row r="1" ht="22" customHeight="1">
      <c r="A1" s="22" t="s">
        <v>77</v>
      </c>
    </row>
    <row r="3">
      <c r="A3" s="1" t="s">
        <v>78</v>
      </c>
      <c r="B3" s="1" t="s">
        <v>79</v>
      </c>
    </row>
    <row r="4">
      <c r="A4" t="s">
        <v>80</v>
      </c>
      <c r="B4" s="21" t="s">
        <v>81</v>
      </c>
    </row>
    <row r="5">
      <c r="A5" t="s">
        <v>82</v>
      </c>
      <c r="B5" s="21" t="s">
        <v>83</v>
      </c>
    </row>
    <row r="6">
      <c r="A6" t="s">
        <v>84</v>
      </c>
      <c r="B6" s="21" t="s">
        <v>85</v>
      </c>
    </row>
    <row r="7">
      <c r="A7" t="s">
        <v>86</v>
      </c>
      <c r="B7" s="21" t="s">
        <v>87</v>
      </c>
    </row>
    <row r="8">
      <c r="A8" t="s">
        <v>88</v>
      </c>
      <c r="B8" s="21" t="s">
        <v>89</v>
      </c>
    </row>
    <row r="9">
      <c r="A9" t="s">
        <v>90</v>
      </c>
      <c r="B9" s="21" t="s">
        <v>91</v>
      </c>
    </row>
    <row r="10">
      <c r="A10" t="s">
        <v>92</v>
      </c>
      <c r="B10" s="21" t="s">
        <v>93</v>
      </c>
    </row>
    <row r="11">
      <c r="A11" t="s">
        <v>94</v>
      </c>
      <c r="B11" s="21" t="s">
        <v>95</v>
      </c>
    </row>
    <row r="12">
      <c r="A12" t="s">
        <v>96</v>
      </c>
      <c r="B12" s="21" t="s">
        <v>97</v>
      </c>
    </row>
    <row r="13">
      <c r="A13" t="s">
        <v>98</v>
      </c>
      <c r="B13" s="21" t="s">
        <v>99</v>
      </c>
    </row>
    <row r="14">
      <c r="A14" t="s">
        <v>100</v>
      </c>
      <c r="B14" s="21" t="s">
        <v>101</v>
      </c>
    </row>
    <row r="15">
      <c r="A15" t="s">
        <v>102</v>
      </c>
      <c r="B15" s="21" t="s">
        <v>103</v>
      </c>
    </row>
    <row r="16">
      <c r="A16" t="s">
        <v>104</v>
      </c>
      <c r="B16" s="21" t="s">
        <v>105</v>
      </c>
    </row>
    <row r="17">
      <c r="A17" t="s">
        <v>106</v>
      </c>
      <c r="B17" s="21" t="s">
        <v>107</v>
      </c>
    </row>
    <row r="18">
      <c r="A18" t="s">
        <v>108</v>
      </c>
      <c r="B18" s="21" t="s">
        <v>109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110</v>
      </c>
      <c r="B1" s="1" t="s">
        <v>1</v>
      </c>
    </row>
    <row r="2">
      <c r="A2" t="s">
        <v>111</v>
      </c>
      <c r="B2" t="s">
        <v>112</v>
      </c>
    </row>
    <row r="3">
      <c r="A3" t="s">
        <v>113</v>
      </c>
      <c r="B3" t="s">
        <v>114</v>
      </c>
    </row>
    <row r="4">
      <c r="A4" t="s">
        <v>115</v>
      </c>
      <c r="B4" t="s">
        <v>116</v>
      </c>
    </row>
    <row r="5">
      <c r="A5" t="s">
        <v>117</v>
      </c>
      <c r="B5" t="s">
        <v>118</v>
      </c>
    </row>
    <row r="6">
      <c r="A6" t="s">
        <v>119</v>
      </c>
      <c r="B6" t="s">
        <v>120</v>
      </c>
    </row>
    <row r="7">
      <c r="A7" t="s">
        <v>121</v>
      </c>
      <c r="B7" t="s">
        <v>122</v>
      </c>
    </row>
    <row r="8">
      <c r="A8" t="s">
        <v>123</v>
      </c>
      <c r="B8" s="23" t="str">
        <f>'Calculation_Assumptions'!$B$2&amp;"-"&amp;'Calculation_Assumptions'!$B$3</f>
      </c>
    </row>
    <row r="9">
      <c r="A9" t="s">
        <v>125</v>
      </c>
      <c r="B9" s="23" t="str">
        <f>'Calculation_Assumptions'!$B$4</f>
      </c>
    </row>
    <row r="10">
      <c r="A10" t="s">
        <v>126</v>
      </c>
      <c r="B10" t="s">
        <v>127</v>
      </c>
    </row>
    <row r="11">
      <c r="A11" t="s">
        <v>128</v>
      </c>
      <c r="B11" s="24" t="str">
        <f>'Calculation_Assumptions'!$B$8</f>
      </c>
    </row>
    <row r="12">
      <c r="A12" t="s">
        <v>42</v>
      </c>
      <c r="B12" t="s">
        <v>130</v>
      </c>
    </row>
    <row r="13">
      <c r="A13" t="s">
        <v>131</v>
      </c>
      <c r="B13" t="s">
        <v>68</v>
      </c>
    </row>
    <row r="14">
      <c r="A14" t="s">
        <v>132</v>
      </c>
      <c r="B14" t="s">
        <v>74</v>
      </c>
    </row>
    <row r="15">
      <c r="A15" t="s">
        <v>133</v>
      </c>
      <c r="B15" t="s">
        <v>134</v>
      </c>
    </row>
    <row r="16">
      <c r="A16" t="s">
        <v>135</v>
      </c>
      <c r="B16" t="s">
        <v>136</v>
      </c>
    </row>
    <row r="17">
      <c r="A17" t="s">
        <v>137</v>
      </c>
      <c r="B17" t="s">
        <v>138</v>
      </c>
    </row>
    <row r="18">
      <c r="A18" t="s">
        <v>139</v>
      </c>
      <c r="B18" t="s">
        <v>140</v>
      </c>
    </row>
    <row r="19">
      <c r="A19" t="s">
        <v>141</v>
      </c>
      <c r="B19" t="s">
        <v>142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1.71" hidden="0" customWidth="1"/>
    <col min="6" max="6" width="12.71" hidden="0" customWidth="1"/>
    <col min="7" max="7" width="14.71" hidden="0" customWidth="1"/>
    <col min="8" max="8" width="19.71" hidden="0" customWidth="1"/>
    <col min="9" max="9" width="17.71" hidden="0" customWidth="1"/>
    <col min="10" max="10" width="16.71" hidden="0" customWidth="1"/>
    <col min="11" max="11" width="11.71" hidden="0" customWidth="1"/>
    <col min="12" max="12" width="11.71" hidden="0" customWidth="1"/>
    <col min="13" max="13" width="15.71" hidden="0" customWidth="1"/>
    <col min="14" max="14" width="21.71" hidden="0" customWidth="1"/>
    <col min="15" max="15" width="22.71" hidden="0" customWidth="1"/>
    <col min="16" max="16" width="23.71" hidden="0" customWidth="1"/>
    <col min="17" max="17" width="24.71" hidden="0" customWidth="1"/>
    <col min="18" max="18" width="24.71" hidden="0" customWidth="1"/>
    <col min="19" max="19" width="15.71" hidden="0" customWidth="1"/>
    <col min="20" max="20" width="15.71" hidden="0" customWidth="1"/>
    <col min="21" max="21" width="11.71" hidden="0" customWidth="1"/>
    <col min="22" max="22" width="16.71" hidden="0" customWidth="1"/>
  </cols>
  <sheetData>
    <row r="1" ht="28" customHeight="1">
      <c r="A1" s="1" t="s">
        <v>143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10</v>
      </c>
      <c r="P1" s="1" t="s">
        <v>157</v>
      </c>
      <c r="Q1" s="1" t="s">
        <v>158</v>
      </c>
      <c r="R1" s="1" t="s">
        <v>159</v>
      </c>
      <c r="S1" s="1" t="s">
        <v>160</v>
      </c>
      <c r="T1" s="1" t="s">
        <v>161</v>
      </c>
      <c r="U1" s="1" t="s">
        <v>162</v>
      </c>
      <c r="V1" s="1" t="s">
        <v>163</v>
      </c>
    </row>
    <row r="2">
      <c r="A2" t="s">
        <v>164</v>
      </c>
      <c r="B2" t="s">
        <v>165</v>
      </c>
      <c r="C2" t="s">
        <v>166</v>
      </c>
      <c r="D2" t="s">
        <v>167</v>
      </c>
      <c r="E2" t="s">
        <v>168</v>
      </c>
      <c r="F2" t="s">
        <v>169</v>
      </c>
      <c r="G2" t="s">
        <v>170</v>
      </c>
      <c r="H2" s="25" t="n">
        <v>0.1</v>
      </c>
      <c r="I2" s="26" t="n">
        <v>0.0999731</v>
      </c>
      <c r="J2" s="27" t="n">
        <v>1.01316167035158</v>
      </c>
      <c r="K2" s="28"/>
      <c r="L2" t="s">
        <v>171</v>
      </c>
      <c r="M2" s="29" t="n">
        <v>1</v>
      </c>
      <c r="N2" s="30" t="n">
        <v>2026</v>
      </c>
      <c r="O2" s="31" t="n">
        <v>2030</v>
      </c>
      <c r="P2" s="32" t="str">
        <f>1-1/(J2^(H2-I2))</f>
      </c>
      <c r="Q2" s="33" t="str">
        <f>H2-I2</f>
      </c>
      <c r="R2" s="34" t="str">
        <f>IF(H2=0,0,(H2-I2)/H2)</f>
      </c>
      <c r="S2" s="35" t="s">
        <v>172</v>
      </c>
      <c r="T2" t="s">
        <v>173</v>
      </c>
      <c r="U2" s="36" t="str">
        <f>COUNTIF($B$2:$B$28,B2)</f>
      </c>
      <c r="V2" s="23" t="str">
        <f>IF(U2=1,"OK","DUPLICATE KEY")</f>
      </c>
    </row>
    <row r="3">
      <c r="A3" t="s">
        <v>164</v>
      </c>
      <c r="B3" t="s">
        <v>174</v>
      </c>
      <c r="C3" t="s">
        <v>166</v>
      </c>
      <c r="D3" t="s">
        <v>167</v>
      </c>
      <c r="E3" t="s">
        <v>175</v>
      </c>
      <c r="F3" t="s">
        <v>176</v>
      </c>
      <c r="G3" t="s">
        <v>170</v>
      </c>
      <c r="H3" s="25" t="n">
        <v>0.1</v>
      </c>
      <c r="I3" s="26" t="n">
        <v>0.0999731</v>
      </c>
      <c r="J3" s="27" t="n">
        <v>1.03317751043574</v>
      </c>
      <c r="K3" s="28"/>
      <c r="L3" t="s">
        <v>171</v>
      </c>
      <c r="M3" s="29" t="n">
        <v>1</v>
      </c>
      <c r="N3" s="30" t="n">
        <v>2026</v>
      </c>
      <c r="O3" s="31" t="n">
        <v>2030</v>
      </c>
      <c r="P3" s="32" t="str">
        <f>1-1/(J3^(H3-I3))</f>
      </c>
      <c r="Q3" s="33" t="str">
        <f>H3-I3</f>
      </c>
      <c r="R3" s="34" t="str">
        <f>IF(H3=0,0,(H3-I3)/H3)</f>
      </c>
      <c r="S3" s="35" t="s">
        <v>172</v>
      </c>
      <c r="T3" t="s">
        <v>177</v>
      </c>
      <c r="U3" s="36" t="str">
        <f>COUNTIF($B$2:$B$28,B3)</f>
      </c>
      <c r="V3" s="23" t="str">
        <f>IF(U3=1,"OK","DUPLICATE KEY")</f>
      </c>
    </row>
    <row r="4">
      <c r="A4" t="s">
        <v>164</v>
      </c>
      <c r="B4" t="s">
        <v>178</v>
      </c>
      <c r="C4" t="s">
        <v>166</v>
      </c>
      <c r="D4" t="s">
        <v>167</v>
      </c>
      <c r="E4" t="s">
        <v>179</v>
      </c>
      <c r="F4" t="s">
        <v>180</v>
      </c>
      <c r="G4" t="s">
        <v>170</v>
      </c>
      <c r="H4" s="25" t="n">
        <v>0.1</v>
      </c>
      <c r="I4" s="26" t="n">
        <v>0.0999731</v>
      </c>
      <c r="J4" s="27" t="n">
        <v>1.02007996271888</v>
      </c>
      <c r="K4" s="28"/>
      <c r="L4" t="s">
        <v>171</v>
      </c>
      <c r="M4" s="29" t="n">
        <v>1</v>
      </c>
      <c r="N4" s="30" t="n">
        <v>2026</v>
      </c>
      <c r="O4" s="31" t="n">
        <v>2030</v>
      </c>
      <c r="P4" s="32" t="str">
        <f>1-1/(J4^(H4-I4))</f>
      </c>
      <c r="Q4" s="33" t="str">
        <f>H4-I4</f>
      </c>
      <c r="R4" s="34" t="str">
        <f>IF(H4=0,0,(H4-I4)/H4)</f>
      </c>
      <c r="S4" s="35" t="s">
        <v>172</v>
      </c>
      <c r="T4" t="s">
        <v>173</v>
      </c>
      <c r="U4" s="36" t="str">
        <f>COUNTIF($B$2:$B$28,B4)</f>
      </c>
      <c r="V4" s="23" t="str">
        <f>IF(U4=1,"OK","DUPLICATE KEY")</f>
      </c>
    </row>
    <row r="5">
      <c r="A5" t="s">
        <v>164</v>
      </c>
      <c r="B5" t="s">
        <v>181</v>
      </c>
      <c r="C5" t="s">
        <v>166</v>
      </c>
      <c r="D5" t="s">
        <v>167</v>
      </c>
      <c r="E5" t="s">
        <v>182</v>
      </c>
      <c r="F5" t="s">
        <v>183</v>
      </c>
      <c r="G5" t="s">
        <v>170</v>
      </c>
      <c r="H5" s="25" t="n">
        <v>0.1</v>
      </c>
      <c r="I5" s="26" t="n">
        <v>0.0999731</v>
      </c>
      <c r="J5" s="27" t="n">
        <v>1.00888038497497</v>
      </c>
      <c r="K5" s="28"/>
      <c r="L5" t="s">
        <v>171</v>
      </c>
      <c r="M5" s="29" t="n">
        <v>1</v>
      </c>
      <c r="N5" s="30" t="n">
        <v>2026</v>
      </c>
      <c r="O5" s="31" t="n">
        <v>2030</v>
      </c>
      <c r="P5" s="32" t="str">
        <f>1-1/(J5^(H5-I5))</f>
      </c>
      <c r="Q5" s="33" t="str">
        <f>H5-I5</f>
      </c>
      <c r="R5" s="34" t="str">
        <f>IF(H5=0,0,(H5-I5)/H5)</f>
      </c>
      <c r="S5" s="35" t="s">
        <v>172</v>
      </c>
      <c r="T5" t="s">
        <v>173</v>
      </c>
      <c r="U5" s="36" t="str">
        <f>COUNTIF($B$2:$B$28,B5)</f>
      </c>
      <c r="V5" s="23" t="str">
        <f>IF(U5=1,"OK","DUPLICATE KEY")</f>
      </c>
    </row>
    <row r="6">
      <c r="A6" t="s">
        <v>164</v>
      </c>
      <c r="B6" t="s">
        <v>184</v>
      </c>
      <c r="C6" t="s">
        <v>166</v>
      </c>
      <c r="D6" t="s">
        <v>167</v>
      </c>
      <c r="E6" t="s">
        <v>185</v>
      </c>
      <c r="F6" t="s">
        <v>186</v>
      </c>
      <c r="G6" t="s">
        <v>170</v>
      </c>
      <c r="H6" s="25" t="n">
        <v>0.1</v>
      </c>
      <c r="I6" s="26" t="n">
        <v>0.0999731</v>
      </c>
      <c r="J6" s="27" t="n">
        <v>1.02007996271888</v>
      </c>
      <c r="K6" s="28"/>
      <c r="L6" t="s">
        <v>171</v>
      </c>
      <c r="M6" s="29" t="n">
        <v>1</v>
      </c>
      <c r="N6" s="30" t="n">
        <v>2026</v>
      </c>
      <c r="O6" s="31" t="n">
        <v>2030</v>
      </c>
      <c r="P6" s="32" t="str">
        <f>1-1/(J6^(H6-I6))</f>
      </c>
      <c r="Q6" s="33" t="str">
        <f>H6-I6</f>
      </c>
      <c r="R6" s="34" t="str">
        <f>IF(H6=0,0,(H6-I6)/H6)</f>
      </c>
      <c r="S6" s="35" t="s">
        <v>172</v>
      </c>
      <c r="T6" t="s">
        <v>173</v>
      </c>
      <c r="U6" s="36" t="str">
        <f>COUNTIF($B$2:$B$28,B6)</f>
      </c>
      <c r="V6" s="23" t="str">
        <f>IF(U6=1,"OK","DUPLICATE KEY")</f>
      </c>
    </row>
    <row r="7">
      <c r="A7" t="s">
        <v>187</v>
      </c>
      <c r="B7" t="s">
        <v>188</v>
      </c>
      <c r="C7" t="s">
        <v>189</v>
      </c>
      <c r="D7" t="s">
        <v>167</v>
      </c>
      <c r="E7" t="s">
        <v>168</v>
      </c>
      <c r="F7" t="s">
        <v>169</v>
      </c>
      <c r="G7" t="s">
        <v>170</v>
      </c>
      <c r="H7" s="25" t="n">
        <v>0.1</v>
      </c>
      <c r="I7" s="26" t="n">
        <v>0.099951</v>
      </c>
      <c r="J7" s="27" t="n">
        <v>1.01316167035158</v>
      </c>
      <c r="K7" s="28"/>
      <c r="L7" t="s">
        <v>171</v>
      </c>
      <c r="M7" s="29" t="n">
        <v>1</v>
      </c>
      <c r="N7" s="30" t="n">
        <v>2026</v>
      </c>
      <c r="O7" s="31" t="n">
        <v>2030</v>
      </c>
      <c r="P7" s="32" t="str">
        <f>1-1/(J7^(H7-I7))</f>
      </c>
      <c r="Q7" s="33" t="str">
        <f>H7-I7</f>
      </c>
      <c r="R7" s="34" t="str">
        <f>IF(H7=0,0,(H7-I7)/H7)</f>
      </c>
      <c r="S7" s="35" t="s">
        <v>190</v>
      </c>
      <c r="T7" t="s">
        <v>173</v>
      </c>
      <c r="U7" s="36" t="str">
        <f>COUNTIF($B$2:$B$28,B7)</f>
      </c>
      <c r="V7" s="23" t="str">
        <f>IF(U7=1,"OK","DUPLICATE KEY")</f>
      </c>
    </row>
    <row r="8">
      <c r="A8" t="s">
        <v>187</v>
      </c>
      <c r="B8" t="s">
        <v>191</v>
      </c>
      <c r="C8" t="s">
        <v>189</v>
      </c>
      <c r="D8" t="s">
        <v>167</v>
      </c>
      <c r="E8" t="s">
        <v>175</v>
      </c>
      <c r="F8" t="s">
        <v>176</v>
      </c>
      <c r="G8" t="s">
        <v>170</v>
      </c>
      <c r="H8" s="25" t="n">
        <v>0.1</v>
      </c>
      <c r="I8" s="26" t="n">
        <v>0.099951</v>
      </c>
      <c r="J8" s="27" t="n">
        <v>1.03317751043574</v>
      </c>
      <c r="K8" s="28"/>
      <c r="L8" t="s">
        <v>171</v>
      </c>
      <c r="M8" s="29" t="n">
        <v>1</v>
      </c>
      <c r="N8" s="30" t="n">
        <v>2026</v>
      </c>
      <c r="O8" s="31" t="n">
        <v>2030</v>
      </c>
      <c r="P8" s="32" t="str">
        <f>1-1/(J8^(H8-I8))</f>
      </c>
      <c r="Q8" s="33" t="str">
        <f>H8-I8</f>
      </c>
      <c r="R8" s="34" t="str">
        <f>IF(H8=0,0,(H8-I8)/H8)</f>
      </c>
      <c r="S8" s="35" t="s">
        <v>190</v>
      </c>
      <c r="T8" t="s">
        <v>177</v>
      </c>
      <c r="U8" s="36" t="str">
        <f>COUNTIF($B$2:$B$28,B8)</f>
      </c>
      <c r="V8" s="23" t="str">
        <f>IF(U8=1,"OK","DUPLICATE KEY")</f>
      </c>
    </row>
    <row r="9">
      <c r="A9" t="s">
        <v>187</v>
      </c>
      <c r="B9" t="s">
        <v>192</v>
      </c>
      <c r="C9" t="s">
        <v>189</v>
      </c>
      <c r="D9" t="s">
        <v>167</v>
      </c>
      <c r="E9" t="s">
        <v>179</v>
      </c>
      <c r="F9" t="s">
        <v>180</v>
      </c>
      <c r="G9" t="s">
        <v>170</v>
      </c>
      <c r="H9" s="25" t="n">
        <v>0.1</v>
      </c>
      <c r="I9" s="26" t="n">
        <v>0.099951</v>
      </c>
      <c r="J9" s="27" t="n">
        <v>1.02007996271888</v>
      </c>
      <c r="K9" s="28"/>
      <c r="L9" t="s">
        <v>171</v>
      </c>
      <c r="M9" s="29" t="n">
        <v>1</v>
      </c>
      <c r="N9" s="30" t="n">
        <v>2026</v>
      </c>
      <c r="O9" s="31" t="n">
        <v>2030</v>
      </c>
      <c r="P9" s="32" t="str">
        <f>1-1/(J9^(H9-I9))</f>
      </c>
      <c r="Q9" s="33" t="str">
        <f>H9-I9</f>
      </c>
      <c r="R9" s="34" t="str">
        <f>IF(H9=0,0,(H9-I9)/H9)</f>
      </c>
      <c r="S9" s="35" t="s">
        <v>190</v>
      </c>
      <c r="T9" t="s">
        <v>173</v>
      </c>
      <c r="U9" s="36" t="str">
        <f>COUNTIF($B$2:$B$28,B9)</f>
      </c>
      <c r="V9" s="23" t="str">
        <f>IF(U9=1,"OK","DUPLICATE KEY")</f>
      </c>
    </row>
    <row r="10">
      <c r="A10" t="s">
        <v>187</v>
      </c>
      <c r="B10" t="s">
        <v>193</v>
      </c>
      <c r="C10" t="s">
        <v>189</v>
      </c>
      <c r="D10" t="s">
        <v>167</v>
      </c>
      <c r="E10" t="s">
        <v>182</v>
      </c>
      <c r="F10" t="s">
        <v>183</v>
      </c>
      <c r="G10" t="s">
        <v>170</v>
      </c>
      <c r="H10" s="25" t="n">
        <v>0.1</v>
      </c>
      <c r="I10" s="26" t="n">
        <v>0.099951</v>
      </c>
      <c r="J10" s="27" t="n">
        <v>1.00888038497497</v>
      </c>
      <c r="K10" s="28"/>
      <c r="L10" t="s">
        <v>171</v>
      </c>
      <c r="M10" s="29" t="n">
        <v>1</v>
      </c>
      <c r="N10" s="30" t="n">
        <v>2026</v>
      </c>
      <c r="O10" s="31" t="n">
        <v>2030</v>
      </c>
      <c r="P10" s="32" t="str">
        <f>1-1/(J10^(H10-I10))</f>
      </c>
      <c r="Q10" s="33" t="str">
        <f>H10-I10</f>
      </c>
      <c r="R10" s="34" t="str">
        <f>IF(H10=0,0,(H10-I10)/H10)</f>
      </c>
      <c r="S10" s="35" t="s">
        <v>190</v>
      </c>
      <c r="T10" t="s">
        <v>173</v>
      </c>
      <c r="U10" s="36" t="str">
        <f>COUNTIF($B$2:$B$28,B10)</f>
      </c>
      <c r="V10" s="23" t="str">
        <f>IF(U10=1,"OK","DUPLICATE KEY")</f>
      </c>
    </row>
    <row r="11">
      <c r="A11" t="s">
        <v>187</v>
      </c>
      <c r="B11" t="s">
        <v>194</v>
      </c>
      <c r="C11" t="s">
        <v>189</v>
      </c>
      <c r="D11" t="s">
        <v>167</v>
      </c>
      <c r="E11" t="s">
        <v>185</v>
      </c>
      <c r="F11" t="s">
        <v>186</v>
      </c>
      <c r="G11" t="s">
        <v>170</v>
      </c>
      <c r="H11" s="25" t="n">
        <v>0.1</v>
      </c>
      <c r="I11" s="26" t="n">
        <v>0.099951</v>
      </c>
      <c r="J11" s="27" t="n">
        <v>1.02007996271888</v>
      </c>
      <c r="K11" s="28"/>
      <c r="L11" t="s">
        <v>171</v>
      </c>
      <c r="M11" s="29" t="n">
        <v>1</v>
      </c>
      <c r="N11" s="30" t="n">
        <v>2026</v>
      </c>
      <c r="O11" s="31" t="n">
        <v>2030</v>
      </c>
      <c r="P11" s="32" t="str">
        <f>1-1/(J11^(H11-I11))</f>
      </c>
      <c r="Q11" s="33" t="str">
        <f>H11-I11</f>
      </c>
      <c r="R11" s="34" t="str">
        <f>IF(H11=0,0,(H11-I11)/H11)</f>
      </c>
      <c r="S11" s="35" t="s">
        <v>190</v>
      </c>
      <c r="T11" t="s">
        <v>173</v>
      </c>
      <c r="U11" s="36" t="str">
        <f>COUNTIF($B$2:$B$28,B11)</f>
      </c>
      <c r="V11" s="23" t="str">
        <f>IF(U11=1,"OK","DUPLICATE KEY")</f>
      </c>
    </row>
    <row r="12">
      <c r="A12" t="s">
        <v>195</v>
      </c>
      <c r="B12" t="s">
        <v>196</v>
      </c>
      <c r="C12" t="s">
        <v>197</v>
      </c>
      <c r="D12" t="s">
        <v>198</v>
      </c>
      <c r="E12" t="s">
        <v>175</v>
      </c>
      <c r="F12" t="s">
        <v>176</v>
      </c>
      <c r="G12" t="s">
        <v>170</v>
      </c>
      <c r="H12" s="25" t="n">
        <v>4.4</v>
      </c>
      <c r="I12" s="26" t="n">
        <v>3</v>
      </c>
      <c r="J12" s="27" t="n">
        <v>1.06</v>
      </c>
      <c r="K12" s="28"/>
      <c r="L12" t="s">
        <v>171</v>
      </c>
      <c r="M12" s="29" t="n">
        <v>1</v>
      </c>
      <c r="N12" s="30" t="n">
        <v>2026</v>
      </c>
      <c r="O12" s="31" t="n">
        <v>2030</v>
      </c>
      <c r="P12" s="32" t="str">
        <f>1-1/(J12^(H12-I12))</f>
      </c>
      <c r="Q12" s="33" t="str">
        <f>H12-I12</f>
      </c>
      <c r="R12" s="34" t="str">
        <f>IF(H12=0,0,(H12-I12)/H12)</f>
      </c>
      <c r="S12" s="35" t="s">
        <v>199</v>
      </c>
      <c r="T12" t="s">
        <v>177</v>
      </c>
      <c r="U12" s="36" t="str">
        <f>COUNTIF($B$2:$B$28,B12)</f>
      </c>
      <c r="V12" s="23" t="str">
        <f>IF(U12=1,"OK","DUPLICATE KEY")</f>
      </c>
    </row>
    <row r="13">
      <c r="A13" t="s">
        <v>195</v>
      </c>
      <c r="B13" t="s">
        <v>200</v>
      </c>
      <c r="C13" t="s">
        <v>197</v>
      </c>
      <c r="D13" t="s">
        <v>198</v>
      </c>
      <c r="E13" t="s">
        <v>179</v>
      </c>
      <c r="F13" t="s">
        <v>180</v>
      </c>
      <c r="G13" t="s">
        <v>170</v>
      </c>
      <c r="H13" s="25" t="n">
        <v>4.4</v>
      </c>
      <c r="I13" s="26" t="n">
        <v>3</v>
      </c>
      <c r="J13" s="27" t="n">
        <v>1.06</v>
      </c>
      <c r="K13" s="28"/>
      <c r="L13" t="s">
        <v>171</v>
      </c>
      <c r="M13" s="29" t="n">
        <v>1</v>
      </c>
      <c r="N13" s="30" t="n">
        <v>2026</v>
      </c>
      <c r="O13" s="31" t="n">
        <v>2030</v>
      </c>
      <c r="P13" s="32" t="str">
        <f>1-1/(J13^(H13-I13))</f>
      </c>
      <c r="Q13" s="33" t="str">
        <f>H13-I13</f>
      </c>
      <c r="R13" s="34" t="str">
        <f>IF(H13=0,0,(H13-I13)/H13)</f>
      </c>
      <c r="S13" s="35" t="s">
        <v>199</v>
      </c>
      <c r="T13" t="s">
        <v>177</v>
      </c>
      <c r="U13" s="36" t="str">
        <f>COUNTIF($B$2:$B$28,B13)</f>
      </c>
      <c r="V13" s="23" t="str">
        <f>IF(U13=1,"OK","DUPLICATE KEY")</f>
      </c>
    </row>
    <row r="14">
      <c r="A14" t="s">
        <v>195</v>
      </c>
      <c r="B14" t="s">
        <v>201</v>
      </c>
      <c r="C14" t="s">
        <v>197</v>
      </c>
      <c r="D14" t="s">
        <v>198</v>
      </c>
      <c r="E14" t="s">
        <v>182</v>
      </c>
      <c r="F14" t="s">
        <v>183</v>
      </c>
      <c r="G14" t="s">
        <v>170</v>
      </c>
      <c r="H14" s="25" t="n">
        <v>4.4</v>
      </c>
      <c r="I14" s="26" t="n">
        <v>3</v>
      </c>
      <c r="J14" s="27" t="n">
        <v>1.06</v>
      </c>
      <c r="K14" s="28"/>
      <c r="L14" t="s">
        <v>171</v>
      </c>
      <c r="M14" s="29" t="n">
        <v>1</v>
      </c>
      <c r="N14" s="30" t="n">
        <v>2026</v>
      </c>
      <c r="O14" s="31" t="n">
        <v>2030</v>
      </c>
      <c r="P14" s="32" t="str">
        <f>1-1/(J14^(H14-I14))</f>
      </c>
      <c r="Q14" s="33" t="str">
        <f>H14-I14</f>
      </c>
      <c r="R14" s="34" t="str">
        <f>IF(H14=0,0,(H14-I14)/H14)</f>
      </c>
      <c r="S14" s="35" t="s">
        <v>199</v>
      </c>
      <c r="T14" t="s">
        <v>177</v>
      </c>
      <c r="U14" s="36" t="str">
        <f>COUNTIF($B$2:$B$28,B14)</f>
      </c>
      <c r="V14" s="23" t="str">
        <f>IF(U14=1,"OK","DUPLICATE KEY")</f>
      </c>
    </row>
    <row r="15">
      <c r="A15" t="s">
        <v>195</v>
      </c>
      <c r="B15" t="s">
        <v>202</v>
      </c>
      <c r="C15" t="s">
        <v>197</v>
      </c>
      <c r="D15" t="s">
        <v>198</v>
      </c>
      <c r="E15" t="s">
        <v>185</v>
      </c>
      <c r="F15" t="s">
        <v>186</v>
      </c>
      <c r="G15" t="s">
        <v>170</v>
      </c>
      <c r="H15" s="25" t="n">
        <v>4.4</v>
      </c>
      <c r="I15" s="26" t="n">
        <v>3</v>
      </c>
      <c r="J15" s="27" t="n">
        <v>1.06</v>
      </c>
      <c r="K15" s="28"/>
      <c r="L15" t="s">
        <v>171</v>
      </c>
      <c r="M15" s="29" t="n">
        <v>1</v>
      </c>
      <c r="N15" s="30" t="n">
        <v>2026</v>
      </c>
      <c r="O15" s="31" t="n">
        <v>2030</v>
      </c>
      <c r="P15" s="32" t="str">
        <f>1-1/(J15^(H15-I15))</f>
      </c>
      <c r="Q15" s="33" t="str">
        <f>H15-I15</f>
      </c>
      <c r="R15" s="34" t="str">
        <f>IF(H15=0,0,(H15-I15)/H15)</f>
      </c>
      <c r="S15" s="35" t="s">
        <v>199</v>
      </c>
      <c r="T15" t="s">
        <v>177</v>
      </c>
      <c r="U15" s="36" t="str">
        <f>COUNTIF($B$2:$B$28,B15)</f>
      </c>
      <c r="V15" s="23" t="str">
        <f>IF(U15=1,"OK","DUPLICATE KEY")</f>
      </c>
    </row>
    <row r="16">
      <c r="A16" t="s">
        <v>203</v>
      </c>
      <c r="B16" t="s">
        <v>204</v>
      </c>
      <c r="C16" t="s">
        <v>205</v>
      </c>
      <c r="D16" t="s">
        <v>206</v>
      </c>
      <c r="E16" t="s">
        <v>207</v>
      </c>
      <c r="F16" t="s">
        <v>208</v>
      </c>
      <c r="G16" t="s">
        <v>170</v>
      </c>
      <c r="H16" s="25" t="n">
        <v>0.114285714285714</v>
      </c>
      <c r="I16" s="26" t="n">
        <v>0.094285714285714</v>
      </c>
      <c r="J16" s="27" t="n">
        <v>1.18</v>
      </c>
      <c r="K16" s="28"/>
      <c r="L16" t="s">
        <v>171</v>
      </c>
      <c r="M16" s="29" t="n">
        <v>1</v>
      </c>
      <c r="N16" s="30" t="n">
        <v>2026</v>
      </c>
      <c r="O16" s="31" t="n">
        <v>2030</v>
      </c>
      <c r="P16" s="32" t="str">
        <f>1-1/(J16^(H16-I16))</f>
      </c>
      <c r="Q16" s="33" t="str">
        <f>H16-I16</f>
      </c>
      <c r="R16" s="34" t="str">
        <f>IF(H16=0,0,(H16-I16)/H16)</f>
      </c>
      <c r="S16" s="35" t="s">
        <v>209</v>
      </c>
      <c r="T16" t="s">
        <v>177</v>
      </c>
      <c r="U16" s="36" t="str">
        <f>COUNTIF($B$2:$B$28,B16)</f>
      </c>
      <c r="V16" s="23" t="str">
        <f>IF(U16=1,"OK","DUPLICATE KEY")</f>
      </c>
    </row>
    <row r="17">
      <c r="A17" t="s">
        <v>203</v>
      </c>
      <c r="B17" t="s">
        <v>210</v>
      </c>
      <c r="C17" t="s">
        <v>205</v>
      </c>
      <c r="D17" t="s">
        <v>206</v>
      </c>
      <c r="E17" t="s">
        <v>175</v>
      </c>
      <c r="F17" t="s">
        <v>176</v>
      </c>
      <c r="G17" t="s">
        <v>170</v>
      </c>
      <c r="H17" s="25" t="n">
        <v>0.114285714285714</v>
      </c>
      <c r="I17" s="26" t="n">
        <v>0.094285714285714</v>
      </c>
      <c r="J17" s="27" t="n">
        <v>1.1</v>
      </c>
      <c r="K17" s="28"/>
      <c r="L17" t="s">
        <v>171</v>
      </c>
      <c r="M17" s="29" t="n">
        <v>1</v>
      </c>
      <c r="N17" s="30" t="n">
        <v>2026</v>
      </c>
      <c r="O17" s="31" t="n">
        <v>2030</v>
      </c>
      <c r="P17" s="32" t="str">
        <f>1-1/(J17^(H17-I17))</f>
      </c>
      <c r="Q17" s="33" t="str">
        <f>H17-I17</f>
      </c>
      <c r="R17" s="34" t="str">
        <f>IF(H17=0,0,(H17-I17)/H17)</f>
      </c>
      <c r="S17" s="35" t="s">
        <v>209</v>
      </c>
      <c r="T17" t="s">
        <v>173</v>
      </c>
      <c r="U17" s="36" t="str">
        <f>COUNTIF($B$2:$B$28,B17)</f>
      </c>
      <c r="V17" s="23" t="str">
        <f>IF(U17=1,"OK","DUPLICATE KEY")</f>
      </c>
    </row>
    <row r="18">
      <c r="A18" t="s">
        <v>203</v>
      </c>
      <c r="B18" t="s">
        <v>211</v>
      </c>
      <c r="C18" t="s">
        <v>205</v>
      </c>
      <c r="D18" t="s">
        <v>206</v>
      </c>
      <c r="E18" t="s">
        <v>179</v>
      </c>
      <c r="F18" t="s">
        <v>180</v>
      </c>
      <c r="G18" t="s">
        <v>170</v>
      </c>
      <c r="H18" s="25" t="n">
        <v>0.114285714285714</v>
      </c>
      <c r="I18" s="26" t="n">
        <v>0.094285714285714</v>
      </c>
      <c r="J18" s="27" t="n">
        <v>1.08</v>
      </c>
      <c r="K18" s="28"/>
      <c r="L18" t="s">
        <v>171</v>
      </c>
      <c r="M18" s="29" t="n">
        <v>1</v>
      </c>
      <c r="N18" s="30" t="n">
        <v>2026</v>
      </c>
      <c r="O18" s="31" t="n">
        <v>2030</v>
      </c>
      <c r="P18" s="32" t="str">
        <f>1-1/(J18^(H18-I18))</f>
      </c>
      <c r="Q18" s="33" t="str">
        <f>H18-I18</f>
      </c>
      <c r="R18" s="34" t="str">
        <f>IF(H18=0,0,(H18-I18)/H18)</f>
      </c>
      <c r="S18" s="35" t="s">
        <v>209</v>
      </c>
      <c r="T18" t="s">
        <v>173</v>
      </c>
      <c r="U18" s="36" t="str">
        <f>COUNTIF($B$2:$B$28,B18)</f>
      </c>
      <c r="V18" s="23" t="str">
        <f>IF(U18=1,"OK","DUPLICATE KEY")</f>
      </c>
    </row>
    <row r="19">
      <c r="A19" t="s">
        <v>203</v>
      </c>
      <c r="B19" t="s">
        <v>212</v>
      </c>
      <c r="C19" t="s">
        <v>205</v>
      </c>
      <c r="D19" t="s">
        <v>206</v>
      </c>
      <c r="E19" t="s">
        <v>182</v>
      </c>
      <c r="F19" t="s">
        <v>183</v>
      </c>
      <c r="G19" t="s">
        <v>170</v>
      </c>
      <c r="H19" s="25" t="n">
        <v>0.114285714285714</v>
      </c>
      <c r="I19" s="26" t="n">
        <v>0.094285714285714</v>
      </c>
      <c r="J19" s="27" t="n">
        <v>1.14</v>
      </c>
      <c r="K19" s="28"/>
      <c r="L19" t="s">
        <v>171</v>
      </c>
      <c r="M19" s="29" t="n">
        <v>1</v>
      </c>
      <c r="N19" s="30" t="n">
        <v>2026</v>
      </c>
      <c r="O19" s="31" t="n">
        <v>2030</v>
      </c>
      <c r="P19" s="32" t="str">
        <f>1-1/(J19^(H19-I19))</f>
      </c>
      <c r="Q19" s="33" t="str">
        <f>H19-I19</f>
      </c>
      <c r="R19" s="34" t="str">
        <f>IF(H19=0,0,(H19-I19)/H19)</f>
      </c>
      <c r="S19" s="35" t="s">
        <v>209</v>
      </c>
      <c r="T19" t="s">
        <v>177</v>
      </c>
      <c r="U19" s="36" t="str">
        <f>COUNTIF($B$2:$B$28,B19)</f>
      </c>
      <c r="V19" s="23" t="str">
        <f>IF(U19=1,"OK","DUPLICATE KEY")</f>
      </c>
    </row>
    <row r="20">
      <c r="A20" t="s">
        <v>203</v>
      </c>
      <c r="B20" t="s">
        <v>213</v>
      </c>
      <c r="C20" t="s">
        <v>205</v>
      </c>
      <c r="D20" t="s">
        <v>206</v>
      </c>
      <c r="E20" t="s">
        <v>185</v>
      </c>
      <c r="F20" t="s">
        <v>186</v>
      </c>
      <c r="G20" t="s">
        <v>170</v>
      </c>
      <c r="H20" s="25" t="n">
        <v>0.114285714285714</v>
      </c>
      <c r="I20" s="26" t="n">
        <v>0.094285714285714</v>
      </c>
      <c r="J20" s="27" t="n">
        <v>1.07</v>
      </c>
      <c r="K20" s="28"/>
      <c r="L20" t="s">
        <v>171</v>
      </c>
      <c r="M20" s="29" t="n">
        <v>1</v>
      </c>
      <c r="N20" s="30" t="n">
        <v>2026</v>
      </c>
      <c r="O20" s="31" t="n">
        <v>2030</v>
      </c>
      <c r="P20" s="32" t="str">
        <f>1-1/(J20^(H20-I20))</f>
      </c>
      <c r="Q20" s="33" t="str">
        <f>H20-I20</f>
      </c>
      <c r="R20" s="34" t="str">
        <f>IF(H20=0,0,(H20-I20)/H20)</f>
      </c>
      <c r="S20" s="35" t="s">
        <v>209</v>
      </c>
      <c r="T20" t="s">
        <v>177</v>
      </c>
      <c r="U20" s="36" t="str">
        <f>COUNTIF($B$2:$B$28,B20)</f>
      </c>
      <c r="V20" s="23" t="str">
        <f>IF(U20=1,"OK","DUPLICATE KEY")</f>
      </c>
    </row>
    <row r="21">
      <c r="A21" t="s">
        <v>214</v>
      </c>
      <c r="B21" t="s">
        <v>215</v>
      </c>
      <c r="C21" t="s">
        <v>216</v>
      </c>
      <c r="D21" t="s">
        <v>217</v>
      </c>
      <c r="E21" t="s">
        <v>207</v>
      </c>
      <c r="F21" t="s">
        <v>208</v>
      </c>
      <c r="G21" t="s">
        <v>218</v>
      </c>
      <c r="H21" s="25" t="n">
        <v>0.303</v>
      </c>
      <c r="I21" s="26" t="n">
        <v>0.242055792</v>
      </c>
      <c r="J21" s="27" t="n">
        <v>1.37</v>
      </c>
      <c r="K21" s="28"/>
      <c r="L21" t="s">
        <v>219</v>
      </c>
      <c r="M21" s="29" t="n">
        <v>0.0615144568129612</v>
      </c>
      <c r="N21" s="30" t="n">
        <v>2026</v>
      </c>
      <c r="O21" s="31" t="n">
        <v>2030</v>
      </c>
      <c r="P21" s="32" t="str">
        <f>1-(1+I21*(J21-1))/(1+H21*(J21-1))</f>
      </c>
      <c r="Q21" s="33" t="str">
        <f>H21-I21</f>
      </c>
      <c r="R21" s="34" t="str">
        <f>IF(H21=0,0,(H21-I21)/H21)</f>
      </c>
      <c r="S21" s="35" t="s">
        <v>220</v>
      </c>
      <c r="T21" t="s">
        <v>221</v>
      </c>
      <c r="U21" s="36" t="str">
        <f>COUNTIF($B$2:$B$28,B21)</f>
      </c>
      <c r="V21" s="23" t="str">
        <f>IF(U21=1,"OK","DUPLICATE KEY")</f>
      </c>
    </row>
    <row r="22">
      <c r="A22" t="s">
        <v>214</v>
      </c>
      <c r="B22" t="s">
        <v>222</v>
      </c>
      <c r="C22" t="s">
        <v>216</v>
      </c>
      <c r="D22" t="s">
        <v>217</v>
      </c>
      <c r="E22" t="s">
        <v>179</v>
      </c>
      <c r="F22" t="s">
        <v>180</v>
      </c>
      <c r="G22" t="s">
        <v>218</v>
      </c>
      <c r="H22" s="25" t="n">
        <v>0.303</v>
      </c>
      <c r="I22" s="26" t="n">
        <v>0.242055792</v>
      </c>
      <c r="J22" s="27" t="n">
        <v>1.19</v>
      </c>
      <c r="K22" s="28"/>
      <c r="L22" t="s">
        <v>219</v>
      </c>
      <c r="M22" s="29" t="n">
        <v>0.0615144568129612</v>
      </c>
      <c r="N22" s="30" t="n">
        <v>2026</v>
      </c>
      <c r="O22" s="31" t="n">
        <v>2030</v>
      </c>
      <c r="P22" s="32" t="str">
        <f>1-(1+I22*(J22-1))/(1+H22*(J22-1))</f>
      </c>
      <c r="Q22" s="33" t="str">
        <f>H22-I22</f>
      </c>
      <c r="R22" s="34" t="str">
        <f>IF(H22=0,0,(H22-I22)/H22)</f>
      </c>
      <c r="S22" s="35" t="s">
        <v>220</v>
      </c>
      <c r="T22" t="s">
        <v>177</v>
      </c>
      <c r="U22" s="36" t="str">
        <f>COUNTIF($B$2:$B$28,B22)</f>
      </c>
      <c r="V22" s="23" t="str">
        <f>IF(U22=1,"OK","DUPLICATE KEY")</f>
      </c>
    </row>
    <row r="23">
      <c r="A23" t="s">
        <v>214</v>
      </c>
      <c r="B23" t="s">
        <v>223</v>
      </c>
      <c r="C23" t="s">
        <v>216</v>
      </c>
      <c r="D23" t="s">
        <v>217</v>
      </c>
      <c r="E23" t="s">
        <v>182</v>
      </c>
      <c r="F23" t="s">
        <v>183</v>
      </c>
      <c r="G23" t="s">
        <v>218</v>
      </c>
      <c r="H23" s="25" t="n">
        <v>0.303</v>
      </c>
      <c r="I23" s="26" t="n">
        <v>0.242055792</v>
      </c>
      <c r="J23" s="27" t="n">
        <v>1.6</v>
      </c>
      <c r="K23" s="28"/>
      <c r="L23" t="s">
        <v>219</v>
      </c>
      <c r="M23" s="29" t="n">
        <v>0.0615144568129612</v>
      </c>
      <c r="N23" s="30" t="n">
        <v>2026</v>
      </c>
      <c r="O23" s="31" t="n">
        <v>2030</v>
      </c>
      <c r="P23" s="32" t="str">
        <f>1-(1+I23*(J23-1))/(1+H23*(J23-1))</f>
      </c>
      <c r="Q23" s="33" t="str">
        <f>H23-I23</f>
      </c>
      <c r="R23" s="34" t="str">
        <f>IF(H23=0,0,(H23-I23)/H23)</f>
      </c>
      <c r="S23" s="35" t="s">
        <v>220</v>
      </c>
      <c r="T23" t="s">
        <v>177</v>
      </c>
      <c r="U23" s="36" t="str">
        <f>COUNTIF($B$2:$B$28,B23)</f>
      </c>
      <c r="V23" s="23" t="str">
        <f>IF(U23=1,"OK","DUPLICATE KEY")</f>
      </c>
    </row>
    <row r="24">
      <c r="A24" t="s">
        <v>214</v>
      </c>
      <c r="B24" t="s">
        <v>224</v>
      </c>
      <c r="C24" t="s">
        <v>216</v>
      </c>
      <c r="D24" t="s">
        <v>217</v>
      </c>
      <c r="E24" t="s">
        <v>185</v>
      </c>
      <c r="F24" t="s">
        <v>186</v>
      </c>
      <c r="G24" t="s">
        <v>218</v>
      </c>
      <c r="H24" s="25" t="n">
        <v>0.303</v>
      </c>
      <c r="I24" s="26" t="n">
        <v>0.242055792</v>
      </c>
      <c r="J24" s="27" t="n">
        <v>1.38</v>
      </c>
      <c r="K24" s="28"/>
      <c r="L24" t="s">
        <v>219</v>
      </c>
      <c r="M24" s="29" t="n">
        <v>0.0615144568129612</v>
      </c>
      <c r="N24" s="30" t="n">
        <v>2026</v>
      </c>
      <c r="O24" s="31" t="n">
        <v>2030</v>
      </c>
      <c r="P24" s="32" t="str">
        <f>1-(1+I24*(J24-1))/(1+H24*(J24-1))</f>
      </c>
      <c r="Q24" s="33" t="str">
        <f>H24-I24</f>
      </c>
      <c r="R24" s="34" t="str">
        <f>IF(H24=0,0,(H24-I24)/H24)</f>
      </c>
      <c r="S24" s="35" t="s">
        <v>220</v>
      </c>
      <c r="T24" t="s">
        <v>177</v>
      </c>
      <c r="U24" s="36" t="str">
        <f>COUNTIF($B$2:$B$28,B24)</f>
      </c>
      <c r="V24" s="23" t="str">
        <f>IF(U24=1,"OK","DUPLICATE KEY")</f>
      </c>
    </row>
    <row r="25">
      <c r="A25" t="s">
        <v>225</v>
      </c>
      <c r="B25" t="s">
        <v>226</v>
      </c>
      <c r="C25" t="s">
        <v>227</v>
      </c>
      <c r="D25" t="s">
        <v>217</v>
      </c>
      <c r="E25" t="s">
        <v>207</v>
      </c>
      <c r="F25" t="s">
        <v>208</v>
      </c>
      <c r="G25" t="s">
        <v>218</v>
      </c>
      <c r="H25" s="25" t="n">
        <v>0.303</v>
      </c>
      <c r="I25" s="26" t="n">
        <v>0</v>
      </c>
      <c r="J25" s="27" t="n">
        <v>1.37</v>
      </c>
      <c r="K25" s="28"/>
      <c r="L25" t="s">
        <v>219</v>
      </c>
      <c r="M25" s="29" t="n">
        <v>0.0615144568129612</v>
      </c>
      <c r="N25" s="30" t="n">
        <v>2026</v>
      </c>
      <c r="O25" s="31" t="n">
        <v>2030</v>
      </c>
      <c r="P25" s="32" t="str">
        <f>1-(1+I25*(J25-1))/(1+H25*(J25-1))</f>
      </c>
      <c r="Q25" s="33" t="str">
        <f>H25-I25</f>
      </c>
      <c r="R25" s="34" t="str">
        <f>IF(H25=0,0,(H25-I25)/H25)</f>
      </c>
      <c r="S25" s="35" t="s">
        <v>228</v>
      </c>
      <c r="T25" t="s">
        <v>221</v>
      </c>
      <c r="U25" s="36" t="str">
        <f>COUNTIF($B$2:$B$28,B25)</f>
      </c>
      <c r="V25" s="23" t="str">
        <f>IF(U25=1,"OK","DUPLICATE KEY")</f>
      </c>
    </row>
    <row r="26">
      <c r="A26" t="s">
        <v>225</v>
      </c>
      <c r="B26" t="s">
        <v>229</v>
      </c>
      <c r="C26" t="s">
        <v>227</v>
      </c>
      <c r="D26" t="s">
        <v>217</v>
      </c>
      <c r="E26" t="s">
        <v>179</v>
      </c>
      <c r="F26" t="s">
        <v>180</v>
      </c>
      <c r="G26" t="s">
        <v>218</v>
      </c>
      <c r="H26" s="25" t="n">
        <v>0.303</v>
      </c>
      <c r="I26" s="26" t="n">
        <v>0</v>
      </c>
      <c r="J26" s="27" t="n">
        <v>1.19</v>
      </c>
      <c r="K26" s="28"/>
      <c r="L26" t="s">
        <v>219</v>
      </c>
      <c r="M26" s="29" t="n">
        <v>0.0615144568129612</v>
      </c>
      <c r="N26" s="30" t="n">
        <v>2026</v>
      </c>
      <c r="O26" s="31" t="n">
        <v>2030</v>
      </c>
      <c r="P26" s="32" t="str">
        <f>1-(1+I26*(J26-1))/(1+H26*(J26-1))</f>
      </c>
      <c r="Q26" s="33" t="str">
        <f>H26-I26</f>
      </c>
      <c r="R26" s="34" t="str">
        <f>IF(H26=0,0,(H26-I26)/H26)</f>
      </c>
      <c r="S26" s="35" t="s">
        <v>228</v>
      </c>
      <c r="T26" t="s">
        <v>177</v>
      </c>
      <c r="U26" s="36" t="str">
        <f>COUNTIF($B$2:$B$28,B26)</f>
      </c>
      <c r="V26" s="23" t="str">
        <f>IF(U26=1,"OK","DUPLICATE KEY")</f>
      </c>
    </row>
    <row r="27">
      <c r="A27" t="s">
        <v>225</v>
      </c>
      <c r="B27" t="s">
        <v>230</v>
      </c>
      <c r="C27" t="s">
        <v>227</v>
      </c>
      <c r="D27" t="s">
        <v>217</v>
      </c>
      <c r="E27" t="s">
        <v>182</v>
      </c>
      <c r="F27" t="s">
        <v>183</v>
      </c>
      <c r="G27" t="s">
        <v>218</v>
      </c>
      <c r="H27" s="25" t="n">
        <v>0.303</v>
      </c>
      <c r="I27" s="26" t="n">
        <v>0</v>
      </c>
      <c r="J27" s="27" t="n">
        <v>1.6</v>
      </c>
      <c r="K27" s="28"/>
      <c r="L27" t="s">
        <v>219</v>
      </c>
      <c r="M27" s="29" t="n">
        <v>0.0615144568129612</v>
      </c>
      <c r="N27" s="30" t="n">
        <v>2026</v>
      </c>
      <c r="O27" s="31" t="n">
        <v>2030</v>
      </c>
      <c r="P27" s="32" t="str">
        <f>1-(1+I27*(J27-1))/(1+H27*(J27-1))</f>
      </c>
      <c r="Q27" s="33" t="str">
        <f>H27-I27</f>
      </c>
      <c r="R27" s="34" t="str">
        <f>IF(H27=0,0,(H27-I27)/H27)</f>
      </c>
      <c r="S27" s="35" t="s">
        <v>228</v>
      </c>
      <c r="T27" t="s">
        <v>177</v>
      </c>
      <c r="U27" s="36" t="str">
        <f>COUNTIF($B$2:$B$28,B27)</f>
      </c>
      <c r="V27" s="23" t="str">
        <f>IF(U27=1,"OK","DUPLICATE KEY")</f>
      </c>
    </row>
    <row r="28">
      <c r="A28" t="s">
        <v>225</v>
      </c>
      <c r="B28" t="s">
        <v>231</v>
      </c>
      <c r="C28" t="s">
        <v>227</v>
      </c>
      <c r="D28" t="s">
        <v>217</v>
      </c>
      <c r="E28" t="s">
        <v>185</v>
      </c>
      <c r="F28" t="s">
        <v>186</v>
      </c>
      <c r="G28" t="s">
        <v>218</v>
      </c>
      <c r="H28" s="25" t="n">
        <v>0.303</v>
      </c>
      <c r="I28" s="26" t="n">
        <v>0</v>
      </c>
      <c r="J28" s="27" t="n">
        <v>1.38</v>
      </c>
      <c r="K28" s="28"/>
      <c r="L28" t="s">
        <v>219</v>
      </c>
      <c r="M28" s="29" t="n">
        <v>0.0615144568129612</v>
      </c>
      <c r="N28" s="30" t="n">
        <v>2026</v>
      </c>
      <c r="O28" s="31" t="n">
        <v>2030</v>
      </c>
      <c r="P28" s="32" t="str">
        <f>1-(1+I28*(J28-1))/(1+H28*(J28-1))</f>
      </c>
      <c r="Q28" s="33" t="str">
        <f>H28-I28</f>
      </c>
      <c r="R28" s="34" t="str">
        <f>IF(H28=0,0,(H28-I28)/H28)</f>
      </c>
      <c r="S28" s="35" t="s">
        <v>228</v>
      </c>
      <c r="T28" t="s">
        <v>177</v>
      </c>
      <c r="U28" s="36" t="str">
        <f>COUNTIF($B$2:$B$28,B28)</f>
      </c>
      <c r="V28" s="23" t="str">
        <f>IF(U28=1,"OK","DUPLICATE KEY")</f>
      </c>
    </row>
  </sheetData>
  <autoFilter ref="A1:V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1.71" hidden="0" customWidth="1"/>
    <col min="4" max="4" width="17.71" hidden="0" customWidth="1"/>
    <col min="5" max="5" width="15.71" hidden="0" customWidth="1"/>
    <col min="6" max="6" width="14.71" hidden="0" customWidth="1"/>
    <col min="7" max="7" width="11.71" hidden="0" customWidth="1"/>
  </cols>
  <sheetData>
    <row r="1" ht="28" customHeight="1">
      <c r="A1" s="1" t="s">
        <v>143</v>
      </c>
      <c r="B1" s="1" t="s">
        <v>144</v>
      </c>
      <c r="C1" s="1" t="s">
        <v>147</v>
      </c>
      <c r="D1" s="1" t="s">
        <v>232</v>
      </c>
      <c r="E1" s="1" t="s">
        <v>233</v>
      </c>
      <c r="F1" s="1" t="s">
        <v>149</v>
      </c>
      <c r="G1" s="1" t="s">
        <v>234</v>
      </c>
    </row>
    <row r="2">
      <c r="A2" t="s">
        <v>235</v>
      </c>
      <c r="B2" t="s">
        <v>236</v>
      </c>
      <c r="C2" t="s">
        <v>182</v>
      </c>
      <c r="D2" t="s">
        <v>237</v>
      </c>
      <c r="E2" t="s">
        <v>238</v>
      </c>
      <c r="F2" t="s">
        <v>239</v>
      </c>
      <c r="G2" s="37" t="s">
        <v>240</v>
      </c>
    </row>
  </sheetData>
  <autoFilter ref="A1:G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7.71" hidden="0" customWidth="1"/>
    <col min="3" max="3" width="19.71" hidden="0" customWidth="1"/>
    <col min="4" max="4" width="11.71" hidden="0" customWidth="1"/>
    <col min="5" max="5" width="14.71" hidden="0" customWidth="1"/>
    <col min="6" max="6" width="16.71" hidden="0" customWidth="1"/>
    <col min="7" max="7" width="14.71" hidden="0" customWidth="1"/>
    <col min="8" max="8" width="12.71" hidden="0" customWidth="1"/>
    <col min="9" max="9" width="18.71" hidden="0" customWidth="1"/>
    <col min="10" max="10" width="26.71" hidden="0" customWidth="1"/>
    <col min="11" max="11" width="11.71" hidden="0" customWidth="1"/>
    <col min="12" max="12" width="15.71" hidden="0" customWidth="1"/>
    <col min="13" max="13" width="11.71" hidden="0" customWidth="1"/>
  </cols>
  <sheetData>
    <row r="1" ht="28" customHeight="1">
      <c r="A1" s="1" t="s">
        <v>241</v>
      </c>
      <c r="B1" s="1" t="s">
        <v>143</v>
      </c>
      <c r="C1" s="1" t="s">
        <v>145</v>
      </c>
      <c r="D1" s="1" t="s">
        <v>242</v>
      </c>
      <c r="E1" s="1" t="s">
        <v>243</v>
      </c>
      <c r="F1" s="1" t="s">
        <v>244</v>
      </c>
      <c r="G1" s="1" t="s">
        <v>245</v>
      </c>
      <c r="H1" s="1" t="s">
        <v>246</v>
      </c>
      <c r="I1" s="1" t="s">
        <v>247</v>
      </c>
      <c r="J1" s="1" t="s">
        <v>248</v>
      </c>
      <c r="K1" s="1" t="s">
        <v>5</v>
      </c>
      <c r="L1" s="1" t="s">
        <v>161</v>
      </c>
      <c r="M1" s="1" t="s">
        <v>249</v>
      </c>
    </row>
    <row r="2">
      <c r="A2" s="3" t="s">
        <v>250</v>
      </c>
      <c r="B2" s="3" t="s">
        <v>225</v>
      </c>
      <c r="C2" s="3" t="s">
        <v>227</v>
      </c>
      <c r="D2" s="3" t="s">
        <v>251</v>
      </c>
      <c r="E2" s="3" t="s">
        <v>252</v>
      </c>
      <c r="F2" s="38" t="n">
        <v>0.11</v>
      </c>
      <c r="G2" s="39" t="n">
        <v>0.75</v>
      </c>
      <c r="H2" s="3" t="s">
        <v>49</v>
      </c>
      <c r="I2" s="3" t="n">
        <v>-0.48</v>
      </c>
      <c r="J2" s="40" t="n">
        <v>1</v>
      </c>
      <c r="K2" s="41" t="s">
        <v>253</v>
      </c>
      <c r="L2" s="3" t="s">
        <v>254</v>
      </c>
      <c r="M2" s="3" t="s">
        <v>255</v>
      </c>
    </row>
    <row r="3">
      <c r="A3" s="3" t="s">
        <v>256</v>
      </c>
      <c r="B3" s="3" t="s">
        <v>187</v>
      </c>
      <c r="C3" s="3" t="s">
        <v>189</v>
      </c>
      <c r="D3" s="3" t="s">
        <v>257</v>
      </c>
      <c r="E3" s="3" t="s">
        <v>258</v>
      </c>
      <c r="F3" s="38" t="n">
        <v>0.249</v>
      </c>
      <c r="G3" s="39" t="n">
        <v>0.25</v>
      </c>
      <c r="H3" s="3" t="s">
        <v>259</v>
      </c>
      <c r="I3" s="3" t="n">
        <v>-0.49</v>
      </c>
      <c r="J3" s="40" t="n">
        <v>0.00049</v>
      </c>
      <c r="K3" s="41" t="s">
        <v>260</v>
      </c>
      <c r="L3" s="3" t="s">
        <v>261</v>
      </c>
      <c r="M3" s="3" t="s">
        <v>255</v>
      </c>
    </row>
    <row r="4">
      <c r="A4" s="3" t="s">
        <v>262</v>
      </c>
      <c r="B4" s="3" t="s">
        <v>214</v>
      </c>
      <c r="C4" s="3" t="s">
        <v>216</v>
      </c>
      <c r="D4" s="3" t="s">
        <v>263</v>
      </c>
      <c r="E4" s="3" t="s">
        <v>264</v>
      </c>
      <c r="F4" s="38" t="n">
        <v>0</v>
      </c>
      <c r="G4" s="39" t="n">
        <v>1</v>
      </c>
      <c r="H4" s="3" t="s">
        <v>265</v>
      </c>
      <c r="I4" s="3" t="n">
        <v>0.11</v>
      </c>
      <c r="J4" s="40" t="n">
        <v>0.11</v>
      </c>
      <c r="K4" s="41" t="s">
        <v>253</v>
      </c>
      <c r="L4" s="3" t="s">
        <v>266</v>
      </c>
      <c r="M4" s="3" t="s">
        <v>255</v>
      </c>
    </row>
    <row r="5">
      <c r="A5" s="3" t="s">
        <v>267</v>
      </c>
      <c r="B5" s="3" t="s">
        <v>214</v>
      </c>
      <c r="C5" s="3" t="s">
        <v>216</v>
      </c>
      <c r="D5" s="3" t="s">
        <v>268</v>
      </c>
      <c r="E5" s="3" t="s">
        <v>264</v>
      </c>
      <c r="F5" s="38" t="n">
        <v>0</v>
      </c>
      <c r="G5" s="39" t="n">
        <v>1</v>
      </c>
      <c r="H5" s="3" t="s">
        <v>265</v>
      </c>
      <c r="I5" s="3" t="n">
        <v>0.065</v>
      </c>
      <c r="J5" s="40" t="n">
        <v>0.065</v>
      </c>
      <c r="K5" s="41" t="s">
        <v>253</v>
      </c>
      <c r="L5" s="3" t="s">
        <v>266</v>
      </c>
      <c r="M5" s="3" t="s">
        <v>255</v>
      </c>
    </row>
    <row r="6">
      <c r="A6" s="3" t="s">
        <v>269</v>
      </c>
      <c r="B6" s="3" t="s">
        <v>214</v>
      </c>
      <c r="C6" s="3" t="s">
        <v>216</v>
      </c>
      <c r="D6" s="3" t="s">
        <v>270</v>
      </c>
      <c r="E6" s="3" t="s">
        <v>264</v>
      </c>
      <c r="F6" s="38" t="n">
        <v>0</v>
      </c>
      <c r="G6" s="39" t="n">
        <v>1</v>
      </c>
      <c r="H6" s="3" t="s">
        <v>265</v>
      </c>
      <c r="I6" s="3" t="n">
        <v>0.04</v>
      </c>
      <c r="J6" s="40" t="n">
        <v>0.04</v>
      </c>
      <c r="K6" s="41" t="s">
        <v>253</v>
      </c>
      <c r="L6" s="3" t="s">
        <v>266</v>
      </c>
      <c r="M6" s="3" t="s">
        <v>255</v>
      </c>
    </row>
    <row r="7">
      <c r="A7" s="3" t="s">
        <v>271</v>
      </c>
      <c r="B7" s="3" t="s">
        <v>164</v>
      </c>
      <c r="C7" s="3" t="s">
        <v>166</v>
      </c>
      <c r="D7" s="3" t="s">
        <v>272</v>
      </c>
      <c r="E7" s="3" t="s">
        <v>264</v>
      </c>
      <c r="F7" s="38" t="n">
        <v>0.999</v>
      </c>
      <c r="G7" s="39" t="n">
        <v>1</v>
      </c>
      <c r="H7" s="3" t="s">
        <v>265</v>
      </c>
      <c r="I7" s="3" t="n">
        <v>0.269</v>
      </c>
      <c r="J7" s="40" t="n">
        <v>0.000269</v>
      </c>
      <c r="K7" s="41" t="s">
        <v>260</v>
      </c>
      <c r="L7" s="3" t="s">
        <v>266</v>
      </c>
      <c r="M7" s="3" t="s">
        <v>255</v>
      </c>
    </row>
    <row r="8">
      <c r="A8" s="3" t="s">
        <v>273</v>
      </c>
      <c r="B8" s="3" t="s">
        <v>195</v>
      </c>
      <c r="C8" s="3" t="s">
        <v>197</v>
      </c>
      <c r="D8" s="3" t="s">
        <v>274</v>
      </c>
      <c r="E8" s="3" t="s">
        <v>264</v>
      </c>
      <c r="F8" s="38" t="n">
        <v>0</v>
      </c>
      <c r="G8" s="39" t="n">
        <v>1</v>
      </c>
      <c r="H8" s="3" t="s">
        <v>265</v>
      </c>
      <c r="I8" s="3" t="n">
        <v>0.2</v>
      </c>
      <c r="J8" s="40" t="n">
        <v>0.2</v>
      </c>
      <c r="K8" s="41" t="s">
        <v>275</v>
      </c>
      <c r="L8" s="3" t="s">
        <v>266</v>
      </c>
      <c r="M8" s="3" t="s">
        <v>255</v>
      </c>
    </row>
    <row r="9">
      <c r="A9" s="3" t="s">
        <v>276</v>
      </c>
      <c r="B9" s="3" t="s">
        <v>195</v>
      </c>
      <c r="C9" s="3" t="s">
        <v>197</v>
      </c>
      <c r="D9" s="3" t="s">
        <v>277</v>
      </c>
      <c r="E9" s="3" t="s">
        <v>264</v>
      </c>
      <c r="F9" s="38" t="n">
        <v>0</v>
      </c>
      <c r="G9" s="39" t="n">
        <v>1</v>
      </c>
      <c r="H9" s="3" t="s">
        <v>265</v>
      </c>
      <c r="I9" s="3" t="n">
        <v>0.1</v>
      </c>
      <c r="J9" s="40" t="n">
        <v>0.1</v>
      </c>
      <c r="K9" s="41" t="s">
        <v>275</v>
      </c>
      <c r="L9" s="3" t="s">
        <v>266</v>
      </c>
      <c r="M9" s="3" t="s">
        <v>255</v>
      </c>
    </row>
    <row r="10">
      <c r="A10" s="3" t="s">
        <v>278</v>
      </c>
      <c r="B10" s="3" t="s">
        <v>195</v>
      </c>
      <c r="C10" s="3" t="s">
        <v>197</v>
      </c>
      <c r="D10" s="3" t="s">
        <v>279</v>
      </c>
      <c r="E10" s="3" t="s">
        <v>264</v>
      </c>
      <c r="F10" s="38" t="n">
        <v>0</v>
      </c>
      <c r="G10" s="39" t="n">
        <v>1</v>
      </c>
      <c r="H10" s="3" t="s">
        <v>265</v>
      </c>
      <c r="I10" s="3" t="n">
        <v>0.05</v>
      </c>
      <c r="J10" s="40" t="n">
        <v>0.05</v>
      </c>
      <c r="K10" s="41" t="s">
        <v>275</v>
      </c>
      <c r="L10" s="3" t="s">
        <v>266</v>
      </c>
      <c r="M10" s="3" t="s">
        <v>255</v>
      </c>
    </row>
    <row r="11">
      <c r="A11" s="3" t="s">
        <v>280</v>
      </c>
      <c r="B11" s="3" t="s">
        <v>195</v>
      </c>
      <c r="C11" s="3" t="s">
        <v>197</v>
      </c>
      <c r="D11" s="3" t="s">
        <v>281</v>
      </c>
      <c r="E11" s="3" t="s">
        <v>264</v>
      </c>
      <c r="F11" s="38" t="n">
        <v>0</v>
      </c>
      <c r="G11" s="39" t="n">
        <v>1</v>
      </c>
      <c r="H11" s="3" t="s">
        <v>265</v>
      </c>
      <c r="I11" s="3" t="n">
        <v>0.07</v>
      </c>
      <c r="J11" s="40" t="n">
        <v>0.07</v>
      </c>
      <c r="K11" s="41" t="s">
        <v>275</v>
      </c>
      <c r="L11" s="3" t="s">
        <v>266</v>
      </c>
      <c r="M11" s="3" t="s">
        <v>255</v>
      </c>
    </row>
    <row r="12">
      <c r="A12" s="3" t="s">
        <v>282</v>
      </c>
      <c r="B12" s="3" t="s">
        <v>235</v>
      </c>
      <c r="C12" s="3" t="s">
        <v>283</v>
      </c>
      <c r="D12" s="3" t="s">
        <v>284</v>
      </c>
      <c r="E12" s="3" t="s">
        <v>285</v>
      </c>
      <c r="F12" s="38" t="n">
        <v>0</v>
      </c>
      <c r="G12" s="39" t="n">
        <v>4</v>
      </c>
      <c r="H12" s="3" t="s">
        <v>286</v>
      </c>
      <c r="I12" s="3"/>
      <c r="J12" s="40" t="n">
        <v>1</v>
      </c>
      <c r="K12" s="41" t="s">
        <v>287</v>
      </c>
      <c r="L12" s="3" t="s">
        <v>254</v>
      </c>
      <c r="M12" s="3" t="s">
        <v>255</v>
      </c>
    </row>
    <row r="13">
      <c r="A13" s="3" t="s">
        <v>288</v>
      </c>
      <c r="B13" s="3" t="s">
        <v>203</v>
      </c>
      <c r="C13" s="3" t="s">
        <v>205</v>
      </c>
      <c r="D13" s="3" t="s">
        <v>289</v>
      </c>
      <c r="E13" s="3" t="s">
        <v>258</v>
      </c>
      <c r="F13" s="38" t="n">
        <v>0</v>
      </c>
      <c r="G13" s="39" t="n">
        <v>0.2</v>
      </c>
      <c r="H13" s="3" t="s">
        <v>259</v>
      </c>
      <c r="I13" s="3" t="n">
        <v>-0.875</v>
      </c>
      <c r="J13" s="40" t="n">
        <v>0.175</v>
      </c>
      <c r="K13" s="41" t="s">
        <v>290</v>
      </c>
      <c r="L13" s="3" t="s">
        <v>177</v>
      </c>
      <c r="M13" s="3" t="s">
        <v>255</v>
      </c>
    </row>
  </sheetData>
  <autoFilter ref="A1:M1"/>
  <conditionalFormatting sqref="L2:L13">
    <cfRule type="containsText" dxfId="0" priority="3" operator="containsText" text="Ready">
      <formula>NOT(ISERROR(SEARCH("Ready", L2)))</formula>
    </cfRule>
    <cfRule type="containsText" dxfId="1" priority="2" operator="containsText" text="Review">
      <formula>NOT(ISERROR(SEARCH("Review", L2)))</formula>
    </cfRule>
    <cfRule type="containsText" dxfId="1" priority="1" operator="containsText" text="Missing">
      <formula>NOT(ISERROR(SEARCH("Missing", L2)))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11.71" hidden="0" customWidth="1"/>
    <col min="3" max="3" width="23.71" hidden="0" customWidth="1"/>
    <col min="4" max="4" width="15.71" hidden="0" customWidth="1"/>
    <col min="5" max="5" width="19.71" hidden="0" customWidth="1"/>
    <col min="6" max="6" width="18.71" hidden="0" customWidth="1"/>
    <col min="7" max="7" width="15.71" hidden="0" customWidth="1"/>
    <col min="8" max="8" width="16.71" hidden="0" customWidth="1"/>
    <col min="9" max="9" width="17.71" hidden="0" customWidth="1"/>
    <col min="10" max="10" width="20.71" hidden="0" customWidth="1"/>
    <col min="11" max="11" width="20.71" hidden="0" customWidth="1"/>
    <col min="12" max="12" width="12.71" hidden="0" customWidth="1"/>
    <col min="13" max="13" width="13.71" hidden="0" customWidth="1"/>
    <col min="14" max="14" width="16.71" hidden="0" customWidth="1"/>
    <col min="15" max="15" width="15.71" hidden="0" customWidth="1"/>
  </cols>
  <sheetData>
    <row r="1" ht="28" customHeight="1">
      <c r="A1" s="1" t="s">
        <v>143</v>
      </c>
      <c r="B1" s="1" t="s">
        <v>146</v>
      </c>
      <c r="C1" s="1" t="s">
        <v>291</v>
      </c>
      <c r="D1" s="1" t="s">
        <v>292</v>
      </c>
      <c r="E1" s="1" t="s">
        <v>150</v>
      </c>
      <c r="F1" s="1" t="s">
        <v>293</v>
      </c>
      <c r="G1" s="1" t="s">
        <v>294</v>
      </c>
      <c r="H1" s="1" t="s">
        <v>295</v>
      </c>
      <c r="I1" s="1" t="s">
        <v>151</v>
      </c>
      <c r="J1" s="1" t="s">
        <v>296</v>
      </c>
      <c r="K1" s="1" t="s">
        <v>297</v>
      </c>
      <c r="L1" s="1" t="s">
        <v>298</v>
      </c>
      <c r="M1" s="1" t="s">
        <v>299</v>
      </c>
      <c r="N1" s="1" t="s">
        <v>17</v>
      </c>
      <c r="O1" s="1" t="s">
        <v>161</v>
      </c>
    </row>
    <row r="2">
      <c r="A2" t="s">
        <v>225</v>
      </c>
      <c r="B2" t="s">
        <v>217</v>
      </c>
      <c r="C2" t="s">
        <v>300</v>
      </c>
      <c r="D2" t="s">
        <v>49</v>
      </c>
      <c r="E2" s="42" t="n">
        <v>0.303</v>
      </c>
      <c r="F2" t="s">
        <v>301</v>
      </c>
      <c r="G2" s="43" t="n">
        <v>1</v>
      </c>
      <c r="H2" s="44" t="n">
        <v>0</v>
      </c>
      <c r="I2" s="45" t="str">
        <f>MAX(H2,E2*(1-G2))</f>
      </c>
      <c r="J2" s="46" t="str">
        <f>E2-I2</f>
      </c>
      <c r="K2" s="47" t="str">
        <f>IF(E2=0,0,(E2-I2)/E2)</f>
      </c>
      <c r="L2" s="48" t="n">
        <v>2026</v>
      </c>
      <c r="M2" s="49" t="n">
        <v>2030</v>
      </c>
      <c r="N2" t="s">
        <v>75</v>
      </c>
      <c r="O2" t="s">
        <v>302</v>
      </c>
    </row>
    <row r="3">
      <c r="A3" t="s">
        <v>187</v>
      </c>
      <c r="B3" t="s">
        <v>167</v>
      </c>
      <c r="C3" t="s">
        <v>303</v>
      </c>
      <c r="D3" t="s">
        <v>304</v>
      </c>
      <c r="E3" s="42" t="n">
        <v>0.1</v>
      </c>
      <c r="F3" t="s">
        <v>301</v>
      </c>
      <c r="G3" s="43" t="n">
        <v>0.00049</v>
      </c>
      <c r="H3" s="44" t="n">
        <v>0</v>
      </c>
      <c r="I3" s="45" t="str">
        <f>MAX(H3,E3*(1-G3))</f>
      </c>
      <c r="J3" s="46" t="str">
        <f>E3-I3</f>
      </c>
      <c r="K3" s="47" t="str">
        <f>IF(E3=0,0,(E3-I3)/E3)</f>
      </c>
      <c r="L3" s="48" t="n">
        <v>2026</v>
      </c>
      <c r="M3" s="49" t="n">
        <v>2030</v>
      </c>
      <c r="N3" t="s">
        <v>75</v>
      </c>
      <c r="O3" t="s">
        <v>302</v>
      </c>
    </row>
    <row r="4">
      <c r="A4" t="s">
        <v>214</v>
      </c>
      <c r="B4" t="s">
        <v>217</v>
      </c>
      <c r="C4" t="s">
        <v>300</v>
      </c>
      <c r="D4" t="s">
        <v>49</v>
      </c>
      <c r="E4" s="42" t="n">
        <v>0.303</v>
      </c>
      <c r="F4" t="s">
        <v>301</v>
      </c>
      <c r="G4" s="43" t="n">
        <v>0.201136</v>
      </c>
      <c r="H4" s="44" t="n">
        <v>0</v>
      </c>
      <c r="I4" s="45" t="str">
        <f>MAX(H4,E4*(1-G4))</f>
      </c>
      <c r="J4" s="46" t="str">
        <f>E4-I4</f>
      </c>
      <c r="K4" s="47" t="str">
        <f>IF(E4=0,0,(E4-I4)/E4)</f>
      </c>
      <c r="L4" s="48" t="n">
        <v>2026</v>
      </c>
      <c r="M4" s="49" t="n">
        <v>2030</v>
      </c>
      <c r="N4" t="s">
        <v>75</v>
      </c>
      <c r="O4" t="s">
        <v>302</v>
      </c>
    </row>
    <row r="5">
      <c r="A5" t="s">
        <v>164</v>
      </c>
      <c r="B5" t="s">
        <v>167</v>
      </c>
      <c r="C5" t="s">
        <v>303</v>
      </c>
      <c r="D5" t="s">
        <v>304</v>
      </c>
      <c r="E5" s="42" t="n">
        <v>0.1</v>
      </c>
      <c r="F5" t="s">
        <v>301</v>
      </c>
      <c r="G5" s="43" t="n">
        <v>0.000269</v>
      </c>
      <c r="H5" s="44" t="n">
        <v>0</v>
      </c>
      <c r="I5" s="45" t="str">
        <f>MAX(H5,E5*(1-G5))</f>
      </c>
      <c r="J5" s="46" t="str">
        <f>E5-I5</f>
      </c>
      <c r="K5" s="47" t="str">
        <f>IF(E5=0,0,(E5-I5)/E5)</f>
      </c>
      <c r="L5" s="48" t="n">
        <v>2026</v>
      </c>
      <c r="M5" s="49" t="n">
        <v>2030</v>
      </c>
      <c r="N5" t="s">
        <v>75</v>
      </c>
      <c r="O5" t="s">
        <v>302</v>
      </c>
    </row>
    <row r="6">
      <c r="A6" t="s">
        <v>195</v>
      </c>
      <c r="B6" t="s">
        <v>198</v>
      </c>
      <c r="C6" t="s">
        <v>305</v>
      </c>
      <c r="D6" t="s">
        <v>306</v>
      </c>
      <c r="E6" s="42" t="n">
        <v>4.4</v>
      </c>
      <c r="F6" t="s">
        <v>301</v>
      </c>
      <c r="G6" s="43" t="n">
        <v>0.36388</v>
      </c>
      <c r="H6" s="44" t="n">
        <v>3</v>
      </c>
      <c r="I6" s="45" t="str">
        <f>MAX(H6,E6*(1-G6))</f>
      </c>
      <c r="J6" s="46" t="str">
        <f>E6-I6</f>
      </c>
      <c r="K6" s="47" t="str">
        <f>IF(E6=0,0,(E6-I6)/E6)</f>
      </c>
      <c r="L6" s="48" t="n">
        <v>2026</v>
      </c>
      <c r="M6" s="49" t="n">
        <v>2030</v>
      </c>
      <c r="N6" t="s">
        <v>75</v>
      </c>
      <c r="O6" t="s">
        <v>302</v>
      </c>
    </row>
    <row r="7">
      <c r="A7" t="s">
        <v>235</v>
      </c>
      <c r="B7" t="s">
        <v>307</v>
      </c>
      <c r="C7" t="s">
        <v>308</v>
      </c>
      <c r="D7" t="s">
        <v>309</v>
      </c>
      <c r="E7" s="42" t="n">
        <v>0.48</v>
      </c>
      <c r="F7" t="s">
        <v>301</v>
      </c>
      <c r="G7" s="43" t="n">
        <v>1</v>
      </c>
      <c r="H7" s="44" t="n">
        <v>0</v>
      </c>
      <c r="I7" s="45" t="str">
        <f>MAX(H7,E7*(1-G7))</f>
      </c>
      <c r="J7" s="46" t="str">
        <f>E7-I7</f>
      </c>
      <c r="K7" s="47" t="str">
        <f>IF(E7=0,0,(E7-I7)/E7)</f>
      </c>
      <c r="L7" s="48" t="n">
        <v>2026</v>
      </c>
      <c r="M7" s="49" t="n">
        <v>2030</v>
      </c>
      <c r="N7" t="s">
        <v>75</v>
      </c>
      <c r="O7" t="s">
        <v>302</v>
      </c>
    </row>
    <row r="8">
      <c r="A8" t="s">
        <v>203</v>
      </c>
      <c r="B8" t="s">
        <v>206</v>
      </c>
      <c r="C8" t="s">
        <v>310</v>
      </c>
      <c r="D8" t="s">
        <v>311</v>
      </c>
      <c r="E8" s="42" t="n">
        <v>0.114285714285714</v>
      </c>
      <c r="F8" t="s">
        <v>301</v>
      </c>
      <c r="G8" s="43" t="n">
        <v>0.175</v>
      </c>
      <c r="H8" s="44" t="n">
        <v>0</v>
      </c>
      <c r="I8" s="45" t="str">
        <f>MAX(H8,E8*(1-G8))</f>
      </c>
      <c r="J8" s="46" t="str">
        <f>E8-I8</f>
      </c>
      <c r="K8" s="47" t="str">
        <f>IF(E8=0,0,(E8-I8)/E8)</f>
      </c>
      <c r="L8" s="48" t="n">
        <v>2026</v>
      </c>
      <c r="M8" s="49" t="n">
        <v>2030</v>
      </c>
      <c r="N8" t="s">
        <v>75</v>
      </c>
      <c r="O8" t="s">
        <v>312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7.71" hidden="0" customWidth="1"/>
    <col min="3" max="3" width="11.71" hidden="0" customWidth="1"/>
    <col min="4" max="4" width="12.71" hidden="0" customWidth="1"/>
    <col min="5" max="5" width="14.71" hidden="0" customWidth="1"/>
    <col min="6" max="6" width="20.71" hidden="0" customWidth="1"/>
    <col min="7" max="7" width="16.71" hidden="0" customWidth="1"/>
    <col min="8" max="8" width="11.71" hidden="0" customWidth="1"/>
    <col min="9" max="9" width="11.71" hidden="0" customWidth="1"/>
    <col min="10" max="10" width="15.71" hidden="0" customWidth="1"/>
    <col min="11" max="11" width="19.71" hidden="0" customWidth="1"/>
    <col min="12" max="12" width="17.71" hidden="0" customWidth="1"/>
    <col min="13" max="13" width="23.71" hidden="0" customWidth="1"/>
    <col min="14" max="14" width="18.71" hidden="0" customWidth="1"/>
    <col min="15" max="15" width="11.71" hidden="0" customWidth="1"/>
    <col min="16" max="16" width="15.71" hidden="0" customWidth="1"/>
  </cols>
  <sheetData>
    <row r="1" ht="28" customHeight="1">
      <c r="A1" s="1" t="s">
        <v>144</v>
      </c>
      <c r="B1" s="1" t="s">
        <v>143</v>
      </c>
      <c r="C1" s="1" t="s">
        <v>147</v>
      </c>
      <c r="D1" s="1" t="s">
        <v>148</v>
      </c>
      <c r="E1" s="1" t="s">
        <v>149</v>
      </c>
      <c r="F1" s="1" t="s">
        <v>313</v>
      </c>
      <c r="G1" s="1" t="s">
        <v>152</v>
      </c>
      <c r="H1" s="1" t="s">
        <v>153</v>
      </c>
      <c r="I1" s="1" t="s">
        <v>154</v>
      </c>
      <c r="J1" s="1" t="s">
        <v>155</v>
      </c>
      <c r="K1" s="1" t="s">
        <v>150</v>
      </c>
      <c r="L1" s="1" t="s">
        <v>151</v>
      </c>
      <c r="M1" s="1" t="s">
        <v>157</v>
      </c>
      <c r="N1" s="1" t="s">
        <v>314</v>
      </c>
      <c r="O1" s="1" t="s">
        <v>315</v>
      </c>
      <c r="P1" s="1" t="s">
        <v>161</v>
      </c>
    </row>
    <row r="2">
      <c r="A2" t="s">
        <v>165</v>
      </c>
      <c r="B2" t="s">
        <v>164</v>
      </c>
      <c r="C2" t="s">
        <v>168</v>
      </c>
      <c r="D2" t="s">
        <v>169</v>
      </c>
      <c r="E2" t="s">
        <v>170</v>
      </c>
      <c r="F2" t="s">
        <v>316</v>
      </c>
      <c r="G2" s="50" t="n">
        <v>1.01316167035158</v>
      </c>
      <c r="H2" s="51"/>
      <c r="I2" t="s">
        <v>171</v>
      </c>
      <c r="J2" s="52" t="n">
        <v>1</v>
      </c>
      <c r="K2" s="53" t="n">
        <v>0.1</v>
      </c>
      <c r="L2" s="54" t="n">
        <v>0.0999731</v>
      </c>
      <c r="M2" s="55" t="str">
        <f>1-1/(G2^(K2-L2))</f>
      </c>
      <c r="N2" t="s">
        <v>317</v>
      </c>
      <c r="O2" t="n">
        <v>1</v>
      </c>
      <c r="P2" t="s">
        <v>173</v>
      </c>
    </row>
    <row r="3">
      <c r="A3" t="s">
        <v>174</v>
      </c>
      <c r="B3" t="s">
        <v>164</v>
      </c>
      <c r="C3" t="s">
        <v>175</v>
      </c>
      <c r="D3" t="s">
        <v>176</v>
      </c>
      <c r="E3" t="s">
        <v>170</v>
      </c>
      <c r="F3" t="s">
        <v>316</v>
      </c>
      <c r="G3" s="50" t="n">
        <v>1.03317751043574</v>
      </c>
      <c r="H3" s="51"/>
      <c r="I3" t="s">
        <v>171</v>
      </c>
      <c r="J3" s="52" t="n">
        <v>1</v>
      </c>
      <c r="K3" s="53" t="n">
        <v>0.1</v>
      </c>
      <c r="L3" s="54" t="n">
        <v>0.0999731</v>
      </c>
      <c r="M3" s="55" t="str">
        <f>1-1/(G3^(K3-L3))</f>
      </c>
      <c r="N3" t="s">
        <v>317</v>
      </c>
      <c r="O3" t="n">
        <v>1</v>
      </c>
      <c r="P3" t="s">
        <v>177</v>
      </c>
    </row>
    <row r="4">
      <c r="A4" t="s">
        <v>178</v>
      </c>
      <c r="B4" t="s">
        <v>164</v>
      </c>
      <c r="C4" t="s">
        <v>179</v>
      </c>
      <c r="D4" t="s">
        <v>180</v>
      </c>
      <c r="E4" t="s">
        <v>170</v>
      </c>
      <c r="F4" t="s">
        <v>316</v>
      </c>
      <c r="G4" s="50" t="n">
        <v>1.02007996271888</v>
      </c>
      <c r="H4" s="51"/>
      <c r="I4" t="s">
        <v>171</v>
      </c>
      <c r="J4" s="52" t="n">
        <v>1</v>
      </c>
      <c r="K4" s="53" t="n">
        <v>0.1</v>
      </c>
      <c r="L4" s="54" t="n">
        <v>0.0999731</v>
      </c>
      <c r="M4" s="55" t="str">
        <f>1-1/(G4^(K4-L4))</f>
      </c>
      <c r="N4" t="s">
        <v>317</v>
      </c>
      <c r="O4" t="n">
        <v>1</v>
      </c>
      <c r="P4" t="s">
        <v>173</v>
      </c>
    </row>
    <row r="5">
      <c r="A5" t="s">
        <v>181</v>
      </c>
      <c r="B5" t="s">
        <v>164</v>
      </c>
      <c r="C5" t="s">
        <v>182</v>
      </c>
      <c r="D5" t="s">
        <v>183</v>
      </c>
      <c r="E5" t="s">
        <v>170</v>
      </c>
      <c r="F5" t="s">
        <v>316</v>
      </c>
      <c r="G5" s="50" t="n">
        <v>1.00888038497497</v>
      </c>
      <c r="H5" s="51"/>
      <c r="I5" t="s">
        <v>171</v>
      </c>
      <c r="J5" s="52" t="n">
        <v>1</v>
      </c>
      <c r="K5" s="53" t="n">
        <v>0.1</v>
      </c>
      <c r="L5" s="54" t="n">
        <v>0.0999731</v>
      </c>
      <c r="M5" s="55" t="str">
        <f>1-1/(G5^(K5-L5))</f>
      </c>
      <c r="N5" t="s">
        <v>317</v>
      </c>
      <c r="O5" t="n">
        <v>1</v>
      </c>
      <c r="P5" t="s">
        <v>173</v>
      </c>
    </row>
    <row r="6">
      <c r="A6" t="s">
        <v>184</v>
      </c>
      <c r="B6" t="s">
        <v>164</v>
      </c>
      <c r="C6" t="s">
        <v>185</v>
      </c>
      <c r="D6" t="s">
        <v>186</v>
      </c>
      <c r="E6" t="s">
        <v>170</v>
      </c>
      <c r="F6" t="s">
        <v>316</v>
      </c>
      <c r="G6" s="50" t="n">
        <v>1.02007996271888</v>
      </c>
      <c r="H6" s="51"/>
      <c r="I6" t="s">
        <v>171</v>
      </c>
      <c r="J6" s="52" t="n">
        <v>1</v>
      </c>
      <c r="K6" s="53" t="n">
        <v>0.1</v>
      </c>
      <c r="L6" s="54" t="n">
        <v>0.0999731</v>
      </c>
      <c r="M6" s="55" t="str">
        <f>1-1/(G6^(K6-L6))</f>
      </c>
      <c r="N6" t="s">
        <v>317</v>
      </c>
      <c r="O6" t="n">
        <v>1</v>
      </c>
      <c r="P6" t="s">
        <v>173</v>
      </c>
    </row>
    <row r="7">
      <c r="A7" t="s">
        <v>188</v>
      </c>
      <c r="B7" t="s">
        <v>187</v>
      </c>
      <c r="C7" t="s">
        <v>168</v>
      </c>
      <c r="D7" t="s">
        <v>169</v>
      </c>
      <c r="E7" t="s">
        <v>170</v>
      </c>
      <c r="F7" t="s">
        <v>316</v>
      </c>
      <c r="G7" s="50" t="n">
        <v>1.01316167035158</v>
      </c>
      <c r="H7" s="51"/>
      <c r="I7" t="s">
        <v>171</v>
      </c>
      <c r="J7" s="52" t="n">
        <v>1</v>
      </c>
      <c r="K7" s="53" t="n">
        <v>0.1</v>
      </c>
      <c r="L7" s="54" t="n">
        <v>0.099951</v>
      </c>
      <c r="M7" s="55" t="str">
        <f>1-1/(G7^(K7-L7))</f>
      </c>
      <c r="N7" t="s">
        <v>317</v>
      </c>
      <c r="O7" t="n">
        <v>1</v>
      </c>
      <c r="P7" t="s">
        <v>173</v>
      </c>
    </row>
    <row r="8">
      <c r="A8" t="s">
        <v>191</v>
      </c>
      <c r="B8" t="s">
        <v>187</v>
      </c>
      <c r="C8" t="s">
        <v>175</v>
      </c>
      <c r="D8" t="s">
        <v>176</v>
      </c>
      <c r="E8" t="s">
        <v>170</v>
      </c>
      <c r="F8" t="s">
        <v>316</v>
      </c>
      <c r="G8" s="50" t="n">
        <v>1.03317751043574</v>
      </c>
      <c r="H8" s="51"/>
      <c r="I8" t="s">
        <v>171</v>
      </c>
      <c r="J8" s="52" t="n">
        <v>1</v>
      </c>
      <c r="K8" s="53" t="n">
        <v>0.1</v>
      </c>
      <c r="L8" s="54" t="n">
        <v>0.099951</v>
      </c>
      <c r="M8" s="55" t="str">
        <f>1-1/(G8^(K8-L8))</f>
      </c>
      <c r="N8" t="s">
        <v>317</v>
      </c>
      <c r="O8" t="n">
        <v>1</v>
      </c>
      <c r="P8" t="s">
        <v>177</v>
      </c>
    </row>
    <row r="9">
      <c r="A9" t="s">
        <v>192</v>
      </c>
      <c r="B9" t="s">
        <v>187</v>
      </c>
      <c r="C9" t="s">
        <v>179</v>
      </c>
      <c r="D9" t="s">
        <v>180</v>
      </c>
      <c r="E9" t="s">
        <v>170</v>
      </c>
      <c r="F9" t="s">
        <v>316</v>
      </c>
      <c r="G9" s="50" t="n">
        <v>1.02007996271888</v>
      </c>
      <c r="H9" s="51"/>
      <c r="I9" t="s">
        <v>171</v>
      </c>
      <c r="J9" s="52" t="n">
        <v>1</v>
      </c>
      <c r="K9" s="53" t="n">
        <v>0.1</v>
      </c>
      <c r="L9" s="54" t="n">
        <v>0.099951</v>
      </c>
      <c r="M9" s="55" t="str">
        <f>1-1/(G9^(K9-L9))</f>
      </c>
      <c r="N9" t="s">
        <v>317</v>
      </c>
      <c r="O9" t="n">
        <v>1</v>
      </c>
      <c r="P9" t="s">
        <v>173</v>
      </c>
    </row>
    <row r="10">
      <c r="A10" t="s">
        <v>193</v>
      </c>
      <c r="B10" t="s">
        <v>187</v>
      </c>
      <c r="C10" t="s">
        <v>182</v>
      </c>
      <c r="D10" t="s">
        <v>183</v>
      </c>
      <c r="E10" t="s">
        <v>170</v>
      </c>
      <c r="F10" t="s">
        <v>316</v>
      </c>
      <c r="G10" s="50" t="n">
        <v>1.00888038497497</v>
      </c>
      <c r="H10" s="51"/>
      <c r="I10" t="s">
        <v>171</v>
      </c>
      <c r="J10" s="52" t="n">
        <v>1</v>
      </c>
      <c r="K10" s="53" t="n">
        <v>0.1</v>
      </c>
      <c r="L10" s="54" t="n">
        <v>0.099951</v>
      </c>
      <c r="M10" s="55" t="str">
        <f>1-1/(G10^(K10-L10))</f>
      </c>
      <c r="N10" t="s">
        <v>317</v>
      </c>
      <c r="O10" t="n">
        <v>1</v>
      </c>
      <c r="P10" t="s">
        <v>173</v>
      </c>
    </row>
    <row r="11">
      <c r="A11" t="s">
        <v>194</v>
      </c>
      <c r="B11" t="s">
        <v>187</v>
      </c>
      <c r="C11" t="s">
        <v>185</v>
      </c>
      <c r="D11" t="s">
        <v>186</v>
      </c>
      <c r="E11" t="s">
        <v>170</v>
      </c>
      <c r="F11" t="s">
        <v>316</v>
      </c>
      <c r="G11" s="50" t="n">
        <v>1.02007996271888</v>
      </c>
      <c r="H11" s="51"/>
      <c r="I11" t="s">
        <v>171</v>
      </c>
      <c r="J11" s="52" t="n">
        <v>1</v>
      </c>
      <c r="K11" s="53" t="n">
        <v>0.1</v>
      </c>
      <c r="L11" s="54" t="n">
        <v>0.099951</v>
      </c>
      <c r="M11" s="55" t="str">
        <f>1-1/(G11^(K11-L11))</f>
      </c>
      <c r="N11" t="s">
        <v>317</v>
      </c>
      <c r="O11" t="n">
        <v>1</v>
      </c>
      <c r="P11" t="s">
        <v>173</v>
      </c>
    </row>
    <row r="12">
      <c r="A12" t="s">
        <v>196</v>
      </c>
      <c r="B12" t="s">
        <v>195</v>
      </c>
      <c r="C12" t="s">
        <v>175</v>
      </c>
      <c r="D12" t="s">
        <v>176</v>
      </c>
      <c r="E12" t="s">
        <v>170</v>
      </c>
      <c r="F12" t="s">
        <v>318</v>
      </c>
      <c r="G12" s="50" t="n">
        <v>1.06</v>
      </c>
      <c r="H12" s="51"/>
      <c r="I12" t="s">
        <v>171</v>
      </c>
      <c r="J12" s="52" t="n">
        <v>1</v>
      </c>
      <c r="K12" s="53" t="n">
        <v>4.4</v>
      </c>
      <c r="L12" s="54" t="n">
        <v>3</v>
      </c>
      <c r="M12" s="55" t="str">
        <f>1-1/(G12^(K12-L12))</f>
      </c>
      <c r="N12" t="s">
        <v>317</v>
      </c>
      <c r="O12" t="n">
        <v>1</v>
      </c>
      <c r="P12" t="s">
        <v>177</v>
      </c>
    </row>
    <row r="13">
      <c r="A13" t="s">
        <v>200</v>
      </c>
      <c r="B13" t="s">
        <v>195</v>
      </c>
      <c r="C13" t="s">
        <v>179</v>
      </c>
      <c r="D13" t="s">
        <v>180</v>
      </c>
      <c r="E13" t="s">
        <v>170</v>
      </c>
      <c r="F13" t="s">
        <v>318</v>
      </c>
      <c r="G13" s="50" t="n">
        <v>1.06</v>
      </c>
      <c r="H13" s="51"/>
      <c r="I13" t="s">
        <v>171</v>
      </c>
      <c r="J13" s="52" t="n">
        <v>1</v>
      </c>
      <c r="K13" s="53" t="n">
        <v>4.4</v>
      </c>
      <c r="L13" s="54" t="n">
        <v>3</v>
      </c>
      <c r="M13" s="55" t="str">
        <f>1-1/(G13^(K13-L13))</f>
      </c>
      <c r="N13" t="s">
        <v>317</v>
      </c>
      <c r="O13" t="n">
        <v>1</v>
      </c>
      <c r="P13" t="s">
        <v>177</v>
      </c>
    </row>
    <row r="14">
      <c r="A14" t="s">
        <v>201</v>
      </c>
      <c r="B14" t="s">
        <v>195</v>
      </c>
      <c r="C14" t="s">
        <v>182</v>
      </c>
      <c r="D14" t="s">
        <v>183</v>
      </c>
      <c r="E14" t="s">
        <v>170</v>
      </c>
      <c r="F14" t="s">
        <v>318</v>
      </c>
      <c r="G14" s="50" t="n">
        <v>1.06</v>
      </c>
      <c r="H14" s="51"/>
      <c r="I14" t="s">
        <v>171</v>
      </c>
      <c r="J14" s="52" t="n">
        <v>1</v>
      </c>
      <c r="K14" s="53" t="n">
        <v>4.4</v>
      </c>
      <c r="L14" s="54" t="n">
        <v>3</v>
      </c>
      <c r="M14" s="55" t="str">
        <f>1-1/(G14^(K14-L14))</f>
      </c>
      <c r="N14" t="s">
        <v>317</v>
      </c>
      <c r="O14" t="n">
        <v>1</v>
      </c>
      <c r="P14" t="s">
        <v>177</v>
      </c>
    </row>
    <row r="15">
      <c r="A15" t="s">
        <v>202</v>
      </c>
      <c r="B15" t="s">
        <v>195</v>
      </c>
      <c r="C15" t="s">
        <v>185</v>
      </c>
      <c r="D15" t="s">
        <v>186</v>
      </c>
      <c r="E15" t="s">
        <v>170</v>
      </c>
      <c r="F15" t="s">
        <v>318</v>
      </c>
      <c r="G15" s="50" t="n">
        <v>1.06</v>
      </c>
      <c r="H15" s="51"/>
      <c r="I15" t="s">
        <v>171</v>
      </c>
      <c r="J15" s="52" t="n">
        <v>1</v>
      </c>
      <c r="K15" s="53" t="n">
        <v>4.4</v>
      </c>
      <c r="L15" s="54" t="n">
        <v>3</v>
      </c>
      <c r="M15" s="55" t="str">
        <f>1-1/(G15^(K15-L15))</f>
      </c>
      <c r="N15" t="s">
        <v>317</v>
      </c>
      <c r="O15" t="n">
        <v>1</v>
      </c>
      <c r="P15" t="s">
        <v>177</v>
      </c>
    </row>
    <row r="16">
      <c r="A16" t="s">
        <v>204</v>
      </c>
      <c r="B16" t="s">
        <v>203</v>
      </c>
      <c r="C16" t="s">
        <v>207</v>
      </c>
      <c r="D16" t="s">
        <v>208</v>
      </c>
      <c r="E16" t="s">
        <v>170</v>
      </c>
      <c r="F16" t="s">
        <v>319</v>
      </c>
      <c r="G16" s="50" t="n">
        <v>1.18</v>
      </c>
      <c r="H16" s="51"/>
      <c r="I16" t="s">
        <v>171</v>
      </c>
      <c r="J16" s="52" t="n">
        <v>1</v>
      </c>
      <c r="K16" s="53" t="n">
        <v>0.114285714285714</v>
      </c>
      <c r="L16" s="54" t="n">
        <v>0.094285714285714</v>
      </c>
      <c r="M16" s="55" t="str">
        <f>1-1/(G16^(K16-L16))</f>
      </c>
      <c r="N16" t="s">
        <v>317</v>
      </c>
      <c r="O16" t="n">
        <v>1</v>
      </c>
      <c r="P16" t="s">
        <v>177</v>
      </c>
    </row>
    <row r="17">
      <c r="A17" t="s">
        <v>210</v>
      </c>
      <c r="B17" t="s">
        <v>203</v>
      </c>
      <c r="C17" t="s">
        <v>175</v>
      </c>
      <c r="D17" t="s">
        <v>176</v>
      </c>
      <c r="E17" t="s">
        <v>170</v>
      </c>
      <c r="F17" t="s">
        <v>319</v>
      </c>
      <c r="G17" s="50" t="n">
        <v>1.1</v>
      </c>
      <c r="H17" s="51"/>
      <c r="I17" t="s">
        <v>171</v>
      </c>
      <c r="J17" s="52" t="n">
        <v>1</v>
      </c>
      <c r="K17" s="53" t="n">
        <v>0.114285714285714</v>
      </c>
      <c r="L17" s="54" t="n">
        <v>0.094285714285714</v>
      </c>
      <c r="M17" s="55" t="str">
        <f>1-1/(G17^(K17-L17))</f>
      </c>
      <c r="N17" t="s">
        <v>317</v>
      </c>
      <c r="O17" t="n">
        <v>1</v>
      </c>
      <c r="P17" t="s">
        <v>173</v>
      </c>
    </row>
    <row r="18">
      <c r="A18" t="s">
        <v>211</v>
      </c>
      <c r="B18" t="s">
        <v>203</v>
      </c>
      <c r="C18" t="s">
        <v>179</v>
      </c>
      <c r="D18" t="s">
        <v>180</v>
      </c>
      <c r="E18" t="s">
        <v>170</v>
      </c>
      <c r="F18" t="s">
        <v>319</v>
      </c>
      <c r="G18" s="50" t="n">
        <v>1.08</v>
      </c>
      <c r="H18" s="51"/>
      <c r="I18" t="s">
        <v>171</v>
      </c>
      <c r="J18" s="52" t="n">
        <v>1</v>
      </c>
      <c r="K18" s="53" t="n">
        <v>0.114285714285714</v>
      </c>
      <c r="L18" s="54" t="n">
        <v>0.094285714285714</v>
      </c>
      <c r="M18" s="55" t="str">
        <f>1-1/(G18^(K18-L18))</f>
      </c>
      <c r="N18" t="s">
        <v>317</v>
      </c>
      <c r="O18" t="n">
        <v>1</v>
      </c>
      <c r="P18" t="s">
        <v>173</v>
      </c>
    </row>
    <row r="19">
      <c r="A19" t="s">
        <v>212</v>
      </c>
      <c r="B19" t="s">
        <v>203</v>
      </c>
      <c r="C19" t="s">
        <v>182</v>
      </c>
      <c r="D19" t="s">
        <v>183</v>
      </c>
      <c r="E19" t="s">
        <v>170</v>
      </c>
      <c r="F19" t="s">
        <v>319</v>
      </c>
      <c r="G19" s="50" t="n">
        <v>1.14</v>
      </c>
      <c r="H19" s="51"/>
      <c r="I19" t="s">
        <v>171</v>
      </c>
      <c r="J19" s="52" t="n">
        <v>1</v>
      </c>
      <c r="K19" s="53" t="n">
        <v>0.114285714285714</v>
      </c>
      <c r="L19" s="54" t="n">
        <v>0.094285714285714</v>
      </c>
      <c r="M19" s="55" t="str">
        <f>1-1/(G19^(K19-L19))</f>
      </c>
      <c r="N19" t="s">
        <v>317</v>
      </c>
      <c r="O19" t="n">
        <v>1</v>
      </c>
      <c r="P19" t="s">
        <v>177</v>
      </c>
    </row>
    <row r="20">
      <c r="A20" t="s">
        <v>213</v>
      </c>
      <c r="B20" t="s">
        <v>203</v>
      </c>
      <c r="C20" t="s">
        <v>185</v>
      </c>
      <c r="D20" t="s">
        <v>186</v>
      </c>
      <c r="E20" t="s">
        <v>170</v>
      </c>
      <c r="F20" t="s">
        <v>319</v>
      </c>
      <c r="G20" s="50" t="n">
        <v>1.07</v>
      </c>
      <c r="H20" s="51"/>
      <c r="I20" t="s">
        <v>171</v>
      </c>
      <c r="J20" s="52" t="n">
        <v>1</v>
      </c>
      <c r="K20" s="53" t="n">
        <v>0.114285714285714</v>
      </c>
      <c r="L20" s="54" t="n">
        <v>0.094285714285714</v>
      </c>
      <c r="M20" s="55" t="str">
        <f>1-1/(G20^(K20-L20))</f>
      </c>
      <c r="N20" t="s">
        <v>317</v>
      </c>
      <c r="O20" t="n">
        <v>1</v>
      </c>
      <c r="P20" t="s">
        <v>177</v>
      </c>
    </row>
    <row r="21">
      <c r="A21" t="s">
        <v>236</v>
      </c>
      <c r="B21" t="s">
        <v>235</v>
      </c>
      <c r="C21" t="s">
        <v>182</v>
      </c>
      <c r="D21" t="s">
        <v>183</v>
      </c>
      <c r="E21" t="s">
        <v>239</v>
      </c>
      <c r="F21" t="s">
        <v>320</v>
      </c>
      <c r="G21" s="50"/>
      <c r="H21" s="51"/>
      <c r="I21" t="s">
        <v>171</v>
      </c>
      <c r="J21" s="52" t="n">
        <v>1</v>
      </c>
      <c r="K21" s="53" t="n">
        <v>0.48</v>
      </c>
      <c r="L21" s="54" t="n">
        <v>0</v>
      </c>
      <c r="M21" s="55" t="str">
        <f>IFERROR(H21*G21,0)</f>
      </c>
      <c r="N21" t="s">
        <v>317</v>
      </c>
      <c r="O21" t="n">
        <v>0</v>
      </c>
      <c r="P21" t="s">
        <v>302</v>
      </c>
    </row>
    <row r="22">
      <c r="A22" t="s">
        <v>215</v>
      </c>
      <c r="B22" t="s">
        <v>214</v>
      </c>
      <c r="C22" t="s">
        <v>207</v>
      </c>
      <c r="D22" t="s">
        <v>208</v>
      </c>
      <c r="E22" t="s">
        <v>218</v>
      </c>
      <c r="F22" t="s">
        <v>321</v>
      </c>
      <c r="G22" s="50" t="n">
        <v>1.37</v>
      </c>
      <c r="H22" s="51"/>
      <c r="I22" t="s">
        <v>219</v>
      </c>
      <c r="J22" s="52" t="n">
        <v>0.0615144568129612</v>
      </c>
      <c r="K22" s="53" t="n">
        <v>0.303</v>
      </c>
      <c r="L22" s="54" t="n">
        <v>0.242055792</v>
      </c>
      <c r="M22" s="55" t="str">
        <f>1-(1+L22*(G22-1))/(1+K22*(G22-1))</f>
      </c>
      <c r="N22" t="s">
        <v>317</v>
      </c>
      <c r="O22" t="n">
        <v>1</v>
      </c>
      <c r="P22" t="s">
        <v>221</v>
      </c>
    </row>
    <row r="23">
      <c r="A23" t="s">
        <v>222</v>
      </c>
      <c r="B23" t="s">
        <v>214</v>
      </c>
      <c r="C23" t="s">
        <v>179</v>
      </c>
      <c r="D23" t="s">
        <v>180</v>
      </c>
      <c r="E23" t="s">
        <v>218</v>
      </c>
      <c r="F23" t="s">
        <v>321</v>
      </c>
      <c r="G23" s="50" t="n">
        <v>1.19</v>
      </c>
      <c r="H23" s="51"/>
      <c r="I23" t="s">
        <v>219</v>
      </c>
      <c r="J23" s="52" t="n">
        <v>0.0615144568129612</v>
      </c>
      <c r="K23" s="53" t="n">
        <v>0.303</v>
      </c>
      <c r="L23" s="54" t="n">
        <v>0.242055792</v>
      </c>
      <c r="M23" s="55" t="str">
        <f>1-(1+L23*(G23-1))/(1+K23*(G23-1))</f>
      </c>
      <c r="N23" t="s">
        <v>317</v>
      </c>
      <c r="O23" t="n">
        <v>1</v>
      </c>
      <c r="P23" t="s">
        <v>177</v>
      </c>
    </row>
    <row r="24">
      <c r="A24" t="s">
        <v>223</v>
      </c>
      <c r="B24" t="s">
        <v>214</v>
      </c>
      <c r="C24" t="s">
        <v>182</v>
      </c>
      <c r="D24" t="s">
        <v>183</v>
      </c>
      <c r="E24" t="s">
        <v>218</v>
      </c>
      <c r="F24" t="s">
        <v>321</v>
      </c>
      <c r="G24" s="50" t="n">
        <v>1.6</v>
      </c>
      <c r="H24" s="51"/>
      <c r="I24" t="s">
        <v>219</v>
      </c>
      <c r="J24" s="52" t="n">
        <v>0.0615144568129612</v>
      </c>
      <c r="K24" s="53" t="n">
        <v>0.303</v>
      </c>
      <c r="L24" s="54" t="n">
        <v>0.242055792</v>
      </c>
      <c r="M24" s="55" t="str">
        <f>1-(1+L24*(G24-1))/(1+K24*(G24-1))</f>
      </c>
      <c r="N24" t="s">
        <v>317</v>
      </c>
      <c r="O24" t="n">
        <v>1</v>
      </c>
      <c r="P24" t="s">
        <v>177</v>
      </c>
    </row>
    <row r="25">
      <c r="A25" t="s">
        <v>224</v>
      </c>
      <c r="B25" t="s">
        <v>214</v>
      </c>
      <c r="C25" t="s">
        <v>185</v>
      </c>
      <c r="D25" t="s">
        <v>186</v>
      </c>
      <c r="E25" t="s">
        <v>218</v>
      </c>
      <c r="F25" t="s">
        <v>321</v>
      </c>
      <c r="G25" s="50" t="n">
        <v>1.38</v>
      </c>
      <c r="H25" s="51"/>
      <c r="I25" t="s">
        <v>219</v>
      </c>
      <c r="J25" s="52" t="n">
        <v>0.0615144568129612</v>
      </c>
      <c r="K25" s="53" t="n">
        <v>0.303</v>
      </c>
      <c r="L25" s="54" t="n">
        <v>0.242055792</v>
      </c>
      <c r="M25" s="55" t="str">
        <f>1-(1+L25*(G25-1))/(1+K25*(G25-1))</f>
      </c>
      <c r="N25" t="s">
        <v>317</v>
      </c>
      <c r="O25" t="n">
        <v>1</v>
      </c>
      <c r="P25" t="s">
        <v>177</v>
      </c>
    </row>
    <row r="26">
      <c r="A26" t="s">
        <v>226</v>
      </c>
      <c r="B26" t="s">
        <v>225</v>
      </c>
      <c r="C26" t="s">
        <v>207</v>
      </c>
      <c r="D26" t="s">
        <v>208</v>
      </c>
      <c r="E26" t="s">
        <v>218</v>
      </c>
      <c r="F26" t="s">
        <v>321</v>
      </c>
      <c r="G26" s="50" t="n">
        <v>1.37</v>
      </c>
      <c r="H26" s="51"/>
      <c r="I26" t="s">
        <v>219</v>
      </c>
      <c r="J26" s="52" t="n">
        <v>0.0615144568129612</v>
      </c>
      <c r="K26" s="53" t="n">
        <v>0.303</v>
      </c>
      <c r="L26" s="54" t="n">
        <v>0</v>
      </c>
      <c r="M26" s="55" t="str">
        <f>1-(1+L26*(G26-1))/(1+K26*(G26-1))</f>
      </c>
      <c r="N26" t="s">
        <v>317</v>
      </c>
      <c r="O26" t="n">
        <v>1</v>
      </c>
      <c r="P26" t="s">
        <v>221</v>
      </c>
    </row>
    <row r="27">
      <c r="A27" t="s">
        <v>229</v>
      </c>
      <c r="B27" t="s">
        <v>225</v>
      </c>
      <c r="C27" t="s">
        <v>179</v>
      </c>
      <c r="D27" t="s">
        <v>180</v>
      </c>
      <c r="E27" t="s">
        <v>218</v>
      </c>
      <c r="F27" t="s">
        <v>321</v>
      </c>
      <c r="G27" s="50" t="n">
        <v>1.19</v>
      </c>
      <c r="H27" s="51"/>
      <c r="I27" t="s">
        <v>219</v>
      </c>
      <c r="J27" s="52" t="n">
        <v>0.0615144568129612</v>
      </c>
      <c r="K27" s="53" t="n">
        <v>0.303</v>
      </c>
      <c r="L27" s="54" t="n">
        <v>0</v>
      </c>
      <c r="M27" s="55" t="str">
        <f>1-(1+L27*(G27-1))/(1+K27*(G27-1))</f>
      </c>
      <c r="N27" t="s">
        <v>317</v>
      </c>
      <c r="O27" t="n">
        <v>1</v>
      </c>
      <c r="P27" t="s">
        <v>177</v>
      </c>
    </row>
    <row r="28">
      <c r="A28" t="s">
        <v>230</v>
      </c>
      <c r="B28" t="s">
        <v>225</v>
      </c>
      <c r="C28" t="s">
        <v>182</v>
      </c>
      <c r="D28" t="s">
        <v>183</v>
      </c>
      <c r="E28" t="s">
        <v>218</v>
      </c>
      <c r="F28" t="s">
        <v>321</v>
      </c>
      <c r="G28" s="50" t="n">
        <v>1.6</v>
      </c>
      <c r="H28" s="51"/>
      <c r="I28" t="s">
        <v>219</v>
      </c>
      <c r="J28" s="52" t="n">
        <v>0.0615144568129612</v>
      </c>
      <c r="K28" s="53" t="n">
        <v>0.303</v>
      </c>
      <c r="L28" s="54" t="n">
        <v>0</v>
      </c>
      <c r="M28" s="55" t="str">
        <f>1-(1+L28*(G28-1))/(1+K28*(G28-1))</f>
      </c>
      <c r="N28" t="s">
        <v>317</v>
      </c>
      <c r="O28" t="n">
        <v>1</v>
      </c>
      <c r="P28" t="s">
        <v>177</v>
      </c>
    </row>
    <row r="29">
      <c r="A29" t="s">
        <v>231</v>
      </c>
      <c r="B29" t="s">
        <v>225</v>
      </c>
      <c r="C29" t="s">
        <v>185</v>
      </c>
      <c r="D29" t="s">
        <v>186</v>
      </c>
      <c r="E29" t="s">
        <v>218</v>
      </c>
      <c r="F29" t="s">
        <v>321</v>
      </c>
      <c r="G29" s="50" t="n">
        <v>1.38</v>
      </c>
      <c r="H29" s="51"/>
      <c r="I29" t="s">
        <v>219</v>
      </c>
      <c r="J29" s="52" t="n">
        <v>0.0615144568129612</v>
      </c>
      <c r="K29" s="53" t="n">
        <v>0.303</v>
      </c>
      <c r="L29" s="54" t="n">
        <v>0</v>
      </c>
      <c r="M29" s="55" t="str">
        <f>1-(1+L29*(G29-1))/(1+K29*(G29-1))</f>
      </c>
      <c r="N29" t="s">
        <v>317</v>
      </c>
      <c r="O29" t="n">
        <v>1</v>
      </c>
      <c r="P29" t="s">
        <v>177</v>
      </c>
    </row>
  </sheetData>
  <autoFilter ref="A1:P1"/>
  <conditionalFormatting sqref="O2:O29">
    <cfRule type="expression" dxfId="1" priority="1">
      <formula>O2=0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5.71" hidden="0" customWidth="1"/>
    <col min="4" max="4" width="12.71" hidden="0" customWidth="1"/>
    <col min="5" max="5" width="17.71" hidden="0" customWidth="1"/>
    <col min="6" max="6" width="16.71" hidden="0" customWidth="1"/>
    <col min="7" max="7" width="28.71" hidden="0" customWidth="1"/>
    <col min="8" max="8" width="29.71" hidden="0" customWidth="1"/>
    <col min="9" max="9" width="20.71" hidden="0" customWidth="1"/>
    <col min="10" max="10" width="15.71" hidden="0" customWidth="1"/>
    <col min="11" max="11" width="12.71" hidden="0" customWidth="1"/>
    <col min="12" max="12" width="25.71" hidden="0" customWidth="1"/>
    <col min="13" max="13" width="16.71" hidden="0" customWidth="1"/>
    <col min="14" max="14" width="15.71" hidden="0" customWidth="1"/>
    <col min="15" max="15" width="12.71" hidden="0" customWidth="1"/>
    <col min="16" max="16" width="11.71" hidden="0" customWidth="1"/>
  </cols>
  <sheetData>
    <row r="1" ht="28" customHeight="1">
      <c r="A1" s="1" t="s">
        <v>322</v>
      </c>
      <c r="B1" s="1" t="s">
        <v>323</v>
      </c>
      <c r="C1" s="1" t="s">
        <v>160</v>
      </c>
      <c r="D1" s="1" t="s">
        <v>324</v>
      </c>
      <c r="E1" s="1" t="s">
        <v>143</v>
      </c>
      <c r="F1" s="1" t="s">
        <v>325</v>
      </c>
      <c r="G1" s="1" t="s">
        <v>326</v>
      </c>
      <c r="H1" s="1" t="s">
        <v>327</v>
      </c>
      <c r="I1" s="1" t="s">
        <v>328</v>
      </c>
      <c r="J1" s="1" t="s">
        <v>329</v>
      </c>
      <c r="K1" s="1" t="s">
        <v>330</v>
      </c>
      <c r="L1" s="1" t="s">
        <v>331</v>
      </c>
      <c r="M1" s="1" t="s">
        <v>332</v>
      </c>
      <c r="N1" s="1" t="s">
        <v>161</v>
      </c>
      <c r="O1" s="1" t="s">
        <v>333</v>
      </c>
      <c r="P1" s="1" t="s">
        <v>334</v>
      </c>
    </row>
    <row r="2">
      <c r="A2" s="56" t="s">
        <v>335</v>
      </c>
      <c r="B2" s="57" t="s">
        <v>336</v>
      </c>
      <c r="C2" s="58" t="s">
        <v>172</v>
      </c>
      <c r="D2" s="59" t="s">
        <v>337</v>
      </c>
      <c r="E2" t="s">
        <v>164</v>
      </c>
      <c r="F2" s="66" t="s">
        <v>338</v>
      </c>
      <c r="G2" s="60" t="s">
        <v>339</v>
      </c>
      <c r="H2" s="61" t="n">
        <v>1</v>
      </c>
      <c r="I2" s="62" t="n">
        <v>1</v>
      </c>
      <c r="J2" s="63" t="n">
        <v>0.0056</v>
      </c>
      <c r="K2" s="64" t="n">
        <v>2017</v>
      </c>
      <c r="L2" t="n">
        <v>0</v>
      </c>
      <c r="M2" t="s">
        <v>340</v>
      </c>
      <c r="N2" t="s">
        <v>266</v>
      </c>
      <c r="O2" s="65" t="str">
        <f>IF(AND(J2&gt;=0,I2&lt;&gt;"",I2&gt;=0,I2&lt;=1,OR(G2="all",G2="prevalence",G2="incidence")),1,0)</f>
      </c>
      <c r="P2" s="21" t="s">
        <v>341</v>
      </c>
    </row>
    <row r="3">
      <c r="A3" s="56" t="s">
        <v>342</v>
      </c>
      <c r="B3" s="57" t="s">
        <v>343</v>
      </c>
      <c r="C3" s="58" t="s">
        <v>190</v>
      </c>
      <c r="D3" s="59" t="s">
        <v>337</v>
      </c>
      <c r="E3" t="s">
        <v>187</v>
      </c>
      <c r="F3" s="66" t="s">
        <v>338</v>
      </c>
      <c r="G3" s="60" t="s">
        <v>339</v>
      </c>
      <c r="H3" s="61" t="n">
        <v>1</v>
      </c>
      <c r="I3" s="62" t="n">
        <v>1</v>
      </c>
      <c r="J3" s="63" t="n">
        <v>0.004</v>
      </c>
      <c r="K3" s="64" t="n">
        <v>2017</v>
      </c>
      <c r="L3" t="n">
        <v>0</v>
      </c>
      <c r="M3" t="s">
        <v>340</v>
      </c>
      <c r="N3" t="s">
        <v>266</v>
      </c>
      <c r="O3" s="65" t="str">
        <f>IF(AND(J3&gt;=0,I3&lt;&gt;"",I3&gt;=0,I3&lt;=1,OR(G3="all",G3="prevalence",G3="incidence")),1,0)</f>
      </c>
      <c r="P3" s="21" t="s">
        <v>341</v>
      </c>
    </row>
    <row r="4">
      <c r="A4" s="56" t="s">
        <v>344</v>
      </c>
      <c r="B4" s="57" t="s">
        <v>345</v>
      </c>
      <c r="C4" s="58" t="s">
        <v>199</v>
      </c>
      <c r="D4" s="59" t="s">
        <v>337</v>
      </c>
      <c r="E4" t="s">
        <v>195</v>
      </c>
      <c r="F4" s="66" t="s">
        <v>338</v>
      </c>
      <c r="G4" s="60" t="s">
        <v>339</v>
      </c>
      <c r="H4" s="61" t="n">
        <v>1</v>
      </c>
      <c r="I4" s="62" t="n">
        <v>1</v>
      </c>
      <c r="J4" s="63" t="n">
        <v>0.0351</v>
      </c>
      <c r="K4" s="64" t="n">
        <v>2017</v>
      </c>
      <c r="L4" t="n">
        <v>0</v>
      </c>
      <c r="M4" t="s">
        <v>340</v>
      </c>
      <c r="N4" t="s">
        <v>266</v>
      </c>
      <c r="O4" s="65" t="str">
        <f>IF(AND(J4&gt;=0,I4&lt;&gt;"",I4&gt;=0,I4&lt;=1,OR(G4="all",G4="prevalence",G4="incidence")),1,0)</f>
      </c>
      <c r="P4" s="21" t="s">
        <v>341</v>
      </c>
    </row>
    <row r="5">
      <c r="A5" s="56" t="s">
        <v>346</v>
      </c>
      <c r="B5" s="57" t="s">
        <v>347</v>
      </c>
      <c r="C5" s="58" t="s">
        <v>209</v>
      </c>
      <c r="D5" s="59" t="s">
        <v>337</v>
      </c>
      <c r="E5" t="s">
        <v>203</v>
      </c>
      <c r="F5" s="66" t="s">
        <v>338</v>
      </c>
      <c r="G5" s="60" t="s">
        <v>339</v>
      </c>
      <c r="H5" s="61" t="n">
        <v>1</v>
      </c>
      <c r="I5" s="62" t="n">
        <v>1</v>
      </c>
      <c r="J5" s="63" t="n">
        <v>0.004</v>
      </c>
      <c r="K5" s="64" t="n">
        <v>2017</v>
      </c>
      <c r="L5" t="n">
        <v>0</v>
      </c>
      <c r="M5" t="s">
        <v>348</v>
      </c>
      <c r="N5" t="s">
        <v>266</v>
      </c>
      <c r="O5" s="65" t="str">
        <f>IF(AND(J5&gt;=0,I5&lt;&gt;"",I5&gt;=0,I5&lt;=1,OR(G5="all",G5="prevalence",G5="incidence")),1,0)</f>
      </c>
      <c r="P5" s="21" t="s">
        <v>349</v>
      </c>
    </row>
    <row r="6">
      <c r="A6" s="56" t="s">
        <v>350</v>
      </c>
      <c r="B6" s="57" t="s">
        <v>351</v>
      </c>
      <c r="C6" s="58" t="s">
        <v>352</v>
      </c>
      <c r="D6" s="59" t="s">
        <v>337</v>
      </c>
      <c r="E6" t="s">
        <v>235</v>
      </c>
      <c r="F6" s="66" t="s">
        <v>338</v>
      </c>
      <c r="G6" s="60" t="s">
        <v>339</v>
      </c>
      <c r="H6" s="61" t="n">
        <v>1</v>
      </c>
      <c r="I6" s="62" t="n">
        <v>1</v>
      </c>
      <c r="J6" s="63" t="n">
        <v>0.0087</v>
      </c>
      <c r="K6" s="64" t="n">
        <v>2017</v>
      </c>
      <c r="L6" t="n">
        <v>0</v>
      </c>
      <c r="M6" t="s">
        <v>340</v>
      </c>
      <c r="N6" t="s">
        <v>266</v>
      </c>
      <c r="O6" s="65" t="str">
        <f>IF(AND(J6&gt;=0,I6&lt;&gt;"",I6&gt;=0,I6&lt;=1,OR(G6="all",G6="prevalence",G6="incidence")),1,0)</f>
      </c>
      <c r="P6" s="21" t="s">
        <v>341</v>
      </c>
    </row>
    <row r="7">
      <c r="A7" s="56" t="s">
        <v>353</v>
      </c>
      <c r="B7" s="57" t="s">
        <v>354</v>
      </c>
      <c r="C7" s="58" t="s">
        <v>220</v>
      </c>
      <c r="D7" s="59" t="s">
        <v>337</v>
      </c>
      <c r="E7" t="s">
        <v>214</v>
      </c>
      <c r="F7" s="66" t="s">
        <v>338</v>
      </c>
      <c r="G7" s="60" t="s">
        <v>339</v>
      </c>
      <c r="H7" s="61" t="n">
        <v>1</v>
      </c>
      <c r="I7" s="62" t="n">
        <v>1</v>
      </c>
      <c r="J7" s="63" t="n">
        <v>0.0231</v>
      </c>
      <c r="K7" s="64" t="n">
        <v>2017</v>
      </c>
      <c r="L7" t="n">
        <v>0</v>
      </c>
      <c r="M7" t="s">
        <v>340</v>
      </c>
      <c r="N7" t="s">
        <v>266</v>
      </c>
      <c r="O7" s="65" t="str">
        <f>IF(AND(J7&gt;=0,I7&lt;&gt;"",I7&gt;=0,I7&lt;=1,OR(G7="all",G7="prevalence",G7="incidence")),1,0)</f>
      </c>
      <c r="P7" s="21" t="s">
        <v>341</v>
      </c>
    </row>
    <row r="8">
      <c r="A8" s="56" t="s">
        <v>355</v>
      </c>
      <c r="B8" s="57" t="s">
        <v>356</v>
      </c>
      <c r="C8" s="58" t="s">
        <v>228</v>
      </c>
      <c r="D8" s="59" t="s">
        <v>337</v>
      </c>
      <c r="E8" t="s">
        <v>225</v>
      </c>
      <c r="F8" s="66" t="s">
        <v>338</v>
      </c>
      <c r="G8" s="60" t="s">
        <v>339</v>
      </c>
      <c r="H8" s="61" t="n">
        <v>1</v>
      </c>
      <c r="I8" s="62" t="n">
        <v>1</v>
      </c>
      <c r="J8" s="63" t="n">
        <v>0.004</v>
      </c>
      <c r="K8" s="64" t="n">
        <v>2017</v>
      </c>
      <c r="L8" t="n">
        <v>0</v>
      </c>
      <c r="M8" t="s">
        <v>340</v>
      </c>
      <c r="N8" t="s">
        <v>266</v>
      </c>
      <c r="O8" s="65" t="str">
        <f>IF(AND(J8&gt;=0,I8&lt;&gt;"",I8&gt;=0,I8&lt;=1,OR(G8="all",G8="prevalence",G8="incidence")),1,0)</f>
      </c>
      <c r="P8" s="21" t="s">
        <v>341</v>
      </c>
    </row>
  </sheetData>
  <autoFilter ref="A1:P1"/>
  <conditionalFormatting sqref="L2:L8">
    <cfRule type="expression" dxfId="1" priority="1">
      <formula>L2=0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2.71" hidden="0" customWidth="1"/>
    <col min="8" max="8" width="13.71" hidden="0" customWidth="1"/>
    <col min="9" max="9" width="16.71" hidden="0" customWidth="1"/>
    <col min="10" max="10" width="15.71" hidden="0" customWidth="1"/>
  </cols>
  <sheetData>
    <row r="1" ht="28" customHeight="1">
      <c r="A1" s="1" t="s">
        <v>357</v>
      </c>
      <c r="B1" s="1" t="s">
        <v>358</v>
      </c>
      <c r="C1" s="1" t="s">
        <v>28</v>
      </c>
      <c r="D1" s="1" t="s">
        <v>359</v>
      </c>
      <c r="E1" s="1" t="s">
        <v>360</v>
      </c>
      <c r="F1" s="1" t="s">
        <v>361</v>
      </c>
      <c r="G1" s="1" t="s">
        <v>362</v>
      </c>
      <c r="H1" s="1" t="s">
        <v>363</v>
      </c>
      <c r="I1" s="1" t="s">
        <v>364</v>
      </c>
      <c r="J1" s="1" t="s">
        <v>365</v>
      </c>
    </row>
    <row r="2">
      <c r="A2" t="s">
        <v>164</v>
      </c>
      <c r="B2" t="s">
        <v>166</v>
      </c>
      <c r="C2" s="67" t="n">
        <v>2025</v>
      </c>
      <c r="D2" t="s">
        <v>169</v>
      </c>
      <c r="E2" s="68" t="n">
        <v>12347.3896757033</v>
      </c>
      <c r="F2" s="69" t="n">
        <v>8975.30849722876</v>
      </c>
      <c r="G2" s="70" t="n">
        <v>12347.3896757033</v>
      </c>
      <c r="H2" s="71" t="n">
        <v>8975.30849722876</v>
      </c>
      <c r="I2" s="72" t="str">
        <f>H2-F2</f>
      </c>
      <c r="J2" s="73" t="str">
        <f>G2-E2</f>
      </c>
    </row>
    <row r="3">
      <c r="A3" t="s">
        <v>164</v>
      </c>
      <c r="B3" t="s">
        <v>166</v>
      </c>
      <c r="C3" s="67" t="n">
        <v>2025</v>
      </c>
      <c r="D3" t="s">
        <v>208</v>
      </c>
      <c r="E3" s="68" t="n">
        <v>1026043.97207164</v>
      </c>
      <c r="F3" s="69" t="n">
        <v>129403.022830672</v>
      </c>
      <c r="G3" s="70" t="n">
        <v>1026043.97207164</v>
      </c>
      <c r="H3" s="71" t="n">
        <v>129403.022830672</v>
      </c>
      <c r="I3" s="72" t="str">
        <f>H3-F3</f>
      </c>
      <c r="J3" s="73" t="str">
        <f>G3-E3</f>
      </c>
    </row>
    <row r="4">
      <c r="A4" t="s">
        <v>164</v>
      </c>
      <c r="B4" t="s">
        <v>166</v>
      </c>
      <c r="C4" s="67" t="n">
        <v>2025</v>
      </c>
      <c r="D4" t="s">
        <v>176</v>
      </c>
      <c r="E4" s="68" t="n">
        <v>91684.5090142746</v>
      </c>
      <c r="F4" s="69" t="n">
        <v>63318.7518252021</v>
      </c>
      <c r="G4" s="70" t="n">
        <v>91684.5090142746</v>
      </c>
      <c r="H4" s="71" t="n">
        <v>63318.7518252021</v>
      </c>
      <c r="I4" s="72" t="str">
        <f>H4-F4</f>
      </c>
      <c r="J4" s="73" t="str">
        <f>G4-E4</f>
      </c>
    </row>
    <row r="5">
      <c r="A5" t="s">
        <v>164</v>
      </c>
      <c r="B5" t="s">
        <v>166</v>
      </c>
      <c r="C5" s="67" t="n">
        <v>2025</v>
      </c>
      <c r="D5" t="s">
        <v>180</v>
      </c>
      <c r="E5" s="68" t="n">
        <v>327817.992111529</v>
      </c>
      <c r="F5" s="69" t="n">
        <v>300216.82861998</v>
      </c>
      <c r="G5" s="70" t="n">
        <v>327817.992111529</v>
      </c>
      <c r="H5" s="71" t="n">
        <v>300216.82861998</v>
      </c>
      <c r="I5" s="72" t="str">
        <f>H5-F5</f>
      </c>
      <c r="J5" s="73" t="str">
        <f>G5-E5</f>
      </c>
    </row>
    <row r="6">
      <c r="A6" t="s">
        <v>164</v>
      </c>
      <c r="B6" t="s">
        <v>166</v>
      </c>
      <c r="C6" s="67" t="n">
        <v>2025</v>
      </c>
      <c r="D6" t="s">
        <v>183</v>
      </c>
      <c r="E6" s="68" t="n">
        <v>563964.128928848</v>
      </c>
      <c r="F6" s="69" t="n">
        <v>321188.162987932</v>
      </c>
      <c r="G6" s="70" t="n">
        <v>563964.128928848</v>
      </c>
      <c r="H6" s="71" t="n">
        <v>321188.162987932</v>
      </c>
      <c r="I6" s="72" t="str">
        <f>H6-F6</f>
      </c>
      <c r="J6" s="73" t="str">
        <f>G6-E6</f>
      </c>
    </row>
    <row r="7">
      <c r="A7" t="s">
        <v>164</v>
      </c>
      <c r="B7" t="s">
        <v>166</v>
      </c>
      <c r="C7" s="67" t="n">
        <v>2025</v>
      </c>
      <c r="D7" t="s">
        <v>186</v>
      </c>
      <c r="E7" s="68" t="n">
        <v>396205.912797568</v>
      </c>
      <c r="F7" s="69" t="n">
        <v>191954.713579597</v>
      </c>
      <c r="G7" s="70" t="n">
        <v>396205.912797568</v>
      </c>
      <c r="H7" s="71" t="n">
        <v>191954.713579597</v>
      </c>
      <c r="I7" s="72" t="str">
        <f>H7-F7</f>
      </c>
      <c r="J7" s="73" t="str">
        <f>G7-E7</f>
      </c>
    </row>
    <row r="8">
      <c r="A8" t="s">
        <v>164</v>
      </c>
      <c r="B8" t="s">
        <v>166</v>
      </c>
      <c r="C8" s="67" t="n">
        <v>2025</v>
      </c>
      <c r="D8" t="s">
        <v>366</v>
      </c>
      <c r="E8" s="68" t="n">
        <v>44024.8557845561</v>
      </c>
      <c r="F8" s="69" t="n">
        <v>6961.02866951274</v>
      </c>
      <c r="G8" s="70" t="n">
        <v>44024.8557845561</v>
      </c>
      <c r="H8" s="71" t="n">
        <v>6961.02866951274</v>
      </c>
      <c r="I8" s="72" t="str">
        <f>H8-F8</f>
      </c>
      <c r="J8" s="73" t="str">
        <f>G8-E8</f>
      </c>
    </row>
    <row r="9">
      <c r="A9" t="s">
        <v>164</v>
      </c>
      <c r="B9" t="s">
        <v>166</v>
      </c>
      <c r="C9" s="67" t="n">
        <v>2026</v>
      </c>
      <c r="D9" t="s">
        <v>169</v>
      </c>
      <c r="E9" s="68" t="n">
        <v>12812.5070230057</v>
      </c>
      <c r="F9" s="69" t="n">
        <v>9308.26420910955</v>
      </c>
      <c r="G9" s="70" t="n">
        <v>12812.507871628</v>
      </c>
      <c r="H9" s="71" t="n">
        <v>9308.26420910955</v>
      </c>
      <c r="I9" s="72" t="str">
        <f>H9-F9</f>
      </c>
      <c r="J9" s="73" t="str">
        <f>G9-E9</f>
      </c>
    </row>
    <row r="10">
      <c r="A10" t="s">
        <v>164</v>
      </c>
      <c r="B10" t="s">
        <v>166</v>
      </c>
      <c r="C10" s="67" t="n">
        <v>2026</v>
      </c>
      <c r="D10" t="s">
        <v>208</v>
      </c>
      <c r="E10" s="68" t="n">
        <v>1040956.74283153</v>
      </c>
      <c r="F10" s="69" t="n">
        <v>137191.896136923</v>
      </c>
      <c r="G10" s="70" t="n">
        <v>1040956.74283153</v>
      </c>
      <c r="H10" s="71" t="n">
        <v>137191.896136923</v>
      </c>
      <c r="I10" s="72" t="str">
        <f>H10-F10</f>
      </c>
      <c r="J10" s="73" t="str">
        <f>G10-E10</f>
      </c>
    </row>
    <row r="11">
      <c r="A11" t="s">
        <v>164</v>
      </c>
      <c r="B11" t="s">
        <v>166</v>
      </c>
      <c r="C11" s="67" t="n">
        <v>2026</v>
      </c>
      <c r="D11" t="s">
        <v>176</v>
      </c>
      <c r="E11" s="68" t="n">
        <v>95077.1666480599</v>
      </c>
      <c r="F11" s="69" t="n">
        <v>65164.4704134017</v>
      </c>
      <c r="G11" s="70" t="n">
        <v>95077.1833035265</v>
      </c>
      <c r="H11" s="71" t="n">
        <v>65164.4704134017</v>
      </c>
      <c r="I11" s="72" t="str">
        <f>H11-F11</f>
      </c>
      <c r="J11" s="73" t="str">
        <f>G11-E11</f>
      </c>
    </row>
    <row r="12">
      <c r="A12" t="s">
        <v>164</v>
      </c>
      <c r="B12" t="s">
        <v>166</v>
      </c>
      <c r="C12" s="67" t="n">
        <v>2026</v>
      </c>
      <c r="D12" t="s">
        <v>180</v>
      </c>
      <c r="E12" s="68" t="n">
        <v>336875.38807809</v>
      </c>
      <c r="F12" s="69" t="n">
        <v>308606.943045308</v>
      </c>
      <c r="G12" s="70" t="n">
        <v>336875.423495605</v>
      </c>
      <c r="H12" s="71" t="n">
        <v>308606.943045308</v>
      </c>
      <c r="I12" s="72" t="str">
        <f>H12-F12</f>
      </c>
      <c r="J12" s="73" t="str">
        <f>G12-E12</f>
      </c>
    </row>
    <row r="13">
      <c r="A13" t="s">
        <v>164</v>
      </c>
      <c r="B13" t="s">
        <v>166</v>
      </c>
      <c r="C13" s="67" t="n">
        <v>2026</v>
      </c>
      <c r="D13" t="s">
        <v>183</v>
      </c>
      <c r="E13" s="68" t="n">
        <v>580111.514758252</v>
      </c>
      <c r="F13" s="69" t="n">
        <v>332896.185768311</v>
      </c>
      <c r="G13" s="70" t="n">
        <v>580111.541957649</v>
      </c>
      <c r="H13" s="71" t="n">
        <v>332896.185768311</v>
      </c>
      <c r="I13" s="72" t="str">
        <f>H13-F13</f>
      </c>
      <c r="J13" s="73" t="str">
        <f>G13-E13</f>
      </c>
    </row>
    <row r="14">
      <c r="A14" t="s">
        <v>164</v>
      </c>
      <c r="B14" t="s">
        <v>166</v>
      </c>
      <c r="C14" s="67" t="n">
        <v>2026</v>
      </c>
      <c r="D14" t="s">
        <v>186</v>
      </c>
      <c r="E14" s="68" t="n">
        <v>409829.829764828</v>
      </c>
      <c r="F14" s="69" t="n">
        <v>202008.199783237</v>
      </c>
      <c r="G14" s="70" t="n">
        <v>409829.87281699</v>
      </c>
      <c r="H14" s="71" t="n">
        <v>202008.199783237</v>
      </c>
      <c r="I14" s="72" t="str">
        <f>H14-F14</f>
      </c>
      <c r="J14" s="73" t="str">
        <f>G14-E14</f>
      </c>
    </row>
    <row r="15">
      <c r="A15" t="s">
        <v>164</v>
      </c>
      <c r="B15" t="s">
        <v>166</v>
      </c>
      <c r="C15" s="67" t="n">
        <v>2026</v>
      </c>
      <c r="D15" t="s">
        <v>366</v>
      </c>
      <c r="E15" s="68" t="n">
        <v>44219.1707517653</v>
      </c>
      <c r="F15" s="69" t="n">
        <v>7023.77126872287</v>
      </c>
      <c r="G15" s="70" t="n">
        <v>44219.1707517653</v>
      </c>
      <c r="H15" s="71" t="n">
        <v>7023.77126872287</v>
      </c>
      <c r="I15" s="72" t="str">
        <f>H15-F15</f>
      </c>
      <c r="J15" s="73" t="str">
        <f>G15-E15</f>
      </c>
    </row>
    <row r="16">
      <c r="A16" t="s">
        <v>164</v>
      </c>
      <c r="B16" t="s">
        <v>166</v>
      </c>
      <c r="C16" s="67" t="n">
        <v>2027</v>
      </c>
      <c r="D16" t="s">
        <v>169</v>
      </c>
      <c r="E16" s="68" t="n">
        <v>13273.4800103848</v>
      </c>
      <c r="F16" s="69" t="n">
        <v>9640.71516813207</v>
      </c>
      <c r="G16" s="70" t="n">
        <v>13273.481772584</v>
      </c>
      <c r="H16" s="71" t="n">
        <v>9640.71530777017</v>
      </c>
      <c r="I16" s="72" t="str">
        <f>H16-F16</f>
      </c>
      <c r="J16" s="73" t="str">
        <f>G16-E16</f>
      </c>
    </row>
    <row r="17">
      <c r="A17" t="s">
        <v>164</v>
      </c>
      <c r="B17" t="s">
        <v>166</v>
      </c>
      <c r="C17" s="67" t="n">
        <v>2027</v>
      </c>
      <c r="D17" t="s">
        <v>208</v>
      </c>
      <c r="E17" s="68" t="n">
        <v>1055255.40879996</v>
      </c>
      <c r="F17" s="69" t="n">
        <v>145087.130776418</v>
      </c>
      <c r="G17" s="70" t="n">
        <v>1055255.40879996</v>
      </c>
      <c r="H17" s="71" t="n">
        <v>145087.130776418</v>
      </c>
      <c r="I17" s="72" t="str">
        <f>H17-F17</f>
      </c>
      <c r="J17" s="73" t="str">
        <f>G17-E17</f>
      </c>
    </row>
    <row r="18">
      <c r="A18" t="s">
        <v>164</v>
      </c>
      <c r="B18" t="s">
        <v>166</v>
      </c>
      <c r="C18" s="67" t="n">
        <v>2027</v>
      </c>
      <c r="D18" t="s">
        <v>176</v>
      </c>
      <c r="E18" s="68" t="n">
        <v>98448.7934200924</v>
      </c>
      <c r="F18" s="69" t="n">
        <v>67068.0140833466</v>
      </c>
      <c r="G18" s="70" t="n">
        <v>98448.8278839669</v>
      </c>
      <c r="H18" s="71" t="n">
        <v>67068.0169086102</v>
      </c>
      <c r="I18" s="72" t="str">
        <f>H18-F18</f>
      </c>
      <c r="J18" s="73" t="str">
        <f>G18-E18</f>
      </c>
    </row>
    <row r="19">
      <c r="A19" t="s">
        <v>164</v>
      </c>
      <c r="B19" t="s">
        <v>166</v>
      </c>
      <c r="C19" s="67" t="n">
        <v>2027</v>
      </c>
      <c r="D19" t="s">
        <v>180</v>
      </c>
      <c r="E19" s="68" t="n">
        <v>345936.634078607</v>
      </c>
      <c r="F19" s="69" t="n">
        <v>317119.537949854</v>
      </c>
      <c r="G19" s="70" t="n">
        <v>345936.706716403</v>
      </c>
      <c r="H19" s="71" t="n">
        <v>317119.553552555</v>
      </c>
      <c r="I19" s="72" t="str">
        <f>H19-F19</f>
      </c>
      <c r="J19" s="73" t="str">
        <f>G19-E19</f>
      </c>
    </row>
    <row r="20">
      <c r="A20" t="s">
        <v>164</v>
      </c>
      <c r="B20" t="s">
        <v>166</v>
      </c>
      <c r="C20" s="67" t="n">
        <v>2027</v>
      </c>
      <c r="D20" t="s">
        <v>183</v>
      </c>
      <c r="E20" s="68" t="n">
        <v>596148.776618246</v>
      </c>
      <c r="F20" s="69" t="n">
        <v>344517.272903836</v>
      </c>
      <c r="G20" s="70" t="n">
        <v>596148.832334676</v>
      </c>
      <c r="H20" s="71" t="n">
        <v>344517.274659827</v>
      </c>
      <c r="I20" s="72" t="str">
        <f>H20-F20</f>
      </c>
      <c r="J20" s="73" t="str">
        <f>G20-E20</f>
      </c>
    </row>
    <row r="21">
      <c r="A21" t="s">
        <v>164</v>
      </c>
      <c r="B21" t="s">
        <v>166</v>
      </c>
      <c r="C21" s="67" t="n">
        <v>2027</v>
      </c>
      <c r="D21" t="s">
        <v>186</v>
      </c>
      <c r="E21" s="68" t="n">
        <v>423485.012647108</v>
      </c>
      <c r="F21" s="69" t="n">
        <v>211995.48470275</v>
      </c>
      <c r="G21" s="70" t="n">
        <v>423485.101321999</v>
      </c>
      <c r="H21" s="71" t="n">
        <v>211995.488024171</v>
      </c>
      <c r="I21" s="72" t="str">
        <f>H21-F21</f>
      </c>
      <c r="J21" s="73" t="str">
        <f>G21-E21</f>
      </c>
    </row>
    <row r="22">
      <c r="A22" t="s">
        <v>164</v>
      </c>
      <c r="B22" t="s">
        <v>166</v>
      </c>
      <c r="C22" s="67" t="n">
        <v>2027</v>
      </c>
      <c r="D22" t="s">
        <v>366</v>
      </c>
      <c r="E22" s="68" t="n">
        <v>44384.2018393689</v>
      </c>
      <c r="F22" s="69" t="n">
        <v>7080.05700568168</v>
      </c>
      <c r="G22" s="70" t="n">
        <v>44384.2018393689</v>
      </c>
      <c r="H22" s="71" t="n">
        <v>7080.05700568168</v>
      </c>
      <c r="I22" s="72" t="str">
        <f>H22-F22</f>
      </c>
      <c r="J22" s="73" t="str">
        <f>G22-E22</f>
      </c>
    </row>
    <row r="23">
      <c r="A23" t="s">
        <v>164</v>
      </c>
      <c r="B23" t="s">
        <v>166</v>
      </c>
      <c r="C23" s="67" t="n">
        <v>2028</v>
      </c>
      <c r="D23" t="s">
        <v>169</v>
      </c>
      <c r="E23" s="68" t="n">
        <v>13729.4977681178</v>
      </c>
      <c r="F23" s="69" t="n">
        <v>9971.45432481894</v>
      </c>
      <c r="G23" s="70" t="n">
        <v>13729.5005000864</v>
      </c>
      <c r="H23" s="71" t="n">
        <v>9971.45472163389</v>
      </c>
      <c r="I23" s="72" t="str">
        <f>H23-F23</f>
      </c>
      <c r="J23" s="73" t="str">
        <f>G23-E23</f>
      </c>
    </row>
    <row r="24">
      <c r="A24" t="s">
        <v>164</v>
      </c>
      <c r="B24" t="s">
        <v>166</v>
      </c>
      <c r="C24" s="67" t="n">
        <v>2028</v>
      </c>
      <c r="D24" t="s">
        <v>208</v>
      </c>
      <c r="E24" s="68" t="n">
        <v>1069005.07107443</v>
      </c>
      <c r="F24" s="69" t="n">
        <v>153077.867387244</v>
      </c>
      <c r="G24" s="70" t="n">
        <v>1069005.07088018</v>
      </c>
      <c r="H24" s="71" t="n">
        <v>153077.867387244</v>
      </c>
      <c r="I24" s="72" t="str">
        <f>H24-F24</f>
      </c>
      <c r="J24" s="73" t="str">
        <f>G24-E24</f>
      </c>
    </row>
    <row r="25">
      <c r="A25" t="s">
        <v>164</v>
      </c>
      <c r="B25" t="s">
        <v>166</v>
      </c>
      <c r="C25" s="67" t="n">
        <v>2028</v>
      </c>
      <c r="D25" t="s">
        <v>176</v>
      </c>
      <c r="E25" s="68" t="n">
        <v>101797.91424678</v>
      </c>
      <c r="F25" s="69" t="n">
        <v>69019.9251609009</v>
      </c>
      <c r="G25" s="70" t="n">
        <v>101797.96761407</v>
      </c>
      <c r="H25" s="71" t="n">
        <v>69019.933123165</v>
      </c>
      <c r="I25" s="72" t="str">
        <f>H25-F25</f>
      </c>
      <c r="J25" s="73" t="str">
        <f>G25-E25</f>
      </c>
    </row>
    <row r="26">
      <c r="A26" t="s">
        <v>164</v>
      </c>
      <c r="B26" t="s">
        <v>166</v>
      </c>
      <c r="C26" s="67" t="n">
        <v>2028</v>
      </c>
      <c r="D26" t="s">
        <v>180</v>
      </c>
      <c r="E26" s="68" t="n">
        <v>354965.424220207</v>
      </c>
      <c r="F26" s="69" t="n">
        <v>325690.644440481</v>
      </c>
      <c r="G26" s="70" t="n">
        <v>354965.535819133</v>
      </c>
      <c r="H26" s="71" t="n">
        <v>325690.683016893</v>
      </c>
      <c r="I26" s="72" t="str">
        <f>H26-F26</f>
      </c>
      <c r="J26" s="73" t="str">
        <f>G26-E26</f>
      </c>
    </row>
    <row r="27">
      <c r="A27" t="s">
        <v>164</v>
      </c>
      <c r="B27" t="s">
        <v>166</v>
      </c>
      <c r="C27" s="67" t="n">
        <v>2028</v>
      </c>
      <c r="D27" t="s">
        <v>183</v>
      </c>
      <c r="E27" s="68" t="n">
        <v>612031.574141013</v>
      </c>
      <c r="F27" s="69" t="n">
        <v>356073.566207435</v>
      </c>
      <c r="G27" s="70" t="n">
        <v>612031.659444751</v>
      </c>
      <c r="H27" s="71" t="n">
        <v>356073.571438059</v>
      </c>
      <c r="I27" s="72" t="str">
        <f>H27-F27</f>
      </c>
      <c r="J27" s="73" t="str">
        <f>G27-E27</f>
      </c>
    </row>
    <row r="28">
      <c r="A28" t="s">
        <v>164</v>
      </c>
      <c r="B28" t="s">
        <v>166</v>
      </c>
      <c r="C28" s="67" t="n">
        <v>2028</v>
      </c>
      <c r="D28" t="s">
        <v>186</v>
      </c>
      <c r="E28" s="68" t="n">
        <v>437159.618511552</v>
      </c>
      <c r="F28" s="69" t="n">
        <v>221908.948960683</v>
      </c>
      <c r="G28" s="70" t="n">
        <v>437159.755191958</v>
      </c>
      <c r="H28" s="71" t="n">
        <v>221908.958563303</v>
      </c>
      <c r="I28" s="72" t="str">
        <f>H28-F28</f>
      </c>
      <c r="J28" s="73" t="str">
        <f>G28-E28</f>
      </c>
    </row>
    <row r="29">
      <c r="A29" t="s">
        <v>164</v>
      </c>
      <c r="B29" t="s">
        <v>166</v>
      </c>
      <c r="C29" s="67" t="n">
        <v>2028</v>
      </c>
      <c r="D29" t="s">
        <v>366</v>
      </c>
      <c r="E29" s="68" t="n">
        <v>44510.064963993</v>
      </c>
      <c r="F29" s="69" t="n">
        <v>7131.07016356498</v>
      </c>
      <c r="G29" s="70" t="n">
        <v>44510.0649629929</v>
      </c>
      <c r="H29" s="71" t="n">
        <v>7131.07016356498</v>
      </c>
      <c r="I29" s="72" t="str">
        <f>H29-F29</f>
      </c>
      <c r="J29" s="73" t="str">
        <f>G29-E29</f>
      </c>
    </row>
    <row r="30">
      <c r="A30" t="s">
        <v>164</v>
      </c>
      <c r="B30" t="s">
        <v>166</v>
      </c>
      <c r="C30" s="67" t="n">
        <v>2029</v>
      </c>
      <c r="D30" t="s">
        <v>169</v>
      </c>
      <c r="E30" s="68" t="n">
        <v>14181.4198851721</v>
      </c>
      <c r="F30" s="69" t="n">
        <v>10301.2288247809</v>
      </c>
      <c r="G30" s="70" t="n">
        <v>14181.4236375467</v>
      </c>
      <c r="H30" s="71" t="n">
        <v>10301.2295792609</v>
      </c>
      <c r="I30" s="72" t="str">
        <f>H30-F30</f>
      </c>
      <c r="J30" s="73" t="str">
        <f>G30-E30</f>
      </c>
    </row>
    <row r="31">
      <c r="A31" t="s">
        <v>164</v>
      </c>
      <c r="B31" t="s">
        <v>166</v>
      </c>
      <c r="C31" s="67" t="n">
        <v>2029</v>
      </c>
      <c r="D31" t="s">
        <v>208</v>
      </c>
      <c r="E31" s="68" t="n">
        <v>1082252.39492534</v>
      </c>
      <c r="F31" s="69" t="n">
        <v>161161.06213597</v>
      </c>
      <c r="G31" s="70" t="n">
        <v>1082252.39423074</v>
      </c>
      <c r="H31" s="71" t="n">
        <v>161161.062132093</v>
      </c>
      <c r="I31" s="72" t="str">
        <f>H31-F31</f>
      </c>
      <c r="J31" s="73" t="str">
        <f>G31-E31</f>
      </c>
    </row>
    <row r="32">
      <c r="A32" t="s">
        <v>164</v>
      </c>
      <c r="B32" t="s">
        <v>166</v>
      </c>
      <c r="C32" s="67" t="n">
        <v>2029</v>
      </c>
      <c r="D32" t="s">
        <v>176</v>
      </c>
      <c r="E32" s="68" t="n">
        <v>105114.620025983</v>
      </c>
      <c r="F32" s="69" t="n">
        <v>71042.0393900636</v>
      </c>
      <c r="G32" s="70" t="n">
        <v>105114.693344183</v>
      </c>
      <c r="H32" s="71" t="n">
        <v>71042.0544294395</v>
      </c>
      <c r="I32" s="72" t="str">
        <f>H32-F32</f>
      </c>
      <c r="J32" s="73" t="str">
        <f>G32-E32</f>
      </c>
    </row>
    <row r="33">
      <c r="A33" t="s">
        <v>164</v>
      </c>
      <c r="B33" t="s">
        <v>166</v>
      </c>
      <c r="C33" s="67" t="n">
        <v>2029</v>
      </c>
      <c r="D33" t="s">
        <v>180</v>
      </c>
      <c r="E33" s="68" t="n">
        <v>363896.052031296</v>
      </c>
      <c r="F33" s="69" t="n">
        <v>334292.610689141</v>
      </c>
      <c r="G33" s="70" t="n">
        <v>363896.204247168</v>
      </c>
      <c r="H33" s="71" t="n">
        <v>334292.677138926</v>
      </c>
      <c r="I33" s="72" t="str">
        <f>H33-F33</f>
      </c>
      <c r="J33" s="73" t="str">
        <f>G33-E33</f>
      </c>
    </row>
    <row r="34">
      <c r="A34" t="s">
        <v>164</v>
      </c>
      <c r="B34" t="s">
        <v>166</v>
      </c>
      <c r="C34" s="67" t="n">
        <v>2029</v>
      </c>
      <c r="D34" t="s">
        <v>183</v>
      </c>
      <c r="E34" s="68" t="n">
        <v>627726.221101024</v>
      </c>
      <c r="F34" s="69" t="n">
        <v>367575.21238458</v>
      </c>
      <c r="G34" s="70" t="n">
        <v>627726.336898794</v>
      </c>
      <c r="H34" s="71" t="n">
        <v>367575.22274735</v>
      </c>
      <c r="I34" s="72" t="str">
        <f>H34-F34</f>
      </c>
      <c r="J34" s="73" t="str">
        <f>G34-E34</f>
      </c>
    </row>
    <row r="35">
      <c r="A35" t="s">
        <v>164</v>
      </c>
      <c r="B35" t="s">
        <v>166</v>
      </c>
      <c r="C35" s="67" t="n">
        <v>2029</v>
      </c>
      <c r="D35" t="s">
        <v>186</v>
      </c>
      <c r="E35" s="68" t="n">
        <v>450785.947076892</v>
      </c>
      <c r="F35" s="69" t="n">
        <v>231708.000242517</v>
      </c>
      <c r="G35" s="70" t="n">
        <v>450786.134013569</v>
      </c>
      <c r="H35" s="71" t="n">
        <v>231708.01887569</v>
      </c>
      <c r="I35" s="72" t="str">
        <f>H35-F35</f>
      </c>
      <c r="J35" s="73" t="str">
        <f>G35-E35</f>
      </c>
    </row>
    <row r="36">
      <c r="A36" t="s">
        <v>164</v>
      </c>
      <c r="B36" t="s">
        <v>166</v>
      </c>
      <c r="C36" s="67" t="n">
        <v>2029</v>
      </c>
      <c r="D36" t="s">
        <v>366</v>
      </c>
      <c r="E36" s="68" t="n">
        <v>44600.2614471972</v>
      </c>
      <c r="F36" s="69" t="n">
        <v>7178.2193159869</v>
      </c>
      <c r="G36" s="70" t="n">
        <v>44600.2614435955</v>
      </c>
      <c r="H36" s="71" t="n">
        <v>7178.21931597252</v>
      </c>
      <c r="I36" s="72" t="str">
        <f>H36-F36</f>
      </c>
      <c r="J36" s="73" t="str">
        <f>G36-E36</f>
      </c>
    </row>
    <row r="37">
      <c r="A37" t="s">
        <v>164</v>
      </c>
      <c r="B37" t="s">
        <v>166</v>
      </c>
      <c r="C37" s="67" t="n">
        <v>2030</v>
      </c>
      <c r="D37" t="s">
        <v>169</v>
      </c>
      <c r="E37" s="68" t="n">
        <v>14630.9215385934</v>
      </c>
      <c r="F37" s="69" t="n">
        <v>10630.2690687301</v>
      </c>
      <c r="G37" s="70" t="n">
        <v>14630.9263575645</v>
      </c>
      <c r="H37" s="71" t="n">
        <v>10630.2702680602</v>
      </c>
      <c r="I37" s="72" t="str">
        <f>H37-F37</f>
      </c>
      <c r="J37" s="73" t="str">
        <f>G37-E37</f>
      </c>
    </row>
    <row r="38">
      <c r="A38" t="s">
        <v>164</v>
      </c>
      <c r="B38" t="s">
        <v>166</v>
      </c>
      <c r="C38" s="67" t="n">
        <v>2030</v>
      </c>
      <c r="D38" t="s">
        <v>208</v>
      </c>
      <c r="E38" s="68" t="n">
        <v>1094956.84603236</v>
      </c>
      <c r="F38" s="69" t="n">
        <v>169314.834055646</v>
      </c>
      <c r="G38" s="70" t="n">
        <v>1094956.84444967</v>
      </c>
      <c r="H38" s="71" t="n">
        <v>169314.834038038</v>
      </c>
      <c r="I38" s="72" t="str">
        <f>H38-F38</f>
      </c>
      <c r="J38" s="73" t="str">
        <f>G38-E38</f>
      </c>
    </row>
    <row r="39">
      <c r="A39" t="s">
        <v>164</v>
      </c>
      <c r="B39" t="s">
        <v>166</v>
      </c>
      <c r="C39" s="67" t="n">
        <v>2030</v>
      </c>
      <c r="D39" t="s">
        <v>176</v>
      </c>
      <c r="E39" s="68" t="n">
        <v>108393.679494697</v>
      </c>
      <c r="F39" s="69" t="n">
        <v>73120.777325378</v>
      </c>
      <c r="G39" s="70" t="n">
        <v>108393.77376612</v>
      </c>
      <c r="H39" s="71" t="n">
        <v>73120.8011068864</v>
      </c>
      <c r="I39" s="72" t="str">
        <f>H39-F39</f>
      </c>
      <c r="J39" s="73" t="str">
        <f>G39-E39</f>
      </c>
    </row>
    <row r="40">
      <c r="A40" t="s">
        <v>164</v>
      </c>
      <c r="B40" t="s">
        <v>166</v>
      </c>
      <c r="C40" s="67" t="n">
        <v>2030</v>
      </c>
      <c r="D40" t="s">
        <v>180</v>
      </c>
      <c r="E40" s="68" t="n">
        <v>372741.601039933</v>
      </c>
      <c r="F40" s="69" t="n">
        <v>342889.537381731</v>
      </c>
      <c r="G40" s="70" t="n">
        <v>372741.795461264</v>
      </c>
      <c r="H40" s="71" t="n">
        <v>342889.635366394</v>
      </c>
      <c r="I40" s="72" t="str">
        <f>H40-F40</f>
      </c>
      <c r="J40" s="73" t="str">
        <f>G40-E40</f>
      </c>
    </row>
    <row r="41">
      <c r="A41" t="s">
        <v>164</v>
      </c>
      <c r="B41" t="s">
        <v>166</v>
      </c>
      <c r="C41" s="67" t="n">
        <v>2030</v>
      </c>
      <c r="D41" t="s">
        <v>183</v>
      </c>
      <c r="E41" s="68" t="n">
        <v>643154.064257592</v>
      </c>
      <c r="F41" s="69" t="n">
        <v>378940.214191494</v>
      </c>
      <c r="G41" s="70" t="n">
        <v>643154.211305628</v>
      </c>
      <c r="H41" s="71" t="n">
        <v>378940.231267445</v>
      </c>
      <c r="I41" s="72" t="str">
        <f>H41-F41</f>
      </c>
      <c r="J41" s="73" t="str">
        <f>G41-E41</f>
      </c>
    </row>
    <row r="42">
      <c r="A42" t="s">
        <v>164</v>
      </c>
      <c r="B42" t="s">
        <v>166</v>
      </c>
      <c r="C42" s="67" t="n">
        <v>2030</v>
      </c>
      <c r="D42" t="s">
        <v>186</v>
      </c>
      <c r="E42" s="68" t="n">
        <v>464360.278767429</v>
      </c>
      <c r="F42" s="69" t="n">
        <v>241310.279661547</v>
      </c>
      <c r="G42" s="70" t="n">
        <v>464360.518103772</v>
      </c>
      <c r="H42" s="71" t="n">
        <v>241310.309903655</v>
      </c>
      <c r="I42" s="72" t="str">
        <f>H42-F42</f>
      </c>
      <c r="J42" s="73" t="str">
        <f>G42-E42</f>
      </c>
    </row>
    <row r="43">
      <c r="A43" t="s">
        <v>164</v>
      </c>
      <c r="B43" t="s">
        <v>166</v>
      </c>
      <c r="C43" s="67" t="n">
        <v>2030</v>
      </c>
      <c r="D43" t="s">
        <v>366</v>
      </c>
      <c r="E43" s="68" t="n">
        <v>44647.2689235533</v>
      </c>
      <c r="F43" s="69" t="n">
        <v>7223.11031480652</v>
      </c>
      <c r="G43" s="70" t="n">
        <v>44647.268915283</v>
      </c>
      <c r="H43" s="71" t="n">
        <v>7223.11031474236</v>
      </c>
      <c r="I43" s="72" t="str">
        <f>H43-F43</f>
      </c>
      <c r="J43" s="73" t="str">
        <f>G43-E43</f>
      </c>
    </row>
    <row r="44">
      <c r="A44" t="s">
        <v>164</v>
      </c>
      <c r="B44" t="s">
        <v>166</v>
      </c>
      <c r="C44" s="67" t="n">
        <v>2031</v>
      </c>
      <c r="D44" t="s">
        <v>169</v>
      </c>
      <c r="E44" s="68" t="n">
        <v>15080.3776311077</v>
      </c>
      <c r="F44" s="69" t="n">
        <v>10955.4238129948</v>
      </c>
      <c r="G44" s="70" t="n">
        <v>15080.3825495532</v>
      </c>
      <c r="H44" s="71" t="n">
        <v>10955.4255331558</v>
      </c>
      <c r="I44" s="72" t="str">
        <f>H44-F44</f>
      </c>
      <c r="J44" s="73" t="str">
        <f>G44-E44</f>
      </c>
    </row>
    <row r="45">
      <c r="A45" t="s">
        <v>164</v>
      </c>
      <c r="B45" t="s">
        <v>166</v>
      </c>
      <c r="C45" s="67" t="n">
        <v>2031</v>
      </c>
      <c r="D45" t="s">
        <v>208</v>
      </c>
      <c r="E45" s="68" t="n">
        <v>1107027.69455132</v>
      </c>
      <c r="F45" s="69" t="n">
        <v>177510.906245303</v>
      </c>
      <c r="G45" s="70" t="n">
        <v>1107027.69162894</v>
      </c>
      <c r="H45" s="71" t="n">
        <v>177510.906196669</v>
      </c>
      <c r="I45" s="72" t="str">
        <f>H45-F45</f>
      </c>
      <c r="J45" s="73" t="str">
        <f>G45-E45</f>
      </c>
    </row>
    <row r="46">
      <c r="A46" t="s">
        <v>164</v>
      </c>
      <c r="B46" t="s">
        <v>166</v>
      </c>
      <c r="C46" s="67" t="n">
        <v>2031</v>
      </c>
      <c r="D46" t="s">
        <v>176</v>
      </c>
      <c r="E46" s="68" t="n">
        <v>111632.850930648</v>
      </c>
      <c r="F46" s="69" t="n">
        <v>75230.1856847786</v>
      </c>
      <c r="G46" s="70" t="n">
        <v>111632.947554352</v>
      </c>
      <c r="H46" s="71" t="n">
        <v>75230.219664338</v>
      </c>
      <c r="I46" s="72" t="str">
        <f>H46-F46</f>
      </c>
      <c r="J46" s="73" t="str">
        <f>G46-E46</f>
      </c>
    </row>
    <row r="47">
      <c r="A47" t="s">
        <v>164</v>
      </c>
      <c r="B47" t="s">
        <v>166</v>
      </c>
      <c r="C47" s="67" t="n">
        <v>2031</v>
      </c>
      <c r="D47" t="s">
        <v>180</v>
      </c>
      <c r="E47" s="68" t="n">
        <v>381470.068846242</v>
      </c>
      <c r="F47" s="69" t="n">
        <v>351432.386208093</v>
      </c>
      <c r="G47" s="70" t="n">
        <v>381470.266781021</v>
      </c>
      <c r="H47" s="71" t="n">
        <v>351432.518672951</v>
      </c>
      <c r="I47" s="72" t="str">
        <f>H47-F47</f>
      </c>
      <c r="J47" s="73" t="str">
        <f>G47-E47</f>
      </c>
    </row>
    <row r="48">
      <c r="A48" t="s">
        <v>164</v>
      </c>
      <c r="B48" t="s">
        <v>166</v>
      </c>
      <c r="C48" s="67" t="n">
        <v>2031</v>
      </c>
      <c r="D48" t="s">
        <v>183</v>
      </c>
      <c r="E48" s="68" t="n">
        <v>658282.001244931</v>
      </c>
      <c r="F48" s="69" t="n">
        <v>390180.977735205</v>
      </c>
      <c r="G48" s="70" t="n">
        <v>658282.149268814</v>
      </c>
      <c r="H48" s="71" t="n">
        <v>390181.003020302</v>
      </c>
      <c r="I48" s="72" t="str">
        <f>H48-F48</f>
      </c>
      <c r="J48" s="73" t="str">
        <f>G48-E48</f>
      </c>
    </row>
    <row r="49">
      <c r="A49" t="s">
        <v>164</v>
      </c>
      <c r="B49" t="s">
        <v>166</v>
      </c>
      <c r="C49" s="67" t="n">
        <v>2031</v>
      </c>
      <c r="D49" t="s">
        <v>186</v>
      </c>
      <c r="E49" s="68" t="n">
        <v>477777.90264961</v>
      </c>
      <c r="F49" s="69" t="n">
        <v>250815.738372829</v>
      </c>
      <c r="G49" s="70" t="n">
        <v>477778.146047482</v>
      </c>
      <c r="H49" s="71" t="n">
        <v>250815.782662592</v>
      </c>
      <c r="I49" s="72" t="str">
        <f>H49-F49</f>
      </c>
      <c r="J49" s="73" t="str">
        <f>G49-E49</f>
      </c>
    </row>
    <row r="50">
      <c r="A50" t="s">
        <v>164</v>
      </c>
      <c r="B50" t="s">
        <v>166</v>
      </c>
      <c r="C50" s="67" t="n">
        <v>2031</v>
      </c>
      <c r="D50" t="s">
        <v>366</v>
      </c>
      <c r="E50" s="68" t="n">
        <v>44640.3473108673</v>
      </c>
      <c r="F50" s="69" t="n">
        <v>7266.76600038149</v>
      </c>
      <c r="G50" s="70" t="n">
        <v>44640.3472954778</v>
      </c>
      <c r="H50" s="71" t="n">
        <v>7266.76600020754</v>
      </c>
      <c r="I50" s="72" t="str">
        <f>H50-F50</f>
      </c>
      <c r="J50" s="73" t="str">
        <f>G50-E50</f>
      </c>
    </row>
    <row r="51">
      <c r="A51" t="s">
        <v>164</v>
      </c>
      <c r="B51" t="s">
        <v>166</v>
      </c>
      <c r="C51" s="67" t="n">
        <v>2032</v>
      </c>
      <c r="D51" t="s">
        <v>169</v>
      </c>
      <c r="E51" s="68" t="n">
        <v>15531.2552012583</v>
      </c>
      <c r="F51" s="69" t="n">
        <v>11274.4933119521</v>
      </c>
      <c r="G51" s="70" t="n">
        <v>15531.2601955666</v>
      </c>
      <c r="H51" s="71" t="n">
        <v>11274.4954497352</v>
      </c>
      <c r="I51" s="72" t="str">
        <f>H51-F51</f>
      </c>
      <c r="J51" s="73" t="str">
        <f>G51-E51</f>
      </c>
    </row>
    <row r="52">
      <c r="A52" t="s">
        <v>164</v>
      </c>
      <c r="B52" t="s">
        <v>166</v>
      </c>
      <c r="C52" s="67" t="n">
        <v>2032</v>
      </c>
      <c r="D52" t="s">
        <v>208</v>
      </c>
      <c r="E52" s="68" t="n">
        <v>1118477.33226439</v>
      </c>
      <c r="F52" s="69" t="n">
        <v>185725.999164088</v>
      </c>
      <c r="G52" s="70" t="n">
        <v>1118477.32749824</v>
      </c>
      <c r="H52" s="71" t="n">
        <v>185725.999058801</v>
      </c>
      <c r="I52" s="72" t="str">
        <f>H52-F52</f>
      </c>
      <c r="J52" s="73" t="str">
        <f>G52-E52</f>
      </c>
    </row>
    <row r="53">
      <c r="A53" t="s">
        <v>164</v>
      </c>
      <c r="B53" t="s">
        <v>166</v>
      </c>
      <c r="C53" s="67" t="n">
        <v>2032</v>
      </c>
      <c r="D53" t="s">
        <v>176</v>
      </c>
      <c r="E53" s="68" t="n">
        <v>114835.122985953</v>
      </c>
      <c r="F53" s="69" t="n">
        <v>77353.0188330512</v>
      </c>
      <c r="G53" s="70" t="n">
        <v>114835.221802653</v>
      </c>
      <c r="H53" s="71" t="n">
        <v>77353.0610239329</v>
      </c>
      <c r="I53" s="72" t="str">
        <f>H53-F53</f>
      </c>
      <c r="J53" s="73" t="str">
        <f>G53-E53</f>
      </c>
    </row>
    <row r="54">
      <c r="A54" t="s">
        <v>164</v>
      </c>
      <c r="B54" t="s">
        <v>166</v>
      </c>
      <c r="C54" s="67" t="n">
        <v>2032</v>
      </c>
      <c r="D54" t="s">
        <v>180</v>
      </c>
      <c r="E54" s="68" t="n">
        <v>389998.17553346</v>
      </c>
      <c r="F54" s="69" t="n">
        <v>359834.395769372</v>
      </c>
      <c r="G54" s="70" t="n">
        <v>389998.376688754</v>
      </c>
      <c r="H54" s="71" t="n">
        <v>359834.546852866</v>
      </c>
      <c r="I54" s="72" t="str">
        <f>H54-F54</f>
      </c>
      <c r="J54" s="73" t="str">
        <f>G54-E54</f>
      </c>
    </row>
    <row r="55">
      <c r="A55" t="s">
        <v>164</v>
      </c>
      <c r="B55" t="s">
        <v>166</v>
      </c>
      <c r="C55" s="67" t="n">
        <v>2032</v>
      </c>
      <c r="D55" t="s">
        <v>183</v>
      </c>
      <c r="E55" s="68" t="n">
        <v>673133.739901292</v>
      </c>
      <c r="F55" s="69" t="n">
        <v>401318.253394646</v>
      </c>
      <c r="G55" s="70" t="n">
        <v>673133.888273266</v>
      </c>
      <c r="H55" s="71" t="n">
        <v>401318.286193472</v>
      </c>
      <c r="I55" s="72" t="str">
        <f>H55-F55</f>
      </c>
      <c r="J55" s="73" t="str">
        <f>G55-E55</f>
      </c>
    </row>
    <row r="56">
      <c r="A56" t="s">
        <v>164</v>
      </c>
      <c r="B56" t="s">
        <v>166</v>
      </c>
      <c r="C56" s="67" t="n">
        <v>2032</v>
      </c>
      <c r="D56" t="s">
        <v>186</v>
      </c>
      <c r="E56" s="68" t="n">
        <v>490904.456585374</v>
      </c>
      <c r="F56" s="69" t="n">
        <v>260346.881022315</v>
      </c>
      <c r="G56" s="70" t="n">
        <v>490904.70344578</v>
      </c>
      <c r="H56" s="71" t="n">
        <v>260346.937343717</v>
      </c>
      <c r="I56" s="72" t="str">
        <f>H56-F56</f>
      </c>
      <c r="J56" s="73" t="str">
        <f>G56-E56</f>
      </c>
    </row>
    <row r="57">
      <c r="A57" t="s">
        <v>164</v>
      </c>
      <c r="B57" t="s">
        <v>166</v>
      </c>
      <c r="C57" s="67" t="n">
        <v>2032</v>
      </c>
      <c r="D57" t="s">
        <v>366</v>
      </c>
      <c r="E57" s="68" t="n">
        <v>44583.2455268746</v>
      </c>
      <c r="F57" s="69" t="n">
        <v>7308.68956870968</v>
      </c>
      <c r="G57" s="70" t="n">
        <v>44583.2455015959</v>
      </c>
      <c r="H57" s="71" t="n">
        <v>7308.68956833998</v>
      </c>
      <c r="I57" s="72" t="str">
        <f>H57-F57</f>
      </c>
      <c r="J57" s="73" t="str">
        <f>G57-E57</f>
      </c>
    </row>
    <row r="58">
      <c r="A58" t="s">
        <v>164</v>
      </c>
      <c r="B58" t="s">
        <v>166</v>
      </c>
      <c r="C58" s="67" t="n">
        <v>2033</v>
      </c>
      <c r="D58" t="s">
        <v>169</v>
      </c>
      <c r="E58" s="68" t="n">
        <v>15983.7124837361</v>
      </c>
      <c r="F58" s="69" t="n">
        <v>11586.9310959175</v>
      </c>
      <c r="G58" s="70" t="n">
        <v>15983.7175379286</v>
      </c>
      <c r="H58" s="71" t="n">
        <v>11586.9335708044</v>
      </c>
      <c r="I58" s="72" t="str">
        <f>H58-F58</f>
      </c>
      <c r="J58" s="73" t="str">
        <f>G58-E58</f>
      </c>
    </row>
    <row r="59">
      <c r="A59" t="s">
        <v>164</v>
      </c>
      <c r="B59" t="s">
        <v>166</v>
      </c>
      <c r="C59" s="67" t="n">
        <v>2033</v>
      </c>
      <c r="D59" t="s">
        <v>208</v>
      </c>
      <c r="E59" s="68" t="n">
        <v>1129233.48537398</v>
      </c>
      <c r="F59" s="69" t="n">
        <v>193953.224420247</v>
      </c>
      <c r="G59" s="70" t="n">
        <v>1129233.47845058</v>
      </c>
      <c r="H59" s="71" t="n">
        <v>193953.224223645</v>
      </c>
      <c r="I59" s="72" t="str">
        <f>H59-F59</f>
      </c>
      <c r="J59" s="73" t="str">
        <f>G59-E59</f>
      </c>
    </row>
    <row r="60">
      <c r="A60" t="s">
        <v>164</v>
      </c>
      <c r="B60" t="s">
        <v>166</v>
      </c>
      <c r="C60" s="67" t="n">
        <v>2033</v>
      </c>
      <c r="D60" t="s">
        <v>176</v>
      </c>
      <c r="E60" s="68" t="n">
        <v>117998.637545307</v>
      </c>
      <c r="F60" s="69" t="n">
        <v>79480.4272573095</v>
      </c>
      <c r="G60" s="70" t="n">
        <v>117998.738437442</v>
      </c>
      <c r="H60" s="71" t="n">
        <v>79480.4761690429</v>
      </c>
      <c r="I60" s="72" t="str">
        <f>H60-F60</f>
      </c>
      <c r="J60" s="73" t="str">
        <f>G60-E60</f>
      </c>
    </row>
    <row r="61">
      <c r="A61" t="s">
        <v>164</v>
      </c>
      <c r="B61" t="s">
        <v>166</v>
      </c>
      <c r="C61" s="67" t="n">
        <v>2033</v>
      </c>
      <c r="D61" t="s">
        <v>180</v>
      </c>
      <c r="E61" s="68" t="n">
        <v>398354.140862389</v>
      </c>
      <c r="F61" s="69" t="n">
        <v>368051.461016005</v>
      </c>
      <c r="G61" s="70" t="n">
        <v>398354.344992358</v>
      </c>
      <c r="H61" s="71" t="n">
        <v>368051.624575443</v>
      </c>
      <c r="I61" s="72" t="str">
        <f>H61-F61</f>
      </c>
      <c r="J61" s="73" t="str">
        <f>G61-E61</f>
      </c>
    </row>
    <row r="62">
      <c r="A62" t="s">
        <v>164</v>
      </c>
      <c r="B62" t="s">
        <v>166</v>
      </c>
      <c r="C62" s="67" t="n">
        <v>2033</v>
      </c>
      <c r="D62" t="s">
        <v>183</v>
      </c>
      <c r="E62" s="68" t="n">
        <v>687634.551245252</v>
      </c>
      <c r="F62" s="69" t="n">
        <v>412348.036029777</v>
      </c>
      <c r="G62" s="70" t="n">
        <v>687634.699546926</v>
      </c>
      <c r="H62" s="71" t="n">
        <v>412348.075678578</v>
      </c>
      <c r="I62" s="72" t="str">
        <f>H62-F62</f>
      </c>
      <c r="J62" s="73" t="str">
        <f>G62-E62</f>
      </c>
    </row>
    <row r="63">
      <c r="A63" t="s">
        <v>164</v>
      </c>
      <c r="B63" t="s">
        <v>166</v>
      </c>
      <c r="C63" s="67" t="n">
        <v>2033</v>
      </c>
      <c r="D63" t="s">
        <v>186</v>
      </c>
      <c r="E63" s="68" t="n">
        <v>503750.859522374</v>
      </c>
      <c r="F63" s="69" t="n">
        <v>269883.340561084</v>
      </c>
      <c r="G63" s="70" t="n">
        <v>503751.109420694</v>
      </c>
      <c r="H63" s="71" t="n">
        <v>269883.407599987</v>
      </c>
      <c r="I63" s="72" t="str">
        <f>H63-F63</f>
      </c>
      <c r="J63" s="73" t="str">
        <f>G63-E63</f>
      </c>
    </row>
    <row r="64">
      <c r="A64" t="s">
        <v>164</v>
      </c>
      <c r="B64" t="s">
        <v>166</v>
      </c>
      <c r="C64" s="67" t="n">
        <v>2033</v>
      </c>
      <c r="D64" t="s">
        <v>366</v>
      </c>
      <c r="E64" s="68" t="n">
        <v>44483.6836268045</v>
      </c>
      <c r="F64" s="69" t="n">
        <v>7348.07414799953</v>
      </c>
      <c r="G64" s="70" t="n">
        <v>44483.6835898413</v>
      </c>
      <c r="H64" s="71" t="n">
        <v>7348.07414732206</v>
      </c>
      <c r="I64" s="72" t="str">
        <f>H64-F64</f>
      </c>
      <c r="J64" s="73" t="str">
        <f>G64-E64</f>
      </c>
    </row>
    <row r="65">
      <c r="A65" t="s">
        <v>164</v>
      </c>
      <c r="B65" t="s">
        <v>166</v>
      </c>
      <c r="C65" s="67" t="n">
        <v>2034</v>
      </c>
      <c r="D65" t="s">
        <v>169</v>
      </c>
      <c r="E65" s="68" t="n">
        <v>16436.9261798885</v>
      </c>
      <c r="F65" s="69" t="n">
        <v>11896.3795699917</v>
      </c>
      <c r="G65" s="70" t="n">
        <v>16436.9312806497</v>
      </c>
      <c r="H65" s="71" t="n">
        <v>11896.3823187386</v>
      </c>
      <c r="I65" s="72" t="str">
        <f>H65-F65</f>
      </c>
      <c r="J65" s="73" t="str">
        <f>G65-E65</f>
      </c>
    </row>
    <row r="66">
      <c r="A66" t="s">
        <v>164</v>
      </c>
      <c r="B66" t="s">
        <v>166</v>
      </c>
      <c r="C66" s="67" t="n">
        <v>2034</v>
      </c>
      <c r="D66" t="s">
        <v>208</v>
      </c>
      <c r="E66" s="68" t="n">
        <v>1139357.02881723</v>
      </c>
      <c r="F66" s="69" t="n">
        <v>202147.270772894</v>
      </c>
      <c r="G66" s="70" t="n">
        <v>1139357.01951607</v>
      </c>
      <c r="H66" s="71" t="n">
        <v>202147.27044605</v>
      </c>
      <c r="I66" s="72" t="str">
        <f>H66-F66</f>
      </c>
      <c r="J66" s="73" t="str">
        <f>G66-E66</f>
      </c>
    </row>
    <row r="67">
      <c r="A67" t="s">
        <v>164</v>
      </c>
      <c r="B67" t="s">
        <v>166</v>
      </c>
      <c r="C67" s="67" t="n">
        <v>2034</v>
      </c>
      <c r="D67" t="s">
        <v>176</v>
      </c>
      <c r="E67" s="68" t="n">
        <v>121105.368986066</v>
      </c>
      <c r="F67" s="69" t="n">
        <v>81594.8937415714</v>
      </c>
      <c r="G67" s="70" t="n">
        <v>121105.471839437</v>
      </c>
      <c r="H67" s="71" t="n">
        <v>81594.9482339212</v>
      </c>
      <c r="I67" s="72" t="str">
        <f>H67-F67</f>
      </c>
      <c r="J67" s="73" t="str">
        <f>G67-E67</f>
      </c>
    </row>
    <row r="68">
      <c r="A68" t="s">
        <v>164</v>
      </c>
      <c r="B68" t="s">
        <v>166</v>
      </c>
      <c r="C68" s="67" t="n">
        <v>2034</v>
      </c>
      <c r="D68" t="s">
        <v>180</v>
      </c>
      <c r="E68" s="68" t="n">
        <v>406559.660465679</v>
      </c>
      <c r="F68" s="69" t="n">
        <v>376027.959626691</v>
      </c>
      <c r="G68" s="70" t="n">
        <v>406559.867353788</v>
      </c>
      <c r="H68" s="71" t="n">
        <v>376028.132278335</v>
      </c>
      <c r="I68" s="72" t="str">
        <f>H68-F68</f>
      </c>
      <c r="J68" s="73" t="str">
        <f>G68-E68</f>
      </c>
    </row>
    <row r="69">
      <c r="A69" t="s">
        <v>164</v>
      </c>
      <c r="B69" t="s">
        <v>166</v>
      </c>
      <c r="C69" s="67" t="n">
        <v>2034</v>
      </c>
      <c r="D69" t="s">
        <v>183</v>
      </c>
      <c r="E69" s="68" t="n">
        <v>701691.529473051</v>
      </c>
      <c r="F69" s="69" t="n">
        <v>423259.05470592</v>
      </c>
      <c r="G69" s="70" t="n">
        <v>701691.677358768</v>
      </c>
      <c r="H69" s="71" t="n">
        <v>423259.100590806</v>
      </c>
      <c r="I69" s="72" t="str">
        <f>H69-F69</f>
      </c>
      <c r="J69" s="73" t="str">
        <f>G69-E69</f>
      </c>
    </row>
    <row r="70">
      <c r="A70" t="s">
        <v>164</v>
      </c>
      <c r="B70" t="s">
        <v>166</v>
      </c>
      <c r="C70" s="67" t="n">
        <v>2034</v>
      </c>
      <c r="D70" t="s">
        <v>186</v>
      </c>
      <c r="E70" s="68" t="n">
        <v>516406.285905752</v>
      </c>
      <c r="F70" s="69" t="n">
        <v>279484.903522064</v>
      </c>
      <c r="G70" s="70" t="n">
        <v>516406.53850878</v>
      </c>
      <c r="H70" s="71" t="n">
        <v>279484.980285229</v>
      </c>
      <c r="I70" s="72" t="str">
        <f>H70-F70</f>
      </c>
      <c r="J70" s="73" t="str">
        <f>G70-E70</f>
      </c>
    </row>
    <row r="71">
      <c r="A71" t="s">
        <v>164</v>
      </c>
      <c r="B71" t="s">
        <v>166</v>
      </c>
      <c r="C71" s="67" t="n">
        <v>2034</v>
      </c>
      <c r="D71" t="s">
        <v>366</v>
      </c>
      <c r="E71" s="68" t="n">
        <v>44355.184500152</v>
      </c>
      <c r="F71" s="69" t="n">
        <v>7385.04094785538</v>
      </c>
      <c r="G71" s="70" t="n">
        <v>44355.184450179</v>
      </c>
      <c r="H71" s="71" t="n">
        <v>7385.04094675217</v>
      </c>
      <c r="I71" s="72" t="str">
        <f>H71-F71</f>
      </c>
      <c r="J71" s="73" t="str">
        <f>G71-E71</f>
      </c>
    </row>
    <row r="72">
      <c r="A72" t="s">
        <v>164</v>
      </c>
      <c r="B72" t="s">
        <v>166</v>
      </c>
      <c r="C72" s="67" t="n">
        <v>2035</v>
      </c>
      <c r="D72" t="s">
        <v>169</v>
      </c>
      <c r="E72" s="68" t="n">
        <v>16892.2090027104</v>
      </c>
      <c r="F72" s="69" t="n">
        <v>12203.0547460646</v>
      </c>
      <c r="G72" s="70" t="n">
        <v>16892.2141390053</v>
      </c>
      <c r="H72" s="71" t="n">
        <v>12203.0577178634</v>
      </c>
      <c r="I72" s="72" t="str">
        <f>H72-F72</f>
      </c>
      <c r="J72" s="73" t="str">
        <f>G72-E72</f>
      </c>
    </row>
    <row r="73">
      <c r="A73" t="s">
        <v>164</v>
      </c>
      <c r="B73" t="s">
        <v>166</v>
      </c>
      <c r="C73" s="67" t="n">
        <v>2035</v>
      </c>
      <c r="D73" t="s">
        <v>208</v>
      </c>
      <c r="E73" s="68" t="n">
        <v>1148972.1775884</v>
      </c>
      <c r="F73" s="69" t="n">
        <v>210290.981025977</v>
      </c>
      <c r="G73" s="70" t="n">
        <v>1148972.16574985</v>
      </c>
      <c r="H73" s="71" t="n">
        <v>210290.980527925</v>
      </c>
      <c r="I73" s="72" t="str">
        <f>H73-F73</f>
      </c>
      <c r="J73" s="73" t="str">
        <f>G73-E73</f>
      </c>
    </row>
    <row r="74">
      <c r="A74" t="s">
        <v>164</v>
      </c>
      <c r="B74" t="s">
        <v>166</v>
      </c>
      <c r="C74" s="67" t="n">
        <v>2035</v>
      </c>
      <c r="D74" t="s">
        <v>176</v>
      </c>
      <c r="E74" s="68" t="n">
        <v>124148.10248868</v>
      </c>
      <c r="F74" s="69" t="n">
        <v>83695.0586869942</v>
      </c>
      <c r="G74" s="70" t="n">
        <v>124148.207195844</v>
      </c>
      <c r="H74" s="71" t="n">
        <v>83695.1178728798</v>
      </c>
      <c r="I74" s="72" t="str">
        <f>H74-F74</f>
      </c>
      <c r="J74" s="73" t="str">
        <f>G74-E74</f>
      </c>
    </row>
    <row r="75">
      <c r="A75" t="s">
        <v>164</v>
      </c>
      <c r="B75" t="s">
        <v>166</v>
      </c>
      <c r="C75" s="67" t="n">
        <v>2035</v>
      </c>
      <c r="D75" t="s">
        <v>180</v>
      </c>
      <c r="E75" s="68" t="n">
        <v>414532.951200177</v>
      </c>
      <c r="F75" s="69" t="n">
        <v>383788.582856579</v>
      </c>
      <c r="G75" s="70" t="n">
        <v>414533.160603145</v>
      </c>
      <c r="H75" s="71" t="n">
        <v>383788.762526672</v>
      </c>
      <c r="I75" s="72" t="str">
        <f>H75-F75</f>
      </c>
      <c r="J75" s="73" t="str">
        <f>G75-E75</f>
      </c>
    </row>
    <row r="76">
      <c r="A76" t="s">
        <v>164</v>
      </c>
      <c r="B76" t="s">
        <v>166</v>
      </c>
      <c r="C76" s="67" t="n">
        <v>2035</v>
      </c>
      <c r="D76" t="s">
        <v>183</v>
      </c>
      <c r="E76" s="68" t="n">
        <v>715331.6416268</v>
      </c>
      <c r="F76" s="69" t="n">
        <v>434081.97998684</v>
      </c>
      <c r="G76" s="70" t="n">
        <v>715331.788822102</v>
      </c>
      <c r="H76" s="71" t="n">
        <v>434082.031551195</v>
      </c>
      <c r="I76" s="72" t="str">
        <f>H76-F76</f>
      </c>
      <c r="J76" s="73" t="str">
        <f>G76-E76</f>
      </c>
    </row>
    <row r="77">
      <c r="A77" t="s">
        <v>164</v>
      </c>
      <c r="B77" t="s">
        <v>166</v>
      </c>
      <c r="C77" s="67" t="n">
        <v>2035</v>
      </c>
      <c r="D77" t="s">
        <v>186</v>
      </c>
      <c r="E77" s="68" t="n">
        <v>528818.116901484</v>
      </c>
      <c r="F77" s="69" t="n">
        <v>289150.716764849</v>
      </c>
      <c r="G77" s="70" t="n">
        <v>528818.371883953</v>
      </c>
      <c r="H77" s="71" t="n">
        <v>289150.802435983</v>
      </c>
      <c r="I77" s="72" t="str">
        <f>H77-F77</f>
      </c>
      <c r="J77" s="73" t="str">
        <f>G77-E77</f>
      </c>
    </row>
    <row r="78">
      <c r="A78" t="s">
        <v>164</v>
      </c>
      <c r="B78" t="s">
        <v>166</v>
      </c>
      <c r="C78" s="67" t="n">
        <v>2035</v>
      </c>
      <c r="D78" t="s">
        <v>366</v>
      </c>
      <c r="E78" s="68" t="n">
        <v>44206.7073707135</v>
      </c>
      <c r="F78" s="69" t="n">
        <v>7419.97885683768</v>
      </c>
      <c r="G78" s="70" t="n">
        <v>44206.7073067121</v>
      </c>
      <c r="H78" s="71" t="n">
        <v>7419.97885519321</v>
      </c>
      <c r="I78" s="72" t="str">
        <f>H78-F78</f>
      </c>
      <c r="J78" s="73" t="str">
        <f>G78-E78</f>
      </c>
    </row>
    <row r="79">
      <c r="A79" t="s">
        <v>164</v>
      </c>
      <c r="B79" t="s">
        <v>166</v>
      </c>
      <c r="C79" s="67" t="n">
        <v>2036</v>
      </c>
      <c r="D79" t="s">
        <v>169</v>
      </c>
      <c r="E79" s="68" t="n">
        <v>17350.6494643463</v>
      </c>
      <c r="F79" s="69" t="n">
        <v>12506.8989494926</v>
      </c>
      <c r="G79" s="70" t="n">
        <v>17350.6546269342</v>
      </c>
      <c r="H79" s="71" t="n">
        <v>12506.9021026876</v>
      </c>
      <c r="I79" s="72" t="str">
        <f>H79-F79</f>
      </c>
      <c r="J79" s="73" t="str">
        <f>G79-E79</f>
      </c>
    </row>
    <row r="80">
      <c r="A80" t="s">
        <v>164</v>
      </c>
      <c r="B80" t="s">
        <v>166</v>
      </c>
      <c r="C80" s="67" t="n">
        <v>2036</v>
      </c>
      <c r="D80" t="s">
        <v>208</v>
      </c>
      <c r="E80" s="68" t="n">
        <v>1158266.15225057</v>
      </c>
      <c r="F80" s="69" t="n">
        <v>218370.688286744</v>
      </c>
      <c r="G80" s="70" t="n">
        <v>1158266.13775829</v>
      </c>
      <c r="H80" s="71" t="n">
        <v>218370.687575925</v>
      </c>
      <c r="I80" s="72" t="str">
        <f>H80-F80</f>
      </c>
      <c r="J80" s="73" t="str">
        <f>G80-E80</f>
      </c>
    </row>
    <row r="81">
      <c r="A81" t="s">
        <v>164</v>
      </c>
      <c r="B81" t="s">
        <v>166</v>
      </c>
      <c r="C81" s="67" t="n">
        <v>2036</v>
      </c>
      <c r="D81" t="s">
        <v>176</v>
      </c>
      <c r="E81" s="68" t="n">
        <v>127138.344612441</v>
      </c>
      <c r="F81" s="69" t="n">
        <v>85765.5015691977</v>
      </c>
      <c r="G81" s="70" t="n">
        <v>127138.451085333</v>
      </c>
      <c r="H81" s="71" t="n">
        <v>85765.5647353171</v>
      </c>
      <c r="I81" s="72" t="str">
        <f>H81-F81</f>
      </c>
      <c r="J81" s="73" t="str">
        <f>G81-E81</f>
      </c>
    </row>
    <row r="82">
      <c r="A82" t="s">
        <v>164</v>
      </c>
      <c r="B82" t="s">
        <v>166</v>
      </c>
      <c r="C82" s="67" t="n">
        <v>2036</v>
      </c>
      <c r="D82" t="s">
        <v>180</v>
      </c>
      <c r="E82" s="68" t="n">
        <v>422232.448252614</v>
      </c>
      <c r="F82" s="69" t="n">
        <v>391285.77046168</v>
      </c>
      <c r="G82" s="70" t="n">
        <v>422232.659922133</v>
      </c>
      <c r="H82" s="71" t="n">
        <v>391285.955739587</v>
      </c>
      <c r="I82" s="72" t="str">
        <f>H82-F82</f>
      </c>
      <c r="J82" s="73" t="str">
        <f>G82-E82</f>
      </c>
    </row>
    <row r="83">
      <c r="A83" t="s">
        <v>164</v>
      </c>
      <c r="B83" t="s">
        <v>166</v>
      </c>
      <c r="C83" s="67" t="n">
        <v>2036</v>
      </c>
      <c r="D83" t="s">
        <v>183</v>
      </c>
      <c r="E83" s="68" t="n">
        <v>728531.46388548</v>
      </c>
      <c r="F83" s="69" t="n">
        <v>444747.850832186</v>
      </c>
      <c r="G83" s="70" t="n">
        <v>728531.610160843</v>
      </c>
      <c r="H83" s="71" t="n">
        <v>444747.907566169</v>
      </c>
      <c r="I83" s="72" t="str">
        <f>H83-F83</f>
      </c>
      <c r="J83" s="73" t="str">
        <f>G83-E83</f>
      </c>
    </row>
    <row r="84">
      <c r="A84" t="s">
        <v>164</v>
      </c>
      <c r="B84" t="s">
        <v>166</v>
      </c>
      <c r="C84" s="67" t="n">
        <v>2036</v>
      </c>
      <c r="D84" t="s">
        <v>186</v>
      </c>
      <c r="E84" s="68" t="n">
        <v>541052.023677809</v>
      </c>
      <c r="F84" s="69" t="n">
        <v>298879.517430718</v>
      </c>
      <c r="G84" s="70" t="n">
        <v>541052.28077363</v>
      </c>
      <c r="H84" s="71" t="n">
        <v>298879.611309733</v>
      </c>
      <c r="I84" s="72" t="str">
        <f>H84-F84</f>
      </c>
      <c r="J84" s="73" t="str">
        <f>G84-E84</f>
      </c>
    </row>
    <row r="85">
      <c r="A85" t="s">
        <v>164</v>
      </c>
      <c r="B85" t="s">
        <v>166</v>
      </c>
      <c r="C85" s="67" t="n">
        <v>2036</v>
      </c>
      <c r="D85" t="s">
        <v>366</v>
      </c>
      <c r="E85" s="68" t="n">
        <v>44049.9984570921</v>
      </c>
      <c r="F85" s="69" t="n">
        <v>7453.33512944566</v>
      </c>
      <c r="G85" s="70" t="n">
        <v>44049.9983782722</v>
      </c>
      <c r="H85" s="71" t="n">
        <v>7453.3351271514</v>
      </c>
      <c r="I85" s="72" t="str">
        <f>H85-F85</f>
      </c>
      <c r="J85" s="73" t="str">
        <f>G85-E85</f>
      </c>
    </row>
    <row r="86">
      <c r="A86" t="s">
        <v>164</v>
      </c>
      <c r="B86" t="s">
        <v>166</v>
      </c>
      <c r="C86" s="67" t="n">
        <v>2037</v>
      </c>
      <c r="D86" t="s">
        <v>169</v>
      </c>
      <c r="E86" s="68" t="n">
        <v>17812.4983472295</v>
      </c>
      <c r="F86" s="69" t="n">
        <v>12807.4979680993</v>
      </c>
      <c r="G86" s="70" t="n">
        <v>17812.5035281772</v>
      </c>
      <c r="H86" s="71" t="n">
        <v>12807.5012683992</v>
      </c>
      <c r="I86" s="72" t="str">
        <f>H86-F86</f>
      </c>
      <c r="J86" s="73" t="str">
        <f>G86-E86</f>
      </c>
    </row>
    <row r="87">
      <c r="A87" t="s">
        <v>164</v>
      </c>
      <c r="B87" t="s">
        <v>166</v>
      </c>
      <c r="C87" s="67" t="n">
        <v>2037</v>
      </c>
      <c r="D87" t="s">
        <v>208</v>
      </c>
      <c r="E87" s="68" t="n">
        <v>1167364.68263991</v>
      </c>
      <c r="F87" s="69" t="n">
        <v>226373.366591134</v>
      </c>
      <c r="G87" s="70" t="n">
        <v>1167364.66541375</v>
      </c>
      <c r="H87" s="71" t="n">
        <v>226373.365626062</v>
      </c>
      <c r="I87" s="72" t="str">
        <f>H87-F87</f>
      </c>
      <c r="J87" s="73" t="str">
        <f>G87-E87</f>
      </c>
    </row>
    <row r="88">
      <c r="A88" t="s">
        <v>164</v>
      </c>
      <c r="B88" t="s">
        <v>166</v>
      </c>
      <c r="C88" s="67" t="n">
        <v>2037</v>
      </c>
      <c r="D88" t="s">
        <v>176</v>
      </c>
      <c r="E88" s="68" t="n">
        <v>130092.004794103</v>
      </c>
      <c r="F88" s="69" t="n">
        <v>87785.807349532</v>
      </c>
      <c r="G88" s="70" t="n">
        <v>130092.112965313</v>
      </c>
      <c r="H88" s="71" t="n">
        <v>87785.8739142287</v>
      </c>
      <c r="I88" s="72" t="str">
        <f>H88-F88</f>
      </c>
      <c r="J88" s="73" t="str">
        <f>G88-E88</f>
      </c>
    </row>
    <row r="89">
      <c r="A89" t="s">
        <v>164</v>
      </c>
      <c r="B89" t="s">
        <v>166</v>
      </c>
      <c r="C89" s="67" t="n">
        <v>2037</v>
      </c>
      <c r="D89" t="s">
        <v>180</v>
      </c>
      <c r="E89" s="68" t="n">
        <v>429674.46561101</v>
      </c>
      <c r="F89" s="69" t="n">
        <v>398473.623511255</v>
      </c>
      <c r="G89" s="70" t="n">
        <v>429674.679324948</v>
      </c>
      <c r="H89" s="71" t="n">
        <v>398473.813386608</v>
      </c>
      <c r="I89" s="72" t="str">
        <f>H89-F89</f>
      </c>
      <c r="J89" s="73" t="str">
        <f>G89-E89</f>
      </c>
    </row>
    <row r="90">
      <c r="A90" t="s">
        <v>164</v>
      </c>
      <c r="B90" t="s">
        <v>166</v>
      </c>
      <c r="C90" s="67" t="n">
        <v>2037</v>
      </c>
      <c r="D90" t="s">
        <v>183</v>
      </c>
      <c r="E90" s="68" t="n">
        <v>741261.282085385</v>
      </c>
      <c r="F90" s="69" t="n">
        <v>455168.123116981</v>
      </c>
      <c r="G90" s="70" t="n">
        <v>741261.427234993</v>
      </c>
      <c r="H90" s="71" t="n">
        <v>455168.184528758</v>
      </c>
      <c r="I90" s="72" t="str">
        <f>H90-F90</f>
      </c>
      <c r="J90" s="73" t="str">
        <f>G90-E90</f>
      </c>
    </row>
    <row r="91">
      <c r="A91" t="s">
        <v>164</v>
      </c>
      <c r="B91" t="s">
        <v>166</v>
      </c>
      <c r="C91" s="67" t="n">
        <v>2037</v>
      </c>
      <c r="D91" t="s">
        <v>186</v>
      </c>
      <c r="E91" s="68" t="n">
        <v>553258.258719442</v>
      </c>
      <c r="F91" s="69" t="n">
        <v>308665.942081635</v>
      </c>
      <c r="G91" s="70" t="n">
        <v>553258.517761357</v>
      </c>
      <c r="H91" s="71" t="n">
        <v>308666.043562302</v>
      </c>
      <c r="I91" s="72" t="str">
        <f>H91-F91</f>
      </c>
      <c r="J91" s="73" t="str">
        <f>G91-E91</f>
      </c>
    </row>
    <row r="92">
      <c r="A92" t="s">
        <v>164</v>
      </c>
      <c r="B92" t="s">
        <v>166</v>
      </c>
      <c r="C92" s="67" t="n">
        <v>2037</v>
      </c>
      <c r="D92" t="s">
        <v>366</v>
      </c>
      <c r="E92" s="68" t="n">
        <v>43886.4967340113</v>
      </c>
      <c r="F92" s="69" t="n">
        <v>7485.63946165535</v>
      </c>
      <c r="G92" s="70" t="n">
        <v>43886.4966397613</v>
      </c>
      <c r="H92" s="71" t="n">
        <v>7485.63945861012</v>
      </c>
      <c r="I92" s="72" t="str">
        <f>H92-F92</f>
      </c>
      <c r="J92" s="73" t="str">
        <f>G92-E92</f>
      </c>
    </row>
    <row r="93">
      <c r="A93" t="s">
        <v>164</v>
      </c>
      <c r="B93" t="s">
        <v>166</v>
      </c>
      <c r="C93" s="67" t="n">
        <v>2038</v>
      </c>
      <c r="D93" t="s">
        <v>169</v>
      </c>
      <c r="E93" s="68" t="n">
        <v>18278.6143394762</v>
      </c>
      <c r="F93" s="69" t="n">
        <v>13108.2552631602</v>
      </c>
      <c r="G93" s="70" t="n">
        <v>18278.6195315823</v>
      </c>
      <c r="H93" s="71" t="n">
        <v>13108.2586821674</v>
      </c>
      <c r="I93" s="72" t="str">
        <f>H93-F93</f>
      </c>
      <c r="J93" s="73" t="str">
        <f>G93-E93</f>
      </c>
    </row>
    <row r="94">
      <c r="A94" t="s">
        <v>164</v>
      </c>
      <c r="B94" t="s">
        <v>166</v>
      </c>
      <c r="C94" s="67" t="n">
        <v>2038</v>
      </c>
      <c r="D94" t="s">
        <v>208</v>
      </c>
      <c r="E94" s="68" t="n">
        <v>1176286.25007136</v>
      </c>
      <c r="F94" s="69" t="n">
        <v>234286.303663478</v>
      </c>
      <c r="G94" s="70" t="n">
        <v>1176286.23006217</v>
      </c>
      <c r="H94" s="71" t="n">
        <v>234286.302403295</v>
      </c>
      <c r="I94" s="72" t="str">
        <f>H94-F94</f>
      </c>
      <c r="J94" s="73" t="str">
        <f>G94-E94</f>
      </c>
    </row>
    <row r="95">
      <c r="A95" t="s">
        <v>164</v>
      </c>
      <c r="B95" t="s">
        <v>166</v>
      </c>
      <c r="C95" s="67" t="n">
        <v>2038</v>
      </c>
      <c r="D95" t="s">
        <v>176</v>
      </c>
      <c r="E95" s="68" t="n">
        <v>133004.661568618</v>
      </c>
      <c r="F95" s="69" t="n">
        <v>89762.8390051871</v>
      </c>
      <c r="G95" s="70" t="n">
        <v>133004.77137127</v>
      </c>
      <c r="H95" s="71" t="n">
        <v>89762.9085046272</v>
      </c>
      <c r="I95" s="72" t="str">
        <f>H95-F95</f>
      </c>
      <c r="J95" s="73" t="str">
        <f>G95-E95</f>
      </c>
    </row>
    <row r="96">
      <c r="A96" t="s">
        <v>164</v>
      </c>
      <c r="B96" t="s">
        <v>166</v>
      </c>
      <c r="C96" s="67" t="n">
        <v>2038</v>
      </c>
      <c r="D96" t="s">
        <v>180</v>
      </c>
      <c r="E96" s="68" t="n">
        <v>436878.143985124</v>
      </c>
      <c r="F96" s="69" t="n">
        <v>405384.76403805</v>
      </c>
      <c r="G96" s="70" t="n">
        <v>436878.359538317</v>
      </c>
      <c r="H96" s="71" t="n">
        <v>405384.957772321</v>
      </c>
      <c r="I96" s="72" t="str">
        <f>H96-F96</f>
      </c>
      <c r="J96" s="73" t="str">
        <f>G96-E96</f>
      </c>
    </row>
    <row r="97">
      <c r="A97" t="s">
        <v>164</v>
      </c>
      <c r="B97" t="s">
        <v>166</v>
      </c>
      <c r="C97" s="67" t="n">
        <v>2038</v>
      </c>
      <c r="D97" t="s">
        <v>183</v>
      </c>
      <c r="E97" s="68" t="n">
        <v>753560.678315975</v>
      </c>
      <c r="F97" s="69" t="n">
        <v>465342.852245061</v>
      </c>
      <c r="G97" s="70" t="n">
        <v>753560.822146793</v>
      </c>
      <c r="H97" s="71" t="n">
        <v>465342.91786371</v>
      </c>
      <c r="I97" s="72" t="str">
        <f>H97-F97</f>
      </c>
      <c r="J97" s="73" t="str">
        <f>G97-E97</f>
      </c>
    </row>
    <row r="98">
      <c r="A98" t="s">
        <v>164</v>
      </c>
      <c r="B98" t="s">
        <v>166</v>
      </c>
      <c r="C98" s="67" t="n">
        <v>2038</v>
      </c>
      <c r="D98" t="s">
        <v>186</v>
      </c>
      <c r="E98" s="68" t="n">
        <v>565403.497992495</v>
      </c>
      <c r="F98" s="69" t="n">
        <v>318460.913712918</v>
      </c>
      <c r="G98" s="70" t="n">
        <v>565403.758799385</v>
      </c>
      <c r="H98" s="71" t="n">
        <v>318461.022248122</v>
      </c>
      <c r="I98" s="72" t="str">
        <f>H98-F98</f>
      </c>
      <c r="J98" s="73" t="str">
        <f>G98-E98</f>
      </c>
    </row>
    <row r="99">
      <c r="A99" t="s">
        <v>164</v>
      </c>
      <c r="B99" t="s">
        <v>166</v>
      </c>
      <c r="C99" s="67" t="n">
        <v>2038</v>
      </c>
      <c r="D99" t="s">
        <v>366</v>
      </c>
      <c r="E99" s="68" t="n">
        <v>43730.7449608027</v>
      </c>
      <c r="F99" s="69" t="n">
        <v>7517.77035715991</v>
      </c>
      <c r="G99" s="70" t="n">
        <v>43730.7448506382</v>
      </c>
      <c r="H99" s="71" t="n">
        <v>7517.77035327065</v>
      </c>
      <c r="I99" s="72" t="str">
        <f>H99-F99</f>
      </c>
      <c r="J99" s="73" t="str">
        <f>G99-E99</f>
      </c>
    </row>
    <row r="100">
      <c r="A100" t="s">
        <v>164</v>
      </c>
      <c r="B100" t="s">
        <v>166</v>
      </c>
      <c r="C100" s="67" t="n">
        <v>2039</v>
      </c>
      <c r="D100" t="s">
        <v>169</v>
      </c>
      <c r="E100" s="68" t="n">
        <v>18752.0853015584</v>
      </c>
      <c r="F100" s="69" t="n">
        <v>13404.6661062824</v>
      </c>
      <c r="G100" s="70" t="n">
        <v>18752.090499403</v>
      </c>
      <c r="H100" s="71" t="n">
        <v>13404.6696202756</v>
      </c>
      <c r="I100" s="72" t="str">
        <f>H100-F100</f>
      </c>
      <c r="J100" s="73" t="str">
        <f>G100-E100</f>
      </c>
    </row>
    <row r="101">
      <c r="A101" t="s">
        <v>164</v>
      </c>
      <c r="B101" t="s">
        <v>166</v>
      </c>
      <c r="C101" s="67" t="n">
        <v>2039</v>
      </c>
      <c r="D101" t="s">
        <v>208</v>
      </c>
      <c r="E101" s="68" t="n">
        <v>1184738.41466062</v>
      </c>
      <c r="F101" s="69" t="n">
        <v>242132.192748146</v>
      </c>
      <c r="G101" s="70" t="n">
        <v>1184738.39184491</v>
      </c>
      <c r="H101" s="71" t="n">
        <v>242132.191153164</v>
      </c>
      <c r="I101" s="72" t="str">
        <f>H101-F101</f>
      </c>
      <c r="J101" s="73" t="str">
        <f>G101-E101</f>
      </c>
    </row>
    <row r="102">
      <c r="A102" t="s">
        <v>164</v>
      </c>
      <c r="B102" t="s">
        <v>166</v>
      </c>
      <c r="C102" s="67" t="n">
        <v>2039</v>
      </c>
      <c r="D102" t="s">
        <v>176</v>
      </c>
      <c r="E102" s="68" t="n">
        <v>135872.01999782</v>
      </c>
      <c r="F102" s="69" t="n">
        <v>91716.2942826104</v>
      </c>
      <c r="G102" s="70" t="n">
        <v>135872.13136763</v>
      </c>
      <c r="H102" s="71" t="n">
        <v>91716.3663536023</v>
      </c>
      <c r="I102" s="72" t="str">
        <f>H102-F102</f>
      </c>
      <c r="J102" s="73" t="str">
        <f>G102-E102</f>
      </c>
    </row>
    <row r="103">
      <c r="A103" t="s">
        <v>164</v>
      </c>
      <c r="B103" t="s">
        <v>166</v>
      </c>
      <c r="C103" s="67" t="n">
        <v>2039</v>
      </c>
      <c r="D103" t="s">
        <v>180</v>
      </c>
      <c r="E103" s="68" t="n">
        <v>443905.76350803</v>
      </c>
      <c r="F103" s="69" t="n">
        <v>412120.016450037</v>
      </c>
      <c r="G103" s="70" t="n">
        <v>443905.980748337</v>
      </c>
      <c r="H103" s="71" t="n">
        <v>412120.21350488</v>
      </c>
      <c r="I103" s="72" t="str">
        <f>H103-F103</f>
      </c>
      <c r="J103" s="73" t="str">
        <f>G103-E103</f>
      </c>
    </row>
    <row r="104">
      <c r="A104" t="s">
        <v>164</v>
      </c>
      <c r="B104" t="s">
        <v>166</v>
      </c>
      <c r="C104" s="67" t="n">
        <v>2039</v>
      </c>
      <c r="D104" t="s">
        <v>183</v>
      </c>
      <c r="E104" s="68" t="n">
        <v>765528.325463631</v>
      </c>
      <c r="F104" s="69" t="n">
        <v>475269.718158001</v>
      </c>
      <c r="G104" s="70" t="n">
        <v>765528.467838857</v>
      </c>
      <c r="H104" s="71" t="n">
        <v>475269.787528918</v>
      </c>
      <c r="I104" s="72" t="str">
        <f>H104-F104</f>
      </c>
      <c r="J104" s="73" t="str">
        <f>G104-E104</f>
      </c>
    </row>
    <row r="105">
      <c r="A105" t="s">
        <v>164</v>
      </c>
      <c r="B105" t="s">
        <v>166</v>
      </c>
      <c r="C105" s="67" t="n">
        <v>2039</v>
      </c>
      <c r="D105" t="s">
        <v>186</v>
      </c>
      <c r="E105" s="68" t="n">
        <v>577414.252010005</v>
      </c>
      <c r="F105" s="69" t="n">
        <v>328246.286185515</v>
      </c>
      <c r="G105" s="70" t="n">
        <v>577414.514396235</v>
      </c>
      <c r="H105" s="71" t="n">
        <v>328246.401276368</v>
      </c>
      <c r="I105" s="72" t="str">
        <f>H105-F105</f>
      </c>
      <c r="J105" s="73" t="str">
        <f>G105-E105</f>
      </c>
    </row>
    <row r="106">
      <c r="A106" t="s">
        <v>164</v>
      </c>
      <c r="B106" t="s">
        <v>166</v>
      </c>
      <c r="C106" s="67" t="n">
        <v>2039</v>
      </c>
      <c r="D106" t="s">
        <v>366</v>
      </c>
      <c r="E106" s="68" t="n">
        <v>43588.8455831198</v>
      </c>
      <c r="F106" s="69" t="n">
        <v>7547.5598656828</v>
      </c>
      <c r="G106" s="70" t="n">
        <v>43588.845456637</v>
      </c>
      <c r="H106" s="71" t="n">
        <v>7547.5598608641</v>
      </c>
      <c r="I106" s="72" t="str">
        <f>H106-F106</f>
      </c>
      <c r="J106" s="73" t="str">
        <f>G106-E106</f>
      </c>
    </row>
    <row r="107">
      <c r="A107" t="s">
        <v>164</v>
      </c>
      <c r="B107" t="s">
        <v>166</v>
      </c>
      <c r="C107" s="67" t="n">
        <v>2040</v>
      </c>
      <c r="D107" t="s">
        <v>169</v>
      </c>
      <c r="E107" s="68" t="n">
        <v>19235.7313436695</v>
      </c>
      <c r="F107" s="69" t="n">
        <v>13698.9685782804</v>
      </c>
      <c r="G107" s="70" t="n">
        <v>19235.7365429273</v>
      </c>
      <c r="H107" s="71" t="n">
        <v>13698.9721681132</v>
      </c>
      <c r="I107" s="72" t="str">
        <f>H107-F107</f>
      </c>
      <c r="J107" s="73" t="str">
        <f>G107-E107</f>
      </c>
    </row>
    <row r="108">
      <c r="A108" t="s">
        <v>164</v>
      </c>
      <c r="B108" t="s">
        <v>166</v>
      </c>
      <c r="C108" s="67" t="n">
        <v>2040</v>
      </c>
      <c r="D108" t="s">
        <v>208</v>
      </c>
      <c r="E108" s="68" t="n">
        <v>1192634.45569105</v>
      </c>
      <c r="F108" s="69" t="n">
        <v>249894.480795662</v>
      </c>
      <c r="G108" s="70" t="n">
        <v>1192634.43006365</v>
      </c>
      <c r="H108" s="71" t="n">
        <v>249894.478827588</v>
      </c>
      <c r="I108" s="72" t="str">
        <f>H108-F108</f>
      </c>
      <c r="J108" s="73" t="str">
        <f>G108-E108</f>
      </c>
    </row>
    <row r="109">
      <c r="A109" t="s">
        <v>164</v>
      </c>
      <c r="B109" t="s">
        <v>166</v>
      </c>
      <c r="C109" s="67" t="n">
        <v>2040</v>
      </c>
      <c r="D109" t="s">
        <v>176</v>
      </c>
      <c r="E109" s="68" t="n">
        <v>138689.683737308</v>
      </c>
      <c r="F109" s="69" t="n">
        <v>93636.8224183533</v>
      </c>
      <c r="G109" s="70" t="n">
        <v>138689.796610277</v>
      </c>
      <c r="H109" s="71" t="n">
        <v>93636.8967600593</v>
      </c>
      <c r="I109" s="72" t="str">
        <f>H109-F109</f>
      </c>
      <c r="J109" s="73" t="str">
        <f>G109-E109</f>
      </c>
    </row>
    <row r="110">
      <c r="A110" t="s">
        <v>164</v>
      </c>
      <c r="B110" t="s">
        <v>166</v>
      </c>
      <c r="C110" s="67" t="n">
        <v>2040</v>
      </c>
      <c r="D110" t="s">
        <v>180</v>
      </c>
      <c r="E110" s="68" t="n">
        <v>450841.54576552</v>
      </c>
      <c r="F110" s="69" t="n">
        <v>418620.709024627</v>
      </c>
      <c r="G110" s="70" t="n">
        <v>450841.764596063</v>
      </c>
      <c r="H110" s="71" t="n">
        <v>418620.908948174</v>
      </c>
      <c r="I110" s="72" t="str">
        <f>H110-F110</f>
      </c>
      <c r="J110" s="73" t="str">
        <f>G110-E110</f>
      </c>
    </row>
    <row r="111">
      <c r="A111" t="s">
        <v>164</v>
      </c>
      <c r="B111" t="s">
        <v>166</v>
      </c>
      <c r="C111" s="67" t="n">
        <v>2040</v>
      </c>
      <c r="D111" t="s">
        <v>183</v>
      </c>
      <c r="E111" s="68" t="n">
        <v>777088.355917095</v>
      </c>
      <c r="F111" s="69" t="n">
        <v>484947.032731698</v>
      </c>
      <c r="G111" s="70" t="n">
        <v>777088.496702091</v>
      </c>
      <c r="H111" s="71" t="n">
        <v>484947.105425179</v>
      </c>
      <c r="I111" s="72" t="str">
        <f>H111-F111</f>
      </c>
      <c r="J111" s="73" t="str">
        <f>G111-E111</f>
      </c>
    </row>
    <row r="112">
      <c r="A112" t="s">
        <v>164</v>
      </c>
      <c r="B112" t="s">
        <v>166</v>
      </c>
      <c r="C112" s="67" t="n">
        <v>2040</v>
      </c>
      <c r="D112" t="s">
        <v>186</v>
      </c>
      <c r="E112" s="68" t="n">
        <v>589359.470005594</v>
      </c>
      <c r="F112" s="69" t="n">
        <v>338038.88924118</v>
      </c>
      <c r="G112" s="70" t="n">
        <v>589359.733832842</v>
      </c>
      <c r="H112" s="71" t="n">
        <v>338039.010430446</v>
      </c>
      <c r="I112" s="72" t="str">
        <f>H112-F112</f>
      </c>
      <c r="J112" s="73" t="str">
        <f>G112-E112</f>
      </c>
    </row>
    <row r="113">
      <c r="A113" t="s">
        <v>164</v>
      </c>
      <c r="B113" t="s">
        <v>166</v>
      </c>
      <c r="C113" s="67" t="n">
        <v>2040</v>
      </c>
      <c r="D113" t="s">
        <v>366</v>
      </c>
      <c r="E113" s="68" t="n">
        <v>43464.8598250319</v>
      </c>
      <c r="F113" s="69" t="n">
        <v>7573.72556665354</v>
      </c>
      <c r="G113" s="70" t="n">
        <v>43464.8596818836</v>
      </c>
      <c r="H113" s="71" t="n">
        <v>7573.72556082699</v>
      </c>
      <c r="I113" s="72" t="str">
        <f>H113-F113</f>
      </c>
      <c r="J113" s="73" t="str">
        <f>G113-E113</f>
      </c>
    </row>
    <row r="114">
      <c r="A114" t="s">
        <v>164</v>
      </c>
      <c r="B114" t="s">
        <v>166</v>
      </c>
      <c r="C114" s="67" t="n">
        <v>2041</v>
      </c>
      <c r="D114" t="s">
        <v>169</v>
      </c>
      <c r="E114" s="68" t="n">
        <v>19727.2782903679</v>
      </c>
      <c r="F114" s="69" t="n">
        <v>13991.6030401705</v>
      </c>
      <c r="G114" s="70" t="n">
        <v>19727.283486384</v>
      </c>
      <c r="H114" s="71" t="n">
        <v>13991.6066902828</v>
      </c>
      <c r="I114" s="72" t="str">
        <f>H114-F114</f>
      </c>
      <c r="J114" s="73" t="str">
        <f>G114-E114</f>
      </c>
    </row>
    <row r="115">
      <c r="A115" t="s">
        <v>164</v>
      </c>
      <c r="B115" t="s">
        <v>166</v>
      </c>
      <c r="C115" s="67" t="n">
        <v>2041</v>
      </c>
      <c r="D115" t="s">
        <v>208</v>
      </c>
      <c r="E115" s="68" t="n">
        <v>1199988.20429688</v>
      </c>
      <c r="F115" s="69" t="n">
        <v>257599.046381323</v>
      </c>
      <c r="G115" s="70" t="n">
        <v>1199988.17586749</v>
      </c>
      <c r="H115" s="71" t="n">
        <v>257599.044002988</v>
      </c>
      <c r="I115" s="72" t="str">
        <f>H115-F115</f>
      </c>
      <c r="J115" s="73" t="str">
        <f>G115-E115</f>
      </c>
    </row>
    <row r="116">
      <c r="A116" t="s">
        <v>164</v>
      </c>
      <c r="B116" t="s">
        <v>166</v>
      </c>
      <c r="C116" s="67" t="n">
        <v>2041</v>
      </c>
      <c r="D116" t="s">
        <v>176</v>
      </c>
      <c r="E116" s="68" t="n">
        <v>141475.456522675</v>
      </c>
      <c r="F116" s="69" t="n">
        <v>95526.9300103748</v>
      </c>
      <c r="G116" s="70" t="n">
        <v>141475.570851386</v>
      </c>
      <c r="H116" s="71" t="n">
        <v>95527.0063786807</v>
      </c>
      <c r="I116" s="72" t="str">
        <f>H116-F116</f>
      </c>
      <c r="J116" s="73" t="str">
        <f>G116-E116</f>
      </c>
    </row>
    <row r="117">
      <c r="A117" t="s">
        <v>164</v>
      </c>
      <c r="B117" t="s">
        <v>166</v>
      </c>
      <c r="C117" s="67" t="n">
        <v>2041</v>
      </c>
      <c r="D117" t="s">
        <v>180</v>
      </c>
      <c r="E117" s="68" t="n">
        <v>457697.907795915</v>
      </c>
      <c r="F117" s="69" t="n">
        <v>425005.574731922</v>
      </c>
      <c r="G117" s="70" t="n">
        <v>457698.128134802</v>
      </c>
      <c r="H117" s="71" t="n">
        <v>425005.77720965</v>
      </c>
      <c r="I117" s="72" t="str">
        <f>H117-F117</f>
      </c>
      <c r="J117" s="73" t="str">
        <f>G117-E117</f>
      </c>
    </row>
    <row r="118">
      <c r="A118" t="s">
        <v>164</v>
      </c>
      <c r="B118" t="s">
        <v>166</v>
      </c>
      <c r="C118" s="67" t="n">
        <v>2041</v>
      </c>
      <c r="D118" t="s">
        <v>183</v>
      </c>
      <c r="E118" s="68" t="n">
        <v>788293.103684978</v>
      </c>
      <c r="F118" s="69" t="n">
        <v>494390.79763645</v>
      </c>
      <c r="G118" s="70" t="n">
        <v>788293.242756689</v>
      </c>
      <c r="H118" s="71" t="n">
        <v>494390.873248259</v>
      </c>
      <c r="I118" s="72" t="str">
        <f>H118-F118</f>
      </c>
      <c r="J118" s="73" t="str">
        <f>G118-E118</f>
      </c>
    </row>
    <row r="119">
      <c r="A119" t="s">
        <v>164</v>
      </c>
      <c r="B119" t="s">
        <v>166</v>
      </c>
      <c r="C119" s="67" t="n">
        <v>2041</v>
      </c>
      <c r="D119" t="s">
        <v>186</v>
      </c>
      <c r="E119" s="68" t="n">
        <v>601155.075839703</v>
      </c>
      <c r="F119" s="69" t="n">
        <v>347924.639428445</v>
      </c>
      <c r="G119" s="70" t="n">
        <v>601155.340946961</v>
      </c>
      <c r="H119" s="71" t="n">
        <v>347924.766327078</v>
      </c>
      <c r="I119" s="72" t="str">
        <f>H119-F119</f>
      </c>
      <c r="J119" s="73" t="str">
        <f>G119-E119</f>
      </c>
    </row>
    <row r="120">
      <c r="A120" t="s">
        <v>164</v>
      </c>
      <c r="B120" t="s">
        <v>166</v>
      </c>
      <c r="C120" s="67" t="n">
        <v>2041</v>
      </c>
      <c r="D120" t="s">
        <v>366</v>
      </c>
      <c r="E120" s="68" t="n">
        <v>43360.9358356631</v>
      </c>
      <c r="F120" s="69" t="n">
        <v>7595.995340779</v>
      </c>
      <c r="G120" s="70" t="n">
        <v>43360.9356755525</v>
      </c>
      <c r="H120" s="71" t="n">
        <v>7595.99533386821</v>
      </c>
      <c r="I120" s="72" t="str">
        <f>H120-F120</f>
      </c>
      <c r="J120" s="73" t="str">
        <f>G120-E120</f>
      </c>
    </row>
    <row r="121">
      <c r="A121" t="s">
        <v>164</v>
      </c>
      <c r="B121" t="s">
        <v>166</v>
      </c>
      <c r="C121" s="67" t="n">
        <v>2042</v>
      </c>
      <c r="D121" t="s">
        <v>169</v>
      </c>
      <c r="E121" s="68" t="n">
        <v>20222.2632124534</v>
      </c>
      <c r="F121" s="69" t="n">
        <v>14284.6132111951</v>
      </c>
      <c r="G121" s="70" t="n">
        <v>20222.2683991647</v>
      </c>
      <c r="H121" s="71" t="n">
        <v>14284.6169088399</v>
      </c>
      <c r="I121" s="72" t="str">
        <f>H121-F121</f>
      </c>
      <c r="J121" s="73" t="str">
        <f>G121-E121</f>
      </c>
    </row>
    <row r="122">
      <c r="A122" t="s">
        <v>164</v>
      </c>
      <c r="B122" t="s">
        <v>166</v>
      </c>
      <c r="C122" s="67" t="n">
        <v>2042</v>
      </c>
      <c r="D122" t="s">
        <v>208</v>
      </c>
      <c r="E122" s="68" t="n">
        <v>1206799.62050891</v>
      </c>
      <c r="F122" s="69" t="n">
        <v>265289.411941553</v>
      </c>
      <c r="G122" s="70" t="n">
        <v>1206799.58929471</v>
      </c>
      <c r="H122" s="71" t="n">
        <v>265289.409116733</v>
      </c>
      <c r="I122" s="72" t="str">
        <f>H122-F122</f>
      </c>
      <c r="J122" s="73" t="str">
        <f>G122-E122</f>
      </c>
    </row>
    <row r="123">
      <c r="A123" t="s">
        <v>164</v>
      </c>
      <c r="B123" t="s">
        <v>166</v>
      </c>
      <c r="C123" s="67" t="n">
        <v>2042</v>
      </c>
      <c r="D123" t="s">
        <v>176</v>
      </c>
      <c r="E123" s="68" t="n">
        <v>144247.951175748</v>
      </c>
      <c r="F123" s="69" t="n">
        <v>97406.078770284</v>
      </c>
      <c r="G123" s="70" t="n">
        <v>144248.066926011</v>
      </c>
      <c r="H123" s="71" t="n">
        <v>97406.1569770963</v>
      </c>
      <c r="I123" s="72" t="str">
        <f>H123-F123</f>
      </c>
      <c r="J123" s="73" t="str">
        <f>G123-E123</f>
      </c>
    </row>
    <row r="124">
      <c r="A124" t="s">
        <v>164</v>
      </c>
      <c r="B124" t="s">
        <v>166</v>
      </c>
      <c r="C124" s="67" t="n">
        <v>2042</v>
      </c>
      <c r="D124" t="s">
        <v>180</v>
      </c>
      <c r="E124" s="68" t="n">
        <v>464486.817217501</v>
      </c>
      <c r="F124" s="69" t="n">
        <v>431396.838173933</v>
      </c>
      <c r="G124" s="70" t="n">
        <v>464487.038990191</v>
      </c>
      <c r="H124" s="71" t="n">
        <v>431397.042999706</v>
      </c>
      <c r="I124" s="72" t="str">
        <f>H124-F124</f>
      </c>
      <c r="J124" s="73" t="str">
        <f>G124-E124</f>
      </c>
    </row>
    <row r="125">
      <c r="A125" t="s">
        <v>164</v>
      </c>
      <c r="B125" t="s">
        <v>166</v>
      </c>
      <c r="C125" s="67" t="n">
        <v>2042</v>
      </c>
      <c r="D125" t="s">
        <v>183</v>
      </c>
      <c r="E125" s="68" t="n">
        <v>799225.361888208</v>
      </c>
      <c r="F125" s="69" t="n">
        <v>503603.72565987</v>
      </c>
      <c r="G125" s="70" t="n">
        <v>799225.499121645</v>
      </c>
      <c r="H125" s="71" t="n">
        <v>503603.803809569</v>
      </c>
      <c r="I125" s="72" t="str">
        <f>H125-F125</f>
      </c>
      <c r="J125" s="73" t="str">
        <f>G125-E125</f>
      </c>
    </row>
    <row r="126">
      <c r="A126" t="s">
        <v>164</v>
      </c>
      <c r="B126" t="s">
        <v>166</v>
      </c>
      <c r="C126" s="67" t="n">
        <v>2042</v>
      </c>
      <c r="D126" t="s">
        <v>186</v>
      </c>
      <c r="E126" s="68" t="n">
        <v>612663.910862081</v>
      </c>
      <c r="F126" s="69" t="n">
        <v>357930.807237308</v>
      </c>
      <c r="G126" s="70" t="n">
        <v>612664.177038008</v>
      </c>
      <c r="H126" s="71" t="n">
        <v>357930.939504437</v>
      </c>
      <c r="I126" s="72" t="str">
        <f>H126-F126</f>
      </c>
      <c r="J126" s="73" t="str">
        <f>G126-E126</f>
      </c>
    </row>
    <row r="127">
      <c r="A127" t="s">
        <v>164</v>
      </c>
      <c r="B127" t="s">
        <v>166</v>
      </c>
      <c r="C127" s="67" t="n">
        <v>2042</v>
      </c>
      <c r="D127" t="s">
        <v>366</v>
      </c>
      <c r="E127" s="68" t="n">
        <v>43278.7286589414</v>
      </c>
      <c r="F127" s="69" t="n">
        <v>7616.59281162197</v>
      </c>
      <c r="G127" s="70" t="n">
        <v>43278.7284816073</v>
      </c>
      <c r="H127" s="71" t="n">
        <v>7616.59280355029</v>
      </c>
      <c r="I127" s="72" t="str">
        <f>H127-F127</f>
      </c>
      <c r="J127" s="73" t="str">
        <f>G127-E127</f>
      </c>
    </row>
    <row r="128">
      <c r="A128" t="s">
        <v>164</v>
      </c>
      <c r="B128" t="s">
        <v>166</v>
      </c>
      <c r="C128" s="67" t="n">
        <v>2043</v>
      </c>
      <c r="D128" t="s">
        <v>169</v>
      </c>
      <c r="E128" s="68" t="n">
        <v>20720.5430345898</v>
      </c>
      <c r="F128" s="69" t="n">
        <v>14572.8794190625</v>
      </c>
      <c r="G128" s="70" t="n">
        <v>20720.5482054553</v>
      </c>
      <c r="H128" s="71" t="n">
        <v>14572.8831532714</v>
      </c>
      <c r="I128" s="72" t="str">
        <f>H128-F128</f>
      </c>
      <c r="J128" s="73" t="str">
        <f>G128-E128</f>
      </c>
    </row>
    <row r="129">
      <c r="A129" t="s">
        <v>164</v>
      </c>
      <c r="B129" t="s">
        <v>166</v>
      </c>
      <c r="C129" s="67" t="n">
        <v>2043</v>
      </c>
      <c r="D129" t="s">
        <v>208</v>
      </c>
      <c r="E129" s="68" t="n">
        <v>1213049.29494417</v>
      </c>
      <c r="F129" s="69" t="n">
        <v>272950.438725251</v>
      </c>
      <c r="G129" s="70" t="n">
        <v>1213049.26096591</v>
      </c>
      <c r="H129" s="71" t="n">
        <v>272950.435419178</v>
      </c>
      <c r="I129" s="72" t="str">
        <f>H129-F129</f>
      </c>
      <c r="J129" s="73" t="str">
        <f>G129-E129</f>
      </c>
    </row>
    <row r="130">
      <c r="A130" t="s">
        <v>164</v>
      </c>
      <c r="B130" t="s">
        <v>166</v>
      </c>
      <c r="C130" s="67" t="n">
        <v>2043</v>
      </c>
      <c r="D130" t="s">
        <v>176</v>
      </c>
      <c r="E130" s="68" t="n">
        <v>146993.697082878</v>
      </c>
      <c r="F130" s="69" t="n">
        <v>99271.3112833018</v>
      </c>
      <c r="G130" s="70" t="n">
        <v>146993.814208207</v>
      </c>
      <c r="H130" s="71" t="n">
        <v>99271.3911680729</v>
      </c>
      <c r="I130" s="72" t="str">
        <f>H130-F130</f>
      </c>
      <c r="J130" s="73" t="str">
        <f>G130-E130</f>
      </c>
    </row>
    <row r="131">
      <c r="A131" t="s">
        <v>164</v>
      </c>
      <c r="B131" t="s">
        <v>166</v>
      </c>
      <c r="C131" s="67" t="n">
        <v>2043</v>
      </c>
      <c r="D131" t="s">
        <v>180</v>
      </c>
      <c r="E131" s="68" t="n">
        <v>471154.616474122</v>
      </c>
      <c r="F131" s="69" t="n">
        <v>437679.781523975</v>
      </c>
      <c r="G131" s="70" t="n">
        <v>471154.839580669</v>
      </c>
      <c r="H131" s="71" t="n">
        <v>437679.988471842</v>
      </c>
      <c r="I131" s="72" t="str">
        <f>H131-F131</f>
      </c>
      <c r="J131" s="73" t="str">
        <f>G131-E131</f>
      </c>
    </row>
    <row r="132">
      <c r="A132" t="s">
        <v>164</v>
      </c>
      <c r="B132" t="s">
        <v>166</v>
      </c>
      <c r="C132" s="67" t="n">
        <v>2043</v>
      </c>
      <c r="D132" t="s">
        <v>183</v>
      </c>
      <c r="E132" s="68" t="n">
        <v>810014.637542304</v>
      </c>
      <c r="F132" s="69" t="n">
        <v>512610.368844544</v>
      </c>
      <c r="G132" s="70" t="n">
        <v>810014.772834319</v>
      </c>
      <c r="H132" s="71" t="n">
        <v>512610.449179313</v>
      </c>
      <c r="I132" s="72" t="str">
        <f>H132-F132</f>
      </c>
      <c r="J132" s="73" t="str">
        <f>G132-E132</f>
      </c>
    </row>
    <row r="133">
      <c r="A133" t="s">
        <v>164</v>
      </c>
      <c r="B133" t="s">
        <v>166</v>
      </c>
      <c r="C133" s="67" t="n">
        <v>2043</v>
      </c>
      <c r="D133" t="s">
        <v>186</v>
      </c>
      <c r="E133" s="68" t="n">
        <v>623953.089418659</v>
      </c>
      <c r="F133" s="69" t="n">
        <v>367958.92196569</v>
      </c>
      <c r="G133" s="70" t="n">
        <v>623953.356494139</v>
      </c>
      <c r="H133" s="71" t="n">
        <v>367959.059248153</v>
      </c>
      <c r="I133" s="72" t="str">
        <f>H133-F133</f>
      </c>
      <c r="J133" s="73" t="str">
        <f>G133-E133</f>
      </c>
    </row>
    <row r="134">
      <c r="A134" t="s">
        <v>164</v>
      </c>
      <c r="B134" t="s">
        <v>166</v>
      </c>
      <c r="C134" s="67" t="n">
        <v>2043</v>
      </c>
      <c r="D134" t="s">
        <v>366</v>
      </c>
      <c r="E134" s="68" t="n">
        <v>43232.1387389869</v>
      </c>
      <c r="F134" s="69" t="n">
        <v>7634.63810721882</v>
      </c>
      <c r="G134" s="70" t="n">
        <v>43232.1385441846</v>
      </c>
      <c r="H134" s="71" t="n">
        <v>7634.63809790975</v>
      </c>
      <c r="I134" s="72" t="str">
        <f>H134-F134</f>
      </c>
      <c r="J134" s="73" t="str">
        <f>G134-E134</f>
      </c>
    </row>
    <row r="135">
      <c r="A135" t="s">
        <v>164</v>
      </c>
      <c r="B135" t="s">
        <v>166</v>
      </c>
      <c r="C135" s="67" t="n">
        <v>2044</v>
      </c>
      <c r="D135" t="s">
        <v>169</v>
      </c>
      <c r="E135" s="68" t="n">
        <v>21220.2422238227</v>
      </c>
      <c r="F135" s="69" t="n">
        <v>14861.4278085755</v>
      </c>
      <c r="G135" s="70" t="n">
        <v>21220.2473713984</v>
      </c>
      <c r="H135" s="71" t="n">
        <v>14861.4315691186</v>
      </c>
      <c r="I135" s="72" t="str">
        <f>H135-F135</f>
      </c>
      <c r="J135" s="73" t="str">
        <f>G135-E135</f>
      </c>
    </row>
    <row r="136">
      <c r="A136" t="s">
        <v>164</v>
      </c>
      <c r="B136" t="s">
        <v>166</v>
      </c>
      <c r="C136" s="67" t="n">
        <v>2044</v>
      </c>
      <c r="D136" t="s">
        <v>208</v>
      </c>
      <c r="E136" s="68" t="n">
        <v>1218988.50372365</v>
      </c>
      <c r="F136" s="69" t="n">
        <v>280506.445355873</v>
      </c>
      <c r="G136" s="70" t="n">
        <v>1218988.4670045</v>
      </c>
      <c r="H136" s="71" t="n">
        <v>280506.441535508</v>
      </c>
      <c r="I136" s="72" t="str">
        <f>H136-F136</f>
      </c>
      <c r="J136" s="73" t="str">
        <f>G136-E136</f>
      </c>
    </row>
    <row r="137">
      <c r="A137" t="s">
        <v>164</v>
      </c>
      <c r="B137" t="s">
        <v>166</v>
      </c>
      <c r="C137" s="67" t="n">
        <v>2044</v>
      </c>
      <c r="D137" t="s">
        <v>176</v>
      </c>
      <c r="E137" s="68" t="n">
        <v>149696.095527827</v>
      </c>
      <c r="F137" s="69" t="n">
        <v>101112.208670462</v>
      </c>
      <c r="G137" s="70" t="n">
        <v>149696.213967301</v>
      </c>
      <c r="H137" s="71" t="n">
        <v>101112.290089553</v>
      </c>
      <c r="I137" s="72" t="str">
        <f>H137-F137</f>
      </c>
      <c r="J137" s="73" t="str">
        <f>G137-E137</f>
      </c>
    </row>
    <row r="138">
      <c r="A138" t="s">
        <v>164</v>
      </c>
      <c r="B138" t="s">
        <v>166</v>
      </c>
      <c r="C138" s="67" t="n">
        <v>2044</v>
      </c>
      <c r="D138" t="s">
        <v>180</v>
      </c>
      <c r="E138" s="68" t="n">
        <v>477581.090551297</v>
      </c>
      <c r="F138" s="69" t="n">
        <v>443800.428353114</v>
      </c>
      <c r="G138" s="70" t="n">
        <v>477581.314836645</v>
      </c>
      <c r="H138" s="71" t="n">
        <v>443800.637197395</v>
      </c>
      <c r="I138" s="72" t="str">
        <f>H138-F138</f>
      </c>
      <c r="J138" s="73" t="str">
        <f>G138-E138</f>
      </c>
    </row>
    <row r="139">
      <c r="A139" t="s">
        <v>164</v>
      </c>
      <c r="B139" t="s">
        <v>166</v>
      </c>
      <c r="C139" s="67" t="n">
        <v>2044</v>
      </c>
      <c r="D139" t="s">
        <v>183</v>
      </c>
      <c r="E139" s="68" t="n">
        <v>820742.236861847</v>
      </c>
      <c r="F139" s="69" t="n">
        <v>521420.08813529</v>
      </c>
      <c r="G139" s="70" t="n">
        <v>820742.370121934</v>
      </c>
      <c r="H139" s="71" t="n">
        <v>521420.170330997</v>
      </c>
      <c r="I139" s="72" t="str">
        <f>H139-F139</f>
      </c>
      <c r="J139" s="73" t="str">
        <f>G139-E139</f>
      </c>
    </row>
    <row r="140">
      <c r="A140" t="s">
        <v>164</v>
      </c>
      <c r="B140" t="s">
        <v>166</v>
      </c>
      <c r="C140" s="67" t="n">
        <v>2044</v>
      </c>
      <c r="D140" t="s">
        <v>186</v>
      </c>
      <c r="E140" s="68" t="n">
        <v>635024.278648515</v>
      </c>
      <c r="F140" s="69" t="n">
        <v>377918.447958198</v>
      </c>
      <c r="G140" s="70" t="n">
        <v>635024.546467649</v>
      </c>
      <c r="H140" s="71" t="n">
        <v>377918.589898958</v>
      </c>
      <c r="I140" s="72" t="str">
        <f>H140-F140</f>
      </c>
      <c r="J140" s="73" t="str">
        <f>G140-E140</f>
      </c>
    </row>
    <row r="141">
      <c r="A141" t="s">
        <v>164</v>
      </c>
      <c r="B141" t="s">
        <v>166</v>
      </c>
      <c r="C141" s="67" t="n">
        <v>2044</v>
      </c>
      <c r="D141" t="s">
        <v>366</v>
      </c>
      <c r="E141" s="68" t="n">
        <v>43202.6302513414</v>
      </c>
      <c r="F141" s="69" t="n">
        <v>7652.7218363593</v>
      </c>
      <c r="G141" s="70" t="n">
        <v>43202.6300388595</v>
      </c>
      <c r="H141" s="71" t="n">
        <v>7652.72182573668</v>
      </c>
      <c r="I141" s="72" t="str">
        <f>H141-F141</f>
      </c>
      <c r="J141" s="73" t="str">
        <f>G141-E141</f>
      </c>
    </row>
    <row r="142">
      <c r="A142" t="s">
        <v>164</v>
      </c>
      <c r="B142" t="s">
        <v>166</v>
      </c>
      <c r="C142" s="67" t="n">
        <v>2045</v>
      </c>
      <c r="D142" t="s">
        <v>169</v>
      </c>
      <c r="E142" s="68" t="n">
        <v>21717.6114055537</v>
      </c>
      <c r="F142" s="69" t="n">
        <v>15148.2941792135</v>
      </c>
      <c r="G142" s="70" t="n">
        <v>21717.6165215297</v>
      </c>
      <c r="H142" s="71" t="n">
        <v>15148.2979562423</v>
      </c>
      <c r="I142" s="72" t="str">
        <f>H142-F142</f>
      </c>
      <c r="J142" s="73" t="str">
        <f>G142-E142</f>
      </c>
    </row>
    <row r="143">
      <c r="A143" t="s">
        <v>164</v>
      </c>
      <c r="B143" t="s">
        <v>166</v>
      </c>
      <c r="C143" s="67" t="n">
        <v>2045</v>
      </c>
      <c r="D143" t="s">
        <v>208</v>
      </c>
      <c r="E143" s="68" t="n">
        <v>1224669.00587659</v>
      </c>
      <c r="F143" s="69" t="n">
        <v>287925.047588733</v>
      </c>
      <c r="G143" s="70" t="n">
        <v>1224668.96644768</v>
      </c>
      <c r="H143" s="71" t="n">
        <v>287925.043222784</v>
      </c>
      <c r="I143" s="72" t="str">
        <f>H143-F143</f>
      </c>
      <c r="J143" s="73" t="str">
        <f>G143-E143</f>
      </c>
    </row>
    <row r="144">
      <c r="A144" t="s">
        <v>164</v>
      </c>
      <c r="B144" t="s">
        <v>166</v>
      </c>
      <c r="C144" s="67" t="n">
        <v>2045</v>
      </c>
      <c r="D144" t="s">
        <v>176</v>
      </c>
      <c r="E144" s="68" t="n">
        <v>152337.933136334</v>
      </c>
      <c r="F144" s="69" t="n">
        <v>102935.232150282</v>
      </c>
      <c r="G144" s="70" t="n">
        <v>152338.052815886</v>
      </c>
      <c r="H144" s="71" t="n">
        <v>102935.314985138</v>
      </c>
      <c r="I144" s="72" t="str">
        <f>H144-F144</f>
      </c>
      <c r="J144" s="73" t="str">
        <f>G144-E144</f>
      </c>
    </row>
    <row r="145">
      <c r="A145" t="s">
        <v>164</v>
      </c>
      <c r="B145" t="s">
        <v>166</v>
      </c>
      <c r="C145" s="67" t="n">
        <v>2045</v>
      </c>
      <c r="D145" t="s">
        <v>180</v>
      </c>
      <c r="E145" s="68" t="n">
        <v>483723.290826486</v>
      </c>
      <c r="F145" s="69" t="n">
        <v>449717.347532478</v>
      </c>
      <c r="G145" s="70" t="n">
        <v>483723.516122198</v>
      </c>
      <c r="H145" s="71" t="n">
        <v>449717.558047709</v>
      </c>
      <c r="I145" s="72" t="str">
        <f>H145-F145</f>
      </c>
      <c r="J145" s="73" t="str">
        <f>G145-E145</f>
      </c>
    </row>
    <row r="146">
      <c r="A146" t="s">
        <v>164</v>
      </c>
      <c r="B146" t="s">
        <v>166</v>
      </c>
      <c r="C146" s="67" t="n">
        <v>2045</v>
      </c>
      <c r="D146" t="s">
        <v>183</v>
      </c>
      <c r="E146" s="68" t="n">
        <v>831470.078955218</v>
      </c>
      <c r="F146" s="69" t="n">
        <v>529994.143214432</v>
      </c>
      <c r="G146" s="70" t="n">
        <v>831470.210098177</v>
      </c>
      <c r="H146" s="71" t="n">
        <v>529994.226959208</v>
      </c>
      <c r="I146" s="72" t="str">
        <f>H146-F146</f>
      </c>
      <c r="J146" s="73" t="str">
        <f>G146-E146</f>
      </c>
    </row>
    <row r="147">
      <c r="A147" t="s">
        <v>164</v>
      </c>
      <c r="B147" t="s">
        <v>166</v>
      </c>
      <c r="C147" s="67" t="n">
        <v>2045</v>
      </c>
      <c r="D147" t="s">
        <v>186</v>
      </c>
      <c r="E147" s="68" t="n">
        <v>645730.179344434</v>
      </c>
      <c r="F147" s="69" t="n">
        <v>387750.532539626</v>
      </c>
      <c r="G147" s="70" t="n">
        <v>645730.44769896</v>
      </c>
      <c r="H147" s="71" t="n">
        <v>387750.678781898</v>
      </c>
      <c r="I147" s="72" t="str">
        <f>H147-F147</f>
      </c>
      <c r="J147" s="73" t="str">
        <f>G147-E147</f>
      </c>
    </row>
    <row r="148">
      <c r="A148" t="s">
        <v>164</v>
      </c>
      <c r="B148" t="s">
        <v>166</v>
      </c>
      <c r="C148" s="67" t="n">
        <v>2045</v>
      </c>
      <c r="D148" t="s">
        <v>366</v>
      </c>
      <c r="E148" s="68" t="n">
        <v>43190.6039816479</v>
      </c>
      <c r="F148" s="69" t="n">
        <v>7672.06823879539</v>
      </c>
      <c r="G148" s="70" t="n">
        <v>43190.6037513161</v>
      </c>
      <c r="H148" s="71" t="n">
        <v>7672.06822678464</v>
      </c>
      <c r="I148" s="72" t="str">
        <f>H148-F148</f>
      </c>
      <c r="J148" s="73" t="str">
        <f>G148-E148</f>
      </c>
    </row>
    <row r="149">
      <c r="A149" t="s">
        <v>164</v>
      </c>
      <c r="B149" t="s">
        <v>166</v>
      </c>
      <c r="C149" s="67" t="n">
        <v>2046</v>
      </c>
      <c r="D149" t="s">
        <v>169</v>
      </c>
      <c r="E149" s="68" t="n">
        <v>22210.9694461287</v>
      </c>
      <c r="F149" s="69" t="n">
        <v>15436.8880764672</v>
      </c>
      <c r="G149" s="70" t="n">
        <v>22210.9745219107</v>
      </c>
      <c r="H149" s="71" t="n">
        <v>15436.8918612077</v>
      </c>
      <c r="I149" s="72" t="str">
        <f>H149-F149</f>
      </c>
      <c r="J149" s="73" t="str">
        <f>G149-E149</f>
      </c>
    </row>
    <row r="150">
      <c r="A150" t="s">
        <v>164</v>
      </c>
      <c r="B150" t="s">
        <v>166</v>
      </c>
      <c r="C150" s="67" t="n">
        <v>2046</v>
      </c>
      <c r="D150" t="s">
        <v>208</v>
      </c>
      <c r="E150" s="68" t="n">
        <v>1230125.11087706</v>
      </c>
      <c r="F150" s="69" t="n">
        <v>295165.882150438</v>
      </c>
      <c r="G150" s="70" t="n">
        <v>1230125.0687767</v>
      </c>
      <c r="H150" s="71" t="n">
        <v>295165.877208802</v>
      </c>
      <c r="I150" s="72" t="str">
        <f>H150-F150</f>
      </c>
      <c r="J150" s="73" t="str">
        <f>G150-E150</f>
      </c>
    </row>
    <row r="151">
      <c r="A151" t="s">
        <v>164</v>
      </c>
      <c r="B151" t="s">
        <v>166</v>
      </c>
      <c r="C151" s="67" t="n">
        <v>2046</v>
      </c>
      <c r="D151" t="s">
        <v>176</v>
      </c>
      <c r="E151" s="68" t="n">
        <v>154919.064354217</v>
      </c>
      <c r="F151" s="69" t="n">
        <v>104731.049844902</v>
      </c>
      <c r="G151" s="70" t="n">
        <v>154919.185199882</v>
      </c>
      <c r="H151" s="71" t="n">
        <v>104731.133984312</v>
      </c>
      <c r="I151" s="72" t="str">
        <f>H151-F151</f>
      </c>
      <c r="J151" s="73" t="str">
        <f>G151-E151</f>
      </c>
    </row>
    <row r="152">
      <c r="A152" t="s">
        <v>164</v>
      </c>
      <c r="B152" t="s">
        <v>166</v>
      </c>
      <c r="C152" s="67" t="n">
        <v>2046</v>
      </c>
      <c r="D152" t="s">
        <v>180</v>
      </c>
      <c r="E152" s="68" t="n">
        <v>489559.343358612</v>
      </c>
      <c r="F152" s="69" t="n">
        <v>455309.868097668</v>
      </c>
      <c r="G152" s="70" t="n">
        <v>489559.569488497</v>
      </c>
      <c r="H152" s="71" t="n">
        <v>455310.080020589</v>
      </c>
      <c r="I152" s="72" t="str">
        <f>H152-F152</f>
      </c>
      <c r="J152" s="73" t="str">
        <f>G152-E152</f>
      </c>
    </row>
    <row r="153">
      <c r="A153" t="s">
        <v>164</v>
      </c>
      <c r="B153" t="s">
        <v>166</v>
      </c>
      <c r="C153" s="67" t="n">
        <v>2046</v>
      </c>
      <c r="D153" t="s">
        <v>183</v>
      </c>
      <c r="E153" s="68" t="n">
        <v>842022.082225377</v>
      </c>
      <c r="F153" s="69" t="n">
        <v>538440.083228251</v>
      </c>
      <c r="G153" s="70" t="n">
        <v>842022.211146035</v>
      </c>
      <c r="H153" s="71" t="n">
        <v>538440.168228285</v>
      </c>
      <c r="I153" s="72" t="str">
        <f>H153-F153</f>
      </c>
      <c r="J153" s="73" t="str">
        <f>G153-E153</f>
      </c>
    </row>
    <row r="154">
      <c r="A154" t="s">
        <v>164</v>
      </c>
      <c r="B154" t="s">
        <v>166</v>
      </c>
      <c r="C154" s="67" t="n">
        <v>2046</v>
      </c>
      <c r="D154" t="s">
        <v>186</v>
      </c>
      <c r="E154" s="68" t="n">
        <v>656022.935186147</v>
      </c>
      <c r="F154" s="69" t="n">
        <v>397431.800404744</v>
      </c>
      <c r="G154" s="70" t="n">
        <v>656023.203848247</v>
      </c>
      <c r="H154" s="71" t="n">
        <v>397431.950602612</v>
      </c>
      <c r="I154" s="72" t="str">
        <f>H154-F154</f>
      </c>
      <c r="J154" s="73" t="str">
        <f>G154-E154</f>
      </c>
    </row>
    <row r="155">
      <c r="A155" t="s">
        <v>164</v>
      </c>
      <c r="B155" t="s">
        <v>166</v>
      </c>
      <c r="C155" s="67" t="n">
        <v>2046</v>
      </c>
      <c r="D155" t="s">
        <v>366</v>
      </c>
      <c r="E155" s="68" t="n">
        <v>43196.3105714767</v>
      </c>
      <c r="F155" s="69" t="n">
        <v>7693.55706212436</v>
      </c>
      <c r="G155" s="70" t="n">
        <v>43196.3103231123</v>
      </c>
      <c r="H155" s="71" t="n">
        <v>7693.55704865625</v>
      </c>
      <c r="I155" s="72" t="str">
        <f>H155-F155</f>
      </c>
      <c r="J155" s="73" t="str">
        <f>G155-E155</f>
      </c>
    </row>
    <row r="156">
      <c r="A156" t="s">
        <v>164</v>
      </c>
      <c r="B156" t="s">
        <v>166</v>
      </c>
      <c r="C156" s="67" t="n">
        <v>2047</v>
      </c>
      <c r="D156" t="s">
        <v>169</v>
      </c>
      <c r="E156" s="68" t="n">
        <v>22699.657935692</v>
      </c>
      <c r="F156" s="69" t="n">
        <v>15728.4817102725</v>
      </c>
      <c r="G156" s="70" t="n">
        <v>22699.6629629007</v>
      </c>
      <c r="H156" s="71" t="n">
        <v>15728.4854947303</v>
      </c>
      <c r="I156" s="72" t="str">
        <f>H156-F156</f>
      </c>
      <c r="J156" s="73" t="str">
        <f>G156-E156</f>
      </c>
    </row>
    <row r="157">
      <c r="A157" t="s">
        <v>164</v>
      </c>
      <c r="B157" t="s">
        <v>166</v>
      </c>
      <c r="C157" s="67" t="n">
        <v>2047</v>
      </c>
      <c r="D157" t="s">
        <v>208</v>
      </c>
      <c r="E157" s="68" t="n">
        <v>1235274.70994143</v>
      </c>
      <c r="F157" s="69" t="n">
        <v>302180.555859376</v>
      </c>
      <c r="G157" s="70" t="n">
        <v>1235274.66521773</v>
      </c>
      <c r="H157" s="71" t="n">
        <v>302180.550312501</v>
      </c>
      <c r="I157" s="72" t="str">
        <f>H157-F157</f>
      </c>
      <c r="J157" s="73" t="str">
        <f>G157-E157</f>
      </c>
    </row>
    <row r="158">
      <c r="A158" t="s">
        <v>164</v>
      </c>
      <c r="B158" t="s">
        <v>166</v>
      </c>
      <c r="C158" s="67" t="n">
        <v>2047</v>
      </c>
      <c r="D158" t="s">
        <v>176</v>
      </c>
      <c r="E158" s="68" t="n">
        <v>157435.81540726</v>
      </c>
      <c r="F158" s="69" t="n">
        <v>106487.592423454</v>
      </c>
      <c r="G158" s="70" t="n">
        <v>157435.937342911</v>
      </c>
      <c r="H158" s="71" t="n">
        <v>106487.677760342</v>
      </c>
      <c r="I158" s="72" t="str">
        <f>H158-F158</f>
      </c>
      <c r="J158" s="73" t="str">
        <f>G158-E158</f>
      </c>
    </row>
    <row r="159">
      <c r="A159" t="s">
        <v>164</v>
      </c>
      <c r="B159" t="s">
        <v>166</v>
      </c>
      <c r="C159" s="67" t="n">
        <v>2047</v>
      </c>
      <c r="D159" t="s">
        <v>180</v>
      </c>
      <c r="E159" s="68" t="n">
        <v>495047.104909243</v>
      </c>
      <c r="F159" s="69" t="n">
        <v>460539.214681343</v>
      </c>
      <c r="G159" s="70" t="n">
        <v>495047.331680699</v>
      </c>
      <c r="H159" s="71" t="n">
        <v>460539.427749469</v>
      </c>
      <c r="I159" s="72" t="str">
        <f>H159-F159</f>
      </c>
      <c r="J159" s="73" t="str">
        <f>G159-E159</f>
      </c>
    </row>
    <row r="160">
      <c r="A160" t="s">
        <v>164</v>
      </c>
      <c r="B160" t="s">
        <v>166</v>
      </c>
      <c r="C160" s="67" t="n">
        <v>2047</v>
      </c>
      <c r="D160" t="s">
        <v>183</v>
      </c>
      <c r="E160" s="68" t="n">
        <v>852356.910280878</v>
      </c>
      <c r="F160" s="69" t="n">
        <v>546892.798759534</v>
      </c>
      <c r="G160" s="70" t="n">
        <v>852357.036896631</v>
      </c>
      <c r="H160" s="71" t="n">
        <v>546892.884748123</v>
      </c>
      <c r="I160" s="72" t="str">
        <f>H160-F160</f>
      </c>
      <c r="J160" s="73" t="str">
        <f>G160-E160</f>
      </c>
    </row>
    <row r="161">
      <c r="A161" t="s">
        <v>164</v>
      </c>
      <c r="B161" t="s">
        <v>166</v>
      </c>
      <c r="C161" s="67" t="n">
        <v>2047</v>
      </c>
      <c r="D161" t="s">
        <v>186</v>
      </c>
      <c r="E161" s="68" t="n">
        <v>665960.261772359</v>
      </c>
      <c r="F161" s="69" t="n">
        <v>406938.156056377</v>
      </c>
      <c r="G161" s="70" t="n">
        <v>665960.530537607</v>
      </c>
      <c r="H161" s="71" t="n">
        <v>406938.309858621</v>
      </c>
      <c r="I161" s="72" t="str">
        <f>H161-F161</f>
      </c>
      <c r="J161" s="73" t="str">
        <f>G161-E161</f>
      </c>
    </row>
    <row r="162">
      <c r="A162" t="s">
        <v>164</v>
      </c>
      <c r="B162" t="s">
        <v>166</v>
      </c>
      <c r="C162" s="67" t="n">
        <v>2047</v>
      </c>
      <c r="D162" t="s">
        <v>366</v>
      </c>
      <c r="E162" s="68" t="n">
        <v>43217.6344589389</v>
      </c>
      <c r="F162" s="69" t="n">
        <v>7716.26454006869</v>
      </c>
      <c r="G162" s="70" t="n">
        <v>43217.6341923504</v>
      </c>
      <c r="H162" s="71" t="n">
        <v>7716.26452507886</v>
      </c>
      <c r="I162" s="72" t="str">
        <f>H162-F162</f>
      </c>
      <c r="J162" s="73" t="str">
        <f>G162-E162</f>
      </c>
    </row>
    <row r="163">
      <c r="A163" t="s">
        <v>164</v>
      </c>
      <c r="B163" t="s">
        <v>166</v>
      </c>
      <c r="C163" s="67" t="n">
        <v>2048</v>
      </c>
      <c r="D163" t="s">
        <v>169</v>
      </c>
      <c r="E163" s="68" t="n">
        <v>23179.7725598741</v>
      </c>
      <c r="F163" s="69" t="n">
        <v>16025.2149836851</v>
      </c>
      <c r="G163" s="70" t="n">
        <v>23179.7775298232</v>
      </c>
      <c r="H163" s="71" t="n">
        <v>16025.2187605858</v>
      </c>
      <c r="I163" s="72" t="str">
        <f>H163-F163</f>
      </c>
      <c r="J163" s="73" t="str">
        <f>G163-E163</f>
      </c>
    </row>
    <row r="164">
      <c r="A164" t="s">
        <v>164</v>
      </c>
      <c r="B164" t="s">
        <v>166</v>
      </c>
      <c r="C164" s="67" t="n">
        <v>2048</v>
      </c>
      <c r="D164" t="s">
        <v>208</v>
      </c>
      <c r="E164" s="68" t="n">
        <v>1240209.15105313</v>
      </c>
      <c r="F164" s="69" t="n">
        <v>308964.316556622</v>
      </c>
      <c r="G164" s="70" t="n">
        <v>1240209.10376068</v>
      </c>
      <c r="H164" s="71" t="n">
        <v>308964.310377282</v>
      </c>
      <c r="I164" s="72" t="str">
        <f>H164-F164</f>
      </c>
      <c r="J164" s="73" t="str">
        <f>G164-E164</f>
      </c>
    </row>
    <row r="165">
      <c r="A165" t="s">
        <v>164</v>
      </c>
      <c r="B165" t="s">
        <v>166</v>
      </c>
      <c r="C165" s="67" t="n">
        <v>2048</v>
      </c>
      <c r="D165" t="s">
        <v>176</v>
      </c>
      <c r="E165" s="68" t="n">
        <v>159876.946612724</v>
      </c>
      <c r="F165" s="69" t="n">
        <v>108205.222934536</v>
      </c>
      <c r="G165" s="70" t="n">
        <v>159877.069557409</v>
      </c>
      <c r="H165" s="71" t="n">
        <v>108205.309376064</v>
      </c>
      <c r="I165" s="72" t="str">
        <f>H165-F165</f>
      </c>
      <c r="J165" s="73" t="str">
        <f>G165-E165</f>
      </c>
    </row>
    <row r="166">
      <c r="A166" t="s">
        <v>164</v>
      </c>
      <c r="B166" t="s">
        <v>166</v>
      </c>
      <c r="C166" s="67" t="n">
        <v>2048</v>
      </c>
      <c r="D166" t="s">
        <v>180</v>
      </c>
      <c r="E166" s="68" t="n">
        <v>500251.736412064</v>
      </c>
      <c r="F166" s="69" t="n">
        <v>465558.264950265</v>
      </c>
      <c r="G166" s="70" t="n">
        <v>500251.963676638</v>
      </c>
      <c r="H166" s="71" t="n">
        <v>465558.478994868</v>
      </c>
      <c r="I166" s="72" t="str">
        <f>H166-F166</f>
      </c>
      <c r="J166" s="73" t="str">
        <f>G166-E166</f>
      </c>
    </row>
    <row r="167">
      <c r="A167" t="s">
        <v>164</v>
      </c>
      <c r="B167" t="s">
        <v>166</v>
      </c>
      <c r="C167" s="67" t="n">
        <v>2048</v>
      </c>
      <c r="D167" t="s">
        <v>183</v>
      </c>
      <c r="E167" s="68" t="n">
        <v>862421.073437362</v>
      </c>
      <c r="F167" s="69" t="n">
        <v>555219.167557924</v>
      </c>
      <c r="G167" s="70" t="n">
        <v>862421.197666068</v>
      </c>
      <c r="H167" s="71" t="n">
        <v>555219.254274076</v>
      </c>
      <c r="I167" s="72" t="str">
        <f>H167-F167</f>
      </c>
      <c r="J167" s="73" t="str">
        <f>G167-E167</f>
      </c>
    </row>
    <row r="168">
      <c r="A168" t="s">
        <v>164</v>
      </c>
      <c r="B168" t="s">
        <v>166</v>
      </c>
      <c r="C168" s="67" t="n">
        <v>2048</v>
      </c>
      <c r="D168" t="s">
        <v>186</v>
      </c>
      <c r="E168" s="68" t="n">
        <v>675537.798451366</v>
      </c>
      <c r="F168" s="69" t="n">
        <v>416220.988597457</v>
      </c>
      <c r="G168" s="70" t="n">
        <v>675538.067131439</v>
      </c>
      <c r="H168" s="71" t="n">
        <v>416221.145643516</v>
      </c>
      <c r="I168" s="72" t="str">
        <f>H168-F168</f>
      </c>
      <c r="J168" s="73" t="str">
        <f>G168-E168</f>
      </c>
    </row>
    <row r="169">
      <c r="A169" t="s">
        <v>164</v>
      </c>
      <c r="B169" t="s">
        <v>166</v>
      </c>
      <c r="C169" s="67" t="n">
        <v>2048</v>
      </c>
      <c r="D169" t="s">
        <v>366</v>
      </c>
      <c r="E169" s="68" t="n">
        <v>43247.1168531906</v>
      </c>
      <c r="F169" s="69" t="n">
        <v>7740.96824888374</v>
      </c>
      <c r="G169" s="70" t="n">
        <v>43247.1165682685</v>
      </c>
      <c r="H169" s="71" t="n">
        <v>7740.96823230914</v>
      </c>
      <c r="I169" s="72" t="str">
        <f>H169-F169</f>
      </c>
      <c r="J169" s="73" t="str">
        <f>G169-E169</f>
      </c>
    </row>
    <row r="170">
      <c r="A170" t="s">
        <v>164</v>
      </c>
      <c r="B170" t="s">
        <v>166</v>
      </c>
      <c r="C170" s="67" t="n">
        <v>2049</v>
      </c>
      <c r="D170" t="s">
        <v>169</v>
      </c>
      <c r="E170" s="68" t="n">
        <v>23650.3565790098</v>
      </c>
      <c r="F170" s="69" t="n">
        <v>16322.607753768</v>
      </c>
      <c r="G170" s="70" t="n">
        <v>23650.3614840449</v>
      </c>
      <c r="H170" s="71" t="n">
        <v>16322.61151708</v>
      </c>
      <c r="I170" s="72" t="str">
        <f>H170-F170</f>
      </c>
      <c r="J170" s="73" t="str">
        <f>G170-E170</f>
      </c>
    </row>
    <row r="171">
      <c r="A171" t="s">
        <v>164</v>
      </c>
      <c r="B171" t="s">
        <v>166</v>
      </c>
      <c r="C171" s="67" t="n">
        <v>2049</v>
      </c>
      <c r="D171" t="s">
        <v>208</v>
      </c>
      <c r="E171" s="68" t="n">
        <v>1244958.42611402</v>
      </c>
      <c r="F171" s="69" t="n">
        <v>315528.661411155</v>
      </c>
      <c r="G171" s="70" t="n">
        <v>1244958.37630862</v>
      </c>
      <c r="H171" s="71" t="n">
        <v>315528.654574656</v>
      </c>
      <c r="I171" s="72" t="str">
        <f>H171-F171</f>
      </c>
      <c r="J171" s="73" t="str">
        <f>G171-E171</f>
      </c>
    </row>
    <row r="172">
      <c r="A172" t="s">
        <v>164</v>
      </c>
      <c r="B172" t="s">
        <v>166</v>
      </c>
      <c r="C172" s="67" t="n">
        <v>2049</v>
      </c>
      <c r="D172" t="s">
        <v>176</v>
      </c>
      <c r="E172" s="68" t="n">
        <v>162238.01081177</v>
      </c>
      <c r="F172" s="69" t="n">
        <v>109882.283685154</v>
      </c>
      <c r="G172" s="70" t="n">
        <v>162238.134685625</v>
      </c>
      <c r="H172" s="71" t="n">
        <v>109882.371148655</v>
      </c>
      <c r="I172" s="72" t="str">
        <f>H172-F172</f>
      </c>
      <c r="J172" s="73" t="str">
        <f>G172-E172</f>
      </c>
    </row>
    <row r="173">
      <c r="A173" t="s">
        <v>164</v>
      </c>
      <c r="B173" t="s">
        <v>166</v>
      </c>
      <c r="C173" s="67" t="n">
        <v>2049</v>
      </c>
      <c r="D173" t="s">
        <v>180</v>
      </c>
      <c r="E173" s="68" t="n">
        <v>505215.672868028</v>
      </c>
      <c r="F173" s="69" t="n">
        <v>470383.665280467</v>
      </c>
      <c r="G173" s="70" t="n">
        <v>505215.900508139</v>
      </c>
      <c r="H173" s="71" t="n">
        <v>470383.880162835</v>
      </c>
      <c r="I173" s="72" t="str">
        <f>H173-F173</f>
      </c>
      <c r="J173" s="73" t="str">
        <f>G173-E173</f>
      </c>
    </row>
    <row r="174">
      <c r="A174" t="s">
        <v>164</v>
      </c>
      <c r="B174" t="s">
        <v>166</v>
      </c>
      <c r="C174" s="67" t="n">
        <v>2049</v>
      </c>
      <c r="D174" t="s">
        <v>183</v>
      </c>
      <c r="E174" s="68" t="n">
        <v>872039.290825027</v>
      </c>
      <c r="F174" s="69" t="n">
        <v>563337.678402694</v>
      </c>
      <c r="G174" s="70" t="n">
        <v>872039.412561908</v>
      </c>
      <c r="H174" s="71" t="n">
        <v>563337.765593671</v>
      </c>
      <c r="I174" s="72" t="str">
        <f>H174-F174</f>
      </c>
      <c r="J174" s="73" t="str">
        <f>G174-E174</f>
      </c>
    </row>
    <row r="175">
      <c r="A175" t="s">
        <v>164</v>
      </c>
      <c r="B175" t="s">
        <v>166</v>
      </c>
      <c r="C175" s="67" t="n">
        <v>2049</v>
      </c>
      <c r="D175" t="s">
        <v>186</v>
      </c>
      <c r="E175" s="68" t="n">
        <v>684799.250800054</v>
      </c>
      <c r="F175" s="69" t="n">
        <v>425211.134887376</v>
      </c>
      <c r="G175" s="70" t="n">
        <v>684799.519243418</v>
      </c>
      <c r="H175" s="71" t="n">
        <v>425211.294806661</v>
      </c>
      <c r="I175" s="72" t="str">
        <f>H175-F175</f>
      </c>
      <c r="J175" s="73" t="str">
        <f>G175-E175</f>
      </c>
    </row>
    <row r="176">
      <c r="A176" t="s">
        <v>164</v>
      </c>
      <c r="B176" t="s">
        <v>166</v>
      </c>
      <c r="C176" s="67" t="n">
        <v>2049</v>
      </c>
      <c r="D176" t="s">
        <v>366</v>
      </c>
      <c r="E176" s="68" t="n">
        <v>43287.6944214261</v>
      </c>
      <c r="F176" s="69" t="n">
        <v>7764.42507595356</v>
      </c>
      <c r="G176" s="70" t="n">
        <v>43287.6941181752</v>
      </c>
      <c r="H176" s="71" t="n">
        <v>7764.42505773382</v>
      </c>
      <c r="I176" s="72" t="str">
        <f>H176-F176</f>
      </c>
      <c r="J176" s="73" t="str">
        <f>G176-E176</f>
      </c>
    </row>
    <row r="177">
      <c r="A177" t="s">
        <v>164</v>
      </c>
      <c r="B177" t="s">
        <v>166</v>
      </c>
      <c r="C177" s="67" t="n">
        <v>2050</v>
      </c>
      <c r="D177" t="s">
        <v>169</v>
      </c>
      <c r="E177" s="68" t="n">
        <v>24110.4257929443</v>
      </c>
      <c r="F177" s="69" t="n">
        <v>16618.9199650323</v>
      </c>
      <c r="G177" s="70" t="n">
        <v>24110.4306261692</v>
      </c>
      <c r="H177" s="71" t="n">
        <v>16618.9237091261</v>
      </c>
      <c r="I177" s="72" t="str">
        <f>H177-F177</f>
      </c>
      <c r="J177" s="73" t="str">
        <f>G177-E177</f>
      </c>
    </row>
    <row r="178">
      <c r="A178" t="s">
        <v>164</v>
      </c>
      <c r="B178" t="s">
        <v>166</v>
      </c>
      <c r="C178" s="67" t="n">
        <v>2050</v>
      </c>
      <c r="D178" t="s">
        <v>208</v>
      </c>
      <c r="E178" s="68" t="n">
        <v>1249575.0335597</v>
      </c>
      <c r="F178" s="69" t="n">
        <v>321866.152939805</v>
      </c>
      <c r="G178" s="70" t="n">
        <v>1249574.98129843</v>
      </c>
      <c r="H178" s="71" t="n">
        <v>321866.145423905</v>
      </c>
      <c r="I178" s="72" t="str">
        <f>H178-F178</f>
      </c>
      <c r="J178" s="73" t="str">
        <f>G178-E178</f>
      </c>
    </row>
    <row r="179">
      <c r="A179" t="s">
        <v>164</v>
      </c>
      <c r="B179" t="s">
        <v>166</v>
      </c>
      <c r="C179" s="67" t="n">
        <v>2050</v>
      </c>
      <c r="D179" t="s">
        <v>176</v>
      </c>
      <c r="E179" s="68" t="n">
        <v>164526.824865238</v>
      </c>
      <c r="F179" s="69" t="n">
        <v>111496.171659832</v>
      </c>
      <c r="G179" s="70" t="n">
        <v>164526.94959842</v>
      </c>
      <c r="H179" s="71" t="n">
        <v>111496.260054028</v>
      </c>
      <c r="I179" s="72" t="str">
        <f>H179-F179</f>
      </c>
      <c r="J179" s="73" t="str">
        <f>G179-E179</f>
      </c>
    </row>
    <row r="180">
      <c r="A180" t="s">
        <v>164</v>
      </c>
      <c r="B180" t="s">
        <v>166</v>
      </c>
      <c r="C180" s="67" t="n">
        <v>2050</v>
      </c>
      <c r="D180" t="s">
        <v>180</v>
      </c>
      <c r="E180" s="68" t="n">
        <v>509923.566756199</v>
      </c>
      <c r="F180" s="69" t="n">
        <v>474893.039017921</v>
      </c>
      <c r="G180" s="70" t="n">
        <v>509923.794653266</v>
      </c>
      <c r="H180" s="71" t="n">
        <v>474893.254554943</v>
      </c>
      <c r="I180" s="72" t="str">
        <f>H180-F180</f>
      </c>
      <c r="J180" s="73" t="str">
        <f>G180-E180</f>
      </c>
    </row>
    <row r="181">
      <c r="A181" t="s">
        <v>164</v>
      </c>
      <c r="B181" t="s">
        <v>166</v>
      </c>
      <c r="C181" s="67" t="n">
        <v>2050</v>
      </c>
      <c r="D181" t="s">
        <v>183</v>
      </c>
      <c r="E181" s="68" t="n">
        <v>881220.091016754</v>
      </c>
      <c r="F181" s="69" t="n">
        <v>571305.043218367</v>
      </c>
      <c r="G181" s="70" t="n">
        <v>881220.210178615</v>
      </c>
      <c r="H181" s="71" t="n">
        <v>571305.130665456</v>
      </c>
      <c r="I181" s="72" t="str">
        <f>H181-F181</f>
      </c>
      <c r="J181" s="73" t="str">
        <f>G181-E181</f>
      </c>
    </row>
    <row r="182">
      <c r="A182" t="s">
        <v>164</v>
      </c>
      <c r="B182" t="s">
        <v>166</v>
      </c>
      <c r="C182" s="67" t="n">
        <v>2050</v>
      </c>
      <c r="D182" t="s">
        <v>186</v>
      </c>
      <c r="E182" s="68" t="n">
        <v>693833.107701649</v>
      </c>
      <c r="F182" s="69" t="n">
        <v>433927.954394916</v>
      </c>
      <c r="G182" s="70" t="n">
        <v>693833.375810026</v>
      </c>
      <c r="H182" s="71" t="n">
        <v>433928.116842437</v>
      </c>
      <c r="I182" s="72" t="str">
        <f>H182-F182</f>
      </c>
      <c r="J182" s="73" t="str">
        <f>G182-E182</f>
      </c>
    </row>
    <row r="183">
      <c r="A183" t="s">
        <v>164</v>
      </c>
      <c r="B183" t="s">
        <v>166</v>
      </c>
      <c r="C183" s="67" t="n">
        <v>2050</v>
      </c>
      <c r="D183" t="s">
        <v>366</v>
      </c>
      <c r="E183" s="68" t="n">
        <v>43337.3343933446</v>
      </c>
      <c r="F183" s="69" t="n">
        <v>7785.59253616645</v>
      </c>
      <c r="G183" s="70" t="n">
        <v>43337.3340718481</v>
      </c>
      <c r="H183" s="71" t="n">
        <v>7785.59251624651</v>
      </c>
      <c r="I183" s="72" t="str">
        <f>H183-F183</f>
      </c>
      <c r="J183" s="73" t="str">
        <f>G183-E183</f>
      </c>
    </row>
    <row r="184">
      <c r="A184" t="s">
        <v>187</v>
      </c>
      <c r="B184" t="s">
        <v>189</v>
      </c>
      <c r="C184" s="67" t="n">
        <v>2025</v>
      </c>
      <c r="D184" t="s">
        <v>169</v>
      </c>
      <c r="E184" s="68" t="n">
        <v>12347.3896757033</v>
      </c>
      <c r="F184" s="69" t="n">
        <v>8975.30849722876</v>
      </c>
      <c r="G184" s="70" t="n">
        <v>12347.3896757033</v>
      </c>
      <c r="H184" s="71" t="n">
        <v>8975.30849722876</v>
      </c>
      <c r="I184" s="72" t="str">
        <f>H184-F184</f>
      </c>
      <c r="J184" s="73" t="str">
        <f>G184-E184</f>
      </c>
    </row>
    <row r="185">
      <c r="A185" t="s">
        <v>187</v>
      </c>
      <c r="B185" t="s">
        <v>189</v>
      </c>
      <c r="C185" s="67" t="n">
        <v>2025</v>
      </c>
      <c r="D185" t="s">
        <v>208</v>
      </c>
      <c r="E185" s="68" t="n">
        <v>1026043.97207164</v>
      </c>
      <c r="F185" s="69" t="n">
        <v>129403.022830672</v>
      </c>
      <c r="G185" s="70" t="n">
        <v>1026043.97207164</v>
      </c>
      <c r="H185" s="71" t="n">
        <v>129403.022830672</v>
      </c>
      <c r="I185" s="72" t="str">
        <f>H185-F185</f>
      </c>
      <c r="J185" s="73" t="str">
        <f>G185-E185</f>
      </c>
    </row>
    <row r="186">
      <c r="A186" t="s">
        <v>187</v>
      </c>
      <c r="B186" t="s">
        <v>189</v>
      </c>
      <c r="C186" s="67" t="n">
        <v>2025</v>
      </c>
      <c r="D186" t="s">
        <v>176</v>
      </c>
      <c r="E186" s="68" t="n">
        <v>91684.5090142746</v>
      </c>
      <c r="F186" s="69" t="n">
        <v>63318.7518252021</v>
      </c>
      <c r="G186" s="70" t="n">
        <v>91684.5090142746</v>
      </c>
      <c r="H186" s="71" t="n">
        <v>63318.7518252021</v>
      </c>
      <c r="I186" s="72" t="str">
        <f>H186-F186</f>
      </c>
      <c r="J186" s="73" t="str">
        <f>G186-E186</f>
      </c>
    </row>
    <row r="187">
      <c r="A187" t="s">
        <v>187</v>
      </c>
      <c r="B187" t="s">
        <v>189</v>
      </c>
      <c r="C187" s="67" t="n">
        <v>2025</v>
      </c>
      <c r="D187" t="s">
        <v>180</v>
      </c>
      <c r="E187" s="68" t="n">
        <v>327817.992111529</v>
      </c>
      <c r="F187" s="69" t="n">
        <v>300216.82861998</v>
      </c>
      <c r="G187" s="70" t="n">
        <v>327817.992111529</v>
      </c>
      <c r="H187" s="71" t="n">
        <v>300216.82861998</v>
      </c>
      <c r="I187" s="72" t="str">
        <f>H187-F187</f>
      </c>
      <c r="J187" s="73" t="str">
        <f>G187-E187</f>
      </c>
    </row>
    <row r="188">
      <c r="A188" t="s">
        <v>187</v>
      </c>
      <c r="B188" t="s">
        <v>189</v>
      </c>
      <c r="C188" s="67" t="n">
        <v>2025</v>
      </c>
      <c r="D188" t="s">
        <v>183</v>
      </c>
      <c r="E188" s="68" t="n">
        <v>563964.128928848</v>
      </c>
      <c r="F188" s="69" t="n">
        <v>321188.162987932</v>
      </c>
      <c r="G188" s="70" t="n">
        <v>563964.128928848</v>
      </c>
      <c r="H188" s="71" t="n">
        <v>321188.162987932</v>
      </c>
      <c r="I188" s="72" t="str">
        <f>H188-F188</f>
      </c>
      <c r="J188" s="73" t="str">
        <f>G188-E188</f>
      </c>
    </row>
    <row r="189">
      <c r="A189" t="s">
        <v>187</v>
      </c>
      <c r="B189" t="s">
        <v>189</v>
      </c>
      <c r="C189" s="67" t="n">
        <v>2025</v>
      </c>
      <c r="D189" t="s">
        <v>186</v>
      </c>
      <c r="E189" s="68" t="n">
        <v>396205.912797568</v>
      </c>
      <c r="F189" s="69" t="n">
        <v>191954.713579597</v>
      </c>
      <c r="G189" s="70" t="n">
        <v>396205.912797568</v>
      </c>
      <c r="H189" s="71" t="n">
        <v>191954.713579597</v>
      </c>
      <c r="I189" s="72" t="str">
        <f>H189-F189</f>
      </c>
      <c r="J189" s="73" t="str">
        <f>G189-E189</f>
      </c>
    </row>
    <row r="190">
      <c r="A190" t="s">
        <v>187</v>
      </c>
      <c r="B190" t="s">
        <v>189</v>
      </c>
      <c r="C190" s="67" t="n">
        <v>2025</v>
      </c>
      <c r="D190" t="s">
        <v>366</v>
      </c>
      <c r="E190" s="68" t="n">
        <v>44024.8557845561</v>
      </c>
      <c r="F190" s="69" t="n">
        <v>6961.02866951274</v>
      </c>
      <c r="G190" s="70" t="n">
        <v>44024.8557845561</v>
      </c>
      <c r="H190" s="71" t="n">
        <v>6961.02866951274</v>
      </c>
      <c r="I190" s="72" t="str">
        <f>H190-F190</f>
      </c>
      <c r="J190" s="73" t="str">
        <f>G190-E190</f>
      </c>
    </row>
    <row r="191">
      <c r="A191" t="s">
        <v>187</v>
      </c>
      <c r="B191" t="s">
        <v>189</v>
      </c>
      <c r="C191" s="67" t="n">
        <v>2026</v>
      </c>
      <c r="D191" t="s">
        <v>169</v>
      </c>
      <c r="E191" s="68" t="n">
        <v>12812.5063258105</v>
      </c>
      <c r="F191" s="69" t="n">
        <v>9308.26420910955</v>
      </c>
      <c r="G191" s="70" t="n">
        <v>12812.507871628</v>
      </c>
      <c r="H191" s="71" t="n">
        <v>9308.26420910955</v>
      </c>
      <c r="I191" s="72" t="str">
        <f>H191-F191</f>
      </c>
      <c r="J191" s="73" t="str">
        <f>G191-E191</f>
      </c>
    </row>
    <row r="192">
      <c r="A192" t="s">
        <v>187</v>
      </c>
      <c r="B192" t="s">
        <v>189</v>
      </c>
      <c r="C192" s="67" t="n">
        <v>2026</v>
      </c>
      <c r="D192" t="s">
        <v>208</v>
      </c>
      <c r="E192" s="68" t="n">
        <v>1040956.74283153</v>
      </c>
      <c r="F192" s="69" t="n">
        <v>137191.896136923</v>
      </c>
      <c r="G192" s="70" t="n">
        <v>1040956.74283153</v>
      </c>
      <c r="H192" s="71" t="n">
        <v>137191.896136923</v>
      </c>
      <c r="I192" s="72" t="str">
        <f>H192-F192</f>
      </c>
      <c r="J192" s="73" t="str">
        <f>G192-E192</f>
      </c>
    </row>
    <row r="193">
      <c r="A193" t="s">
        <v>187</v>
      </c>
      <c r="B193" t="s">
        <v>189</v>
      </c>
      <c r="C193" s="67" t="n">
        <v>2026</v>
      </c>
      <c r="D193" t="s">
        <v>176</v>
      </c>
      <c r="E193" s="68" t="n">
        <v>95077.1529645747</v>
      </c>
      <c r="F193" s="69" t="n">
        <v>65164.4704134017</v>
      </c>
      <c r="G193" s="70" t="n">
        <v>95077.1833035265</v>
      </c>
      <c r="H193" s="71" t="n">
        <v>65164.4704134017</v>
      </c>
      <c r="I193" s="72" t="str">
        <f>H193-F193</f>
      </c>
      <c r="J193" s="73" t="str">
        <f>G193-E193</f>
      </c>
    </row>
    <row r="194">
      <c r="A194" t="s">
        <v>187</v>
      </c>
      <c r="B194" t="s">
        <v>189</v>
      </c>
      <c r="C194" s="67" t="n">
        <v>2026</v>
      </c>
      <c r="D194" t="s">
        <v>180</v>
      </c>
      <c r="E194" s="68" t="n">
        <v>336875.358980431</v>
      </c>
      <c r="F194" s="69" t="n">
        <v>308606.943045308</v>
      </c>
      <c r="G194" s="70" t="n">
        <v>336875.423495605</v>
      </c>
      <c r="H194" s="71" t="n">
        <v>308606.943045308</v>
      </c>
      <c r="I194" s="72" t="str">
        <f>H194-F194</f>
      </c>
      <c r="J194" s="73" t="str">
        <f>G194-E194</f>
      </c>
    </row>
    <row r="195">
      <c r="A195" t="s">
        <v>187</v>
      </c>
      <c r="B195" t="s">
        <v>189</v>
      </c>
      <c r="C195" s="67" t="n">
        <v>2026</v>
      </c>
      <c r="D195" t="s">
        <v>183</v>
      </c>
      <c r="E195" s="68" t="n">
        <v>580111.492412282</v>
      </c>
      <c r="F195" s="69" t="n">
        <v>332896.185768311</v>
      </c>
      <c r="G195" s="70" t="n">
        <v>580111.541957649</v>
      </c>
      <c r="H195" s="71" t="n">
        <v>332896.185768311</v>
      </c>
      <c r="I195" s="72" t="str">
        <f>H195-F195</f>
      </c>
      <c r="J195" s="73" t="str">
        <f>G195-E195</f>
      </c>
    </row>
    <row r="196">
      <c r="A196" t="s">
        <v>187</v>
      </c>
      <c r="B196" t="s">
        <v>189</v>
      </c>
      <c r="C196" s="67" t="n">
        <v>2026</v>
      </c>
      <c r="D196" t="s">
        <v>186</v>
      </c>
      <c r="E196" s="68" t="n">
        <v>409829.794394839</v>
      </c>
      <c r="F196" s="69" t="n">
        <v>202008.199783237</v>
      </c>
      <c r="G196" s="70" t="n">
        <v>409829.87281699</v>
      </c>
      <c r="H196" s="71" t="n">
        <v>202008.199783237</v>
      </c>
      <c r="I196" s="72" t="str">
        <f>H196-F196</f>
      </c>
      <c r="J196" s="73" t="str">
        <f>G196-E196</f>
      </c>
    </row>
    <row r="197">
      <c r="A197" t="s">
        <v>187</v>
      </c>
      <c r="B197" t="s">
        <v>189</v>
      </c>
      <c r="C197" s="67" t="n">
        <v>2026</v>
      </c>
      <c r="D197" t="s">
        <v>366</v>
      </c>
      <c r="E197" s="68" t="n">
        <v>44219.1707517653</v>
      </c>
      <c r="F197" s="69" t="n">
        <v>7023.77126872287</v>
      </c>
      <c r="G197" s="70" t="n">
        <v>44219.1707517653</v>
      </c>
      <c r="H197" s="71" t="n">
        <v>7023.77126872287</v>
      </c>
      <c r="I197" s="72" t="str">
        <f>H197-F197</f>
      </c>
      <c r="J197" s="73" t="str">
        <f>G197-E197</f>
      </c>
    </row>
    <row r="198">
      <c r="A198" t="s">
        <v>187</v>
      </c>
      <c r="B198" t="s">
        <v>189</v>
      </c>
      <c r="C198" s="67" t="n">
        <v>2027</v>
      </c>
      <c r="D198" t="s">
        <v>169</v>
      </c>
      <c r="E198" s="68" t="n">
        <v>13273.4785626303</v>
      </c>
      <c r="F198" s="69" t="n">
        <v>9640.7150534108</v>
      </c>
      <c r="G198" s="70" t="n">
        <v>13273.481772584</v>
      </c>
      <c r="H198" s="71" t="n">
        <v>9640.71530777017</v>
      </c>
      <c r="I198" s="72" t="str">
        <f>H198-F198</f>
      </c>
      <c r="J198" s="73" t="str">
        <f>G198-E198</f>
      </c>
    </row>
    <row r="199">
      <c r="A199" t="s">
        <v>187</v>
      </c>
      <c r="B199" t="s">
        <v>189</v>
      </c>
      <c r="C199" s="67" t="n">
        <v>2027</v>
      </c>
      <c r="D199" t="s">
        <v>208</v>
      </c>
      <c r="E199" s="68" t="n">
        <v>1055255.40879996</v>
      </c>
      <c r="F199" s="69" t="n">
        <v>145087.130776418</v>
      </c>
      <c r="G199" s="70" t="n">
        <v>1055255.40879996</v>
      </c>
      <c r="H199" s="71" t="n">
        <v>145087.130776418</v>
      </c>
      <c r="I199" s="72" t="str">
        <f>H199-F199</f>
      </c>
      <c r="J199" s="73" t="str">
        <f>G199-E199</f>
      </c>
    </row>
    <row r="200">
      <c r="A200" t="s">
        <v>187</v>
      </c>
      <c r="B200" t="s">
        <v>189</v>
      </c>
      <c r="C200" s="67" t="n">
        <v>2027</v>
      </c>
      <c r="D200" t="s">
        <v>176</v>
      </c>
      <c r="E200" s="68" t="n">
        <v>98448.7651059145</v>
      </c>
      <c r="F200" s="69" t="n">
        <v>67068.0117622198</v>
      </c>
      <c r="G200" s="70" t="n">
        <v>98448.8278839669</v>
      </c>
      <c r="H200" s="71" t="n">
        <v>67068.0169086102</v>
      </c>
      <c r="I200" s="72" t="str">
        <f>H200-F200</f>
      </c>
      <c r="J200" s="73" t="str">
        <f>G200-E200</f>
      </c>
    </row>
    <row r="201">
      <c r="A201" t="s">
        <v>187</v>
      </c>
      <c r="B201" t="s">
        <v>189</v>
      </c>
      <c r="C201" s="67" t="n">
        <v>2027</v>
      </c>
      <c r="D201" t="s">
        <v>180</v>
      </c>
      <c r="E201" s="68" t="n">
        <v>345936.574402215</v>
      </c>
      <c r="F201" s="69" t="n">
        <v>317119.52513128</v>
      </c>
      <c r="G201" s="70" t="n">
        <v>345936.706716403</v>
      </c>
      <c r="H201" s="71" t="n">
        <v>317119.553552555</v>
      </c>
      <c r="I201" s="72" t="str">
        <f>H201-F201</f>
      </c>
      <c r="J201" s="73" t="str">
        <f>G201-E201</f>
      </c>
    </row>
    <row r="202">
      <c r="A202" t="s">
        <v>187</v>
      </c>
      <c r="B202" t="s">
        <v>189</v>
      </c>
      <c r="C202" s="67" t="n">
        <v>2027</v>
      </c>
      <c r="D202" t="s">
        <v>183</v>
      </c>
      <c r="E202" s="68" t="n">
        <v>596148.730843785</v>
      </c>
      <c r="F202" s="69" t="n">
        <v>344517.271461182</v>
      </c>
      <c r="G202" s="70" t="n">
        <v>596148.832334676</v>
      </c>
      <c r="H202" s="71" t="n">
        <v>344517.274659827</v>
      </c>
      <c r="I202" s="72" t="str">
        <f>H202-F202</f>
      </c>
      <c r="J202" s="73" t="str">
        <f>G202-E202</f>
      </c>
    </row>
    <row r="203">
      <c r="A203" t="s">
        <v>187</v>
      </c>
      <c r="B203" t="s">
        <v>189</v>
      </c>
      <c r="C203" s="67" t="n">
        <v>2027</v>
      </c>
      <c r="D203" t="s">
        <v>186</v>
      </c>
      <c r="E203" s="68" t="n">
        <v>423484.93979526</v>
      </c>
      <c r="F203" s="69" t="n">
        <v>211995.481973999</v>
      </c>
      <c r="G203" s="70" t="n">
        <v>423485.101321999</v>
      </c>
      <c r="H203" s="71" t="n">
        <v>211995.488024171</v>
      </c>
      <c r="I203" s="72" t="str">
        <f>H203-F203</f>
      </c>
      <c r="J203" s="73" t="str">
        <f>G203-E203</f>
      </c>
    </row>
    <row r="204">
      <c r="A204" t="s">
        <v>187</v>
      </c>
      <c r="B204" t="s">
        <v>189</v>
      </c>
      <c r="C204" s="67" t="n">
        <v>2027</v>
      </c>
      <c r="D204" t="s">
        <v>366</v>
      </c>
      <c r="E204" s="68" t="n">
        <v>44384.2018393689</v>
      </c>
      <c r="F204" s="69" t="n">
        <v>7080.05700568168</v>
      </c>
      <c r="G204" s="70" t="n">
        <v>44384.2018393689</v>
      </c>
      <c r="H204" s="71" t="n">
        <v>7080.05700568168</v>
      </c>
      <c r="I204" s="72" t="str">
        <f>H204-F204</f>
      </c>
      <c r="J204" s="73" t="str">
        <f>G204-E204</f>
      </c>
    </row>
    <row r="205">
      <c r="A205" t="s">
        <v>187</v>
      </c>
      <c r="B205" t="s">
        <v>189</v>
      </c>
      <c r="C205" s="67" t="n">
        <v>2028</v>
      </c>
      <c r="D205" t="s">
        <v>169</v>
      </c>
      <c r="E205" s="68" t="n">
        <v>13729.4955236384</v>
      </c>
      <c r="F205" s="69" t="n">
        <v>9971.45399881116</v>
      </c>
      <c r="G205" s="70" t="n">
        <v>13729.5005000864</v>
      </c>
      <c r="H205" s="71" t="n">
        <v>9971.45472163389</v>
      </c>
      <c r="I205" s="72" t="str">
        <f>H205-F205</f>
      </c>
      <c r="J205" s="73" t="str">
        <f>G205-E205</f>
      </c>
    </row>
    <row r="206">
      <c r="A206" t="s">
        <v>187</v>
      </c>
      <c r="B206" t="s">
        <v>189</v>
      </c>
      <c r="C206" s="67" t="n">
        <v>2028</v>
      </c>
      <c r="D206" t="s">
        <v>208</v>
      </c>
      <c r="E206" s="68" t="n">
        <v>1069005.07123402</v>
      </c>
      <c r="F206" s="69" t="n">
        <v>153077.867387244</v>
      </c>
      <c r="G206" s="70" t="n">
        <v>1069005.07088018</v>
      </c>
      <c r="H206" s="71" t="n">
        <v>153077.867387244</v>
      </c>
      <c r="I206" s="72" t="str">
        <f>H206-F206</f>
      </c>
      <c r="J206" s="73" t="str">
        <f>G206-E206</f>
      </c>
    </row>
    <row r="207">
      <c r="A207" t="s">
        <v>187</v>
      </c>
      <c r="B207" t="s">
        <v>189</v>
      </c>
      <c r="C207" s="67" t="n">
        <v>2028</v>
      </c>
      <c r="D207" t="s">
        <v>176</v>
      </c>
      <c r="E207" s="68" t="n">
        <v>101797.870402298</v>
      </c>
      <c r="F207" s="69" t="n">
        <v>69019.9186194144</v>
      </c>
      <c r="G207" s="70" t="n">
        <v>101797.96761407</v>
      </c>
      <c r="H207" s="71" t="n">
        <v>69019.933123165</v>
      </c>
      <c r="I207" s="72" t="str">
        <f>H207-F207</f>
      </c>
      <c r="J207" s="73" t="str">
        <f>G207-E207</f>
      </c>
    </row>
    <row r="208">
      <c r="A208" t="s">
        <v>187</v>
      </c>
      <c r="B208" t="s">
        <v>189</v>
      </c>
      <c r="C208" s="67" t="n">
        <v>2028</v>
      </c>
      <c r="D208" t="s">
        <v>180</v>
      </c>
      <c r="E208" s="68" t="n">
        <v>354965.332534871</v>
      </c>
      <c r="F208" s="69" t="n">
        <v>325690.612747597</v>
      </c>
      <c r="G208" s="70" t="n">
        <v>354965.535819133</v>
      </c>
      <c r="H208" s="71" t="n">
        <v>325690.683016893</v>
      </c>
      <c r="I208" s="72" t="str">
        <f>H208-F208</f>
      </c>
      <c r="J208" s="73" t="str">
        <f>G208-E208</f>
      </c>
    </row>
    <row r="209">
      <c r="A209" t="s">
        <v>187</v>
      </c>
      <c r="B209" t="s">
        <v>189</v>
      </c>
      <c r="C209" s="67" t="n">
        <v>2028</v>
      </c>
      <c r="D209" t="s">
        <v>183</v>
      </c>
      <c r="E209" s="68" t="n">
        <v>612031.504058769</v>
      </c>
      <c r="F209" s="69" t="n">
        <v>356073.561910158</v>
      </c>
      <c r="G209" s="70" t="n">
        <v>612031.659444751</v>
      </c>
      <c r="H209" s="71" t="n">
        <v>356073.571438059</v>
      </c>
      <c r="I209" s="72" t="str">
        <f>H209-F209</f>
      </c>
      <c r="J209" s="73" t="str">
        <f>G209-E209</f>
      </c>
    </row>
    <row r="210">
      <c r="A210" t="s">
        <v>187</v>
      </c>
      <c r="B210" t="s">
        <v>189</v>
      </c>
      <c r="C210" s="67" t="n">
        <v>2028</v>
      </c>
      <c r="D210" t="s">
        <v>186</v>
      </c>
      <c r="E210" s="68" t="n">
        <v>437159.506220247</v>
      </c>
      <c r="F210" s="69" t="n">
        <v>221908.941071543</v>
      </c>
      <c r="G210" s="70" t="n">
        <v>437159.755191958</v>
      </c>
      <c r="H210" s="71" t="n">
        <v>221908.958563303</v>
      </c>
      <c r="I210" s="72" t="str">
        <f>H210-F210</f>
      </c>
      <c r="J210" s="73" t="str">
        <f>G210-E210</f>
      </c>
    </row>
    <row r="211">
      <c r="A211" t="s">
        <v>187</v>
      </c>
      <c r="B211" t="s">
        <v>189</v>
      </c>
      <c r="C211" s="67" t="n">
        <v>2028</v>
      </c>
      <c r="D211" t="s">
        <v>366</v>
      </c>
      <c r="E211" s="68" t="n">
        <v>44510.0649648148</v>
      </c>
      <c r="F211" s="69" t="n">
        <v>7131.07016356498</v>
      </c>
      <c r="G211" s="70" t="n">
        <v>44510.0649629929</v>
      </c>
      <c r="H211" s="71" t="n">
        <v>7131.07016356498</v>
      </c>
      <c r="I211" s="72" t="str">
        <f>H211-F211</f>
      </c>
      <c r="J211" s="73" t="str">
        <f>G211-E211</f>
      </c>
    </row>
    <row r="212">
      <c r="A212" t="s">
        <v>187</v>
      </c>
      <c r="B212" t="s">
        <v>189</v>
      </c>
      <c r="C212" s="67" t="n">
        <v>2029</v>
      </c>
      <c r="D212" t="s">
        <v>169</v>
      </c>
      <c r="E212" s="68" t="n">
        <v>14181.4168023669</v>
      </c>
      <c r="F212" s="69" t="n">
        <v>10301.2282049294</v>
      </c>
      <c r="G212" s="70" t="n">
        <v>14181.4236375467</v>
      </c>
      <c r="H212" s="71" t="n">
        <v>10301.2295792609</v>
      </c>
      <c r="I212" s="72" t="str">
        <f>H212-F212</f>
      </c>
      <c r="J212" s="73" t="str">
        <f>G212-E212</f>
      </c>
    </row>
    <row r="213">
      <c r="A213" t="s">
        <v>187</v>
      </c>
      <c r="B213" t="s">
        <v>189</v>
      </c>
      <c r="C213" s="67" t="n">
        <v>2029</v>
      </c>
      <c r="D213" t="s">
        <v>208</v>
      </c>
      <c r="E213" s="68" t="n">
        <v>1082252.395496</v>
      </c>
      <c r="F213" s="69" t="n">
        <v>161161.062139155</v>
      </c>
      <c r="G213" s="70" t="n">
        <v>1082252.39423074</v>
      </c>
      <c r="H213" s="71" t="n">
        <v>161161.062132093</v>
      </c>
      <c r="I213" s="72" t="str">
        <f>H213-F213</f>
      </c>
      <c r="J213" s="73" t="str">
        <f>G213-E213</f>
      </c>
    </row>
    <row r="214">
      <c r="A214" t="s">
        <v>187</v>
      </c>
      <c r="B214" t="s">
        <v>189</v>
      </c>
      <c r="C214" s="67" t="n">
        <v>2029</v>
      </c>
      <c r="D214" t="s">
        <v>176</v>
      </c>
      <c r="E214" s="68" t="n">
        <v>105114.559790623</v>
      </c>
      <c r="F214" s="69" t="n">
        <v>71042.0270342986</v>
      </c>
      <c r="G214" s="70" t="n">
        <v>105114.693344183</v>
      </c>
      <c r="H214" s="71" t="n">
        <v>71042.0544294395</v>
      </c>
      <c r="I214" s="72" t="str">
        <f>H214-F214</f>
      </c>
      <c r="J214" s="73" t="str">
        <f>G214-E214</f>
      </c>
    </row>
    <row r="215">
      <c r="A215" t="s">
        <v>187</v>
      </c>
      <c r="B215" t="s">
        <v>189</v>
      </c>
      <c r="C215" s="67" t="n">
        <v>2029</v>
      </c>
      <c r="D215" t="s">
        <v>180</v>
      </c>
      <c r="E215" s="68" t="n">
        <v>363895.926976669</v>
      </c>
      <c r="F215" s="69" t="n">
        <v>334292.556096581</v>
      </c>
      <c r="G215" s="70" t="n">
        <v>363896.204247168</v>
      </c>
      <c r="H215" s="71" t="n">
        <v>334292.677138926</v>
      </c>
      <c r="I215" s="72" t="str">
        <f>H215-F215</f>
      </c>
      <c r="J215" s="73" t="str">
        <f>G215-E215</f>
      </c>
    </row>
    <row r="216">
      <c r="A216" t="s">
        <v>187</v>
      </c>
      <c r="B216" t="s">
        <v>189</v>
      </c>
      <c r="C216" s="67" t="n">
        <v>2029</v>
      </c>
      <c r="D216" t="s">
        <v>183</v>
      </c>
      <c r="E216" s="68" t="n">
        <v>627726.125966068</v>
      </c>
      <c r="F216" s="69" t="n">
        <v>367575.20387093</v>
      </c>
      <c r="G216" s="70" t="n">
        <v>627726.336898794</v>
      </c>
      <c r="H216" s="71" t="n">
        <v>367575.22274735</v>
      </c>
      <c r="I216" s="72" t="str">
        <f>H216-F216</f>
      </c>
      <c r="J216" s="73" t="str">
        <f>G216-E216</f>
      </c>
    </row>
    <row r="217">
      <c r="A217" t="s">
        <v>187</v>
      </c>
      <c r="B217" t="s">
        <v>189</v>
      </c>
      <c r="C217" s="67" t="n">
        <v>2029</v>
      </c>
      <c r="D217" t="s">
        <v>186</v>
      </c>
      <c r="E217" s="68" t="n">
        <v>450785.793497003</v>
      </c>
      <c r="F217" s="69" t="n">
        <v>231707.984934226</v>
      </c>
      <c r="G217" s="70" t="n">
        <v>450786.134013569</v>
      </c>
      <c r="H217" s="71" t="n">
        <v>231708.01887569</v>
      </c>
      <c r="I217" s="72" t="str">
        <f>H217-F217</f>
      </c>
      <c r="J217" s="73" t="str">
        <f>G217-E217</f>
      </c>
    </row>
    <row r="218">
      <c r="A218" t="s">
        <v>187</v>
      </c>
      <c r="B218" t="s">
        <v>189</v>
      </c>
      <c r="C218" s="67" t="n">
        <v>2029</v>
      </c>
      <c r="D218" t="s">
        <v>366</v>
      </c>
      <c r="E218" s="68" t="n">
        <v>44600.2614501561</v>
      </c>
      <c r="F218" s="69" t="n">
        <v>7178.21931599872</v>
      </c>
      <c r="G218" s="70" t="n">
        <v>44600.2614435955</v>
      </c>
      <c r="H218" s="71" t="n">
        <v>7178.21931597252</v>
      </c>
      <c r="I218" s="72" t="str">
        <f>H218-F218</f>
      </c>
      <c r="J218" s="73" t="str">
        <f>G218-E218</f>
      </c>
    </row>
    <row r="219">
      <c r="A219" t="s">
        <v>187</v>
      </c>
      <c r="B219" t="s">
        <v>189</v>
      </c>
      <c r="C219" s="67" t="n">
        <v>2030</v>
      </c>
      <c r="D219" t="s">
        <v>169</v>
      </c>
      <c r="E219" s="68" t="n">
        <v>14630.9175795143</v>
      </c>
      <c r="F219" s="69" t="n">
        <v>10630.2680834071</v>
      </c>
      <c r="G219" s="70" t="n">
        <v>14630.9263575645</v>
      </c>
      <c r="H219" s="71" t="n">
        <v>10630.2702680602</v>
      </c>
      <c r="I219" s="72" t="str">
        <f>H219-F219</f>
      </c>
      <c r="J219" s="73" t="str">
        <f>G219-E219</f>
      </c>
    </row>
    <row r="220">
      <c r="A220" t="s">
        <v>187</v>
      </c>
      <c r="B220" t="s">
        <v>189</v>
      </c>
      <c r="C220" s="67" t="n">
        <v>2030</v>
      </c>
      <c r="D220" t="s">
        <v>208</v>
      </c>
      <c r="E220" s="68" t="n">
        <v>1094956.84733263</v>
      </c>
      <c r="F220" s="69" t="n">
        <v>169314.834070113</v>
      </c>
      <c r="G220" s="70" t="n">
        <v>1094956.84444967</v>
      </c>
      <c r="H220" s="71" t="n">
        <v>169314.834038038</v>
      </c>
      <c r="I220" s="72" t="str">
        <f>H220-F220</f>
      </c>
      <c r="J220" s="73" t="str">
        <f>G220-E220</f>
      </c>
    </row>
    <row r="221">
      <c r="A221" t="s">
        <v>187</v>
      </c>
      <c r="B221" t="s">
        <v>189</v>
      </c>
      <c r="C221" s="67" t="n">
        <v>2030</v>
      </c>
      <c r="D221" t="s">
        <v>176</v>
      </c>
      <c r="E221" s="68" t="n">
        <v>108393.602045002</v>
      </c>
      <c r="F221" s="69" t="n">
        <v>73120.7577874203</v>
      </c>
      <c r="G221" s="70" t="n">
        <v>108393.77376612</v>
      </c>
      <c r="H221" s="71" t="n">
        <v>73120.8011068864</v>
      </c>
      <c r="I221" s="72" t="str">
        <f>H221-F221</f>
      </c>
      <c r="J221" s="73" t="str">
        <f>G221-E221</f>
      </c>
    </row>
    <row r="222">
      <c r="A222" t="s">
        <v>187</v>
      </c>
      <c r="B222" t="s">
        <v>189</v>
      </c>
      <c r="C222" s="67" t="n">
        <v>2030</v>
      </c>
      <c r="D222" t="s">
        <v>180</v>
      </c>
      <c r="E222" s="68" t="n">
        <v>372741.441310961</v>
      </c>
      <c r="F222" s="69" t="n">
        <v>342889.456881348</v>
      </c>
      <c r="G222" s="70" t="n">
        <v>372741.795461264</v>
      </c>
      <c r="H222" s="71" t="n">
        <v>342889.635366394</v>
      </c>
      <c r="I222" s="72" t="str">
        <f>H222-F222</f>
      </c>
      <c r="J222" s="73" t="str">
        <f>G222-E222</f>
      </c>
    </row>
    <row r="223">
      <c r="A223" t="s">
        <v>187</v>
      </c>
      <c r="B223" t="s">
        <v>189</v>
      </c>
      <c r="C223" s="67" t="n">
        <v>2030</v>
      </c>
      <c r="D223" t="s">
        <v>183</v>
      </c>
      <c r="E223" s="68" t="n">
        <v>643153.943448636</v>
      </c>
      <c r="F223" s="69" t="n">
        <v>378940.200162555</v>
      </c>
      <c r="G223" s="70" t="n">
        <v>643154.211305628</v>
      </c>
      <c r="H223" s="71" t="n">
        <v>378940.231267445</v>
      </c>
      <c r="I223" s="72" t="str">
        <f>H223-F223</f>
      </c>
      <c r="J223" s="73" t="str">
        <f>G223-E223</f>
      </c>
    </row>
    <row r="224">
      <c r="A224" t="s">
        <v>187</v>
      </c>
      <c r="B224" t="s">
        <v>189</v>
      </c>
      <c r="C224" s="67" t="n">
        <v>2030</v>
      </c>
      <c r="D224" t="s">
        <v>186</v>
      </c>
      <c r="E224" s="68" t="n">
        <v>464360.082138035</v>
      </c>
      <c r="F224" s="69" t="n">
        <v>241310.254815808</v>
      </c>
      <c r="G224" s="70" t="n">
        <v>464360.518103772</v>
      </c>
      <c r="H224" s="71" t="n">
        <v>241310.309903655</v>
      </c>
      <c r="I224" s="72" t="str">
        <f>H224-F224</f>
      </c>
      <c r="J224" s="73" t="str">
        <f>G224-E224</f>
      </c>
    </row>
    <row r="225">
      <c r="A225" t="s">
        <v>187</v>
      </c>
      <c r="B225" t="s">
        <v>189</v>
      </c>
      <c r="C225" s="67" t="n">
        <v>2030</v>
      </c>
      <c r="D225" t="s">
        <v>366</v>
      </c>
      <c r="E225" s="68" t="n">
        <v>44647.2689303479</v>
      </c>
      <c r="F225" s="69" t="n">
        <v>7223.11031485923</v>
      </c>
      <c r="G225" s="70" t="n">
        <v>44647.268915283</v>
      </c>
      <c r="H225" s="71" t="n">
        <v>7223.11031474236</v>
      </c>
      <c r="I225" s="72" t="str">
        <f>H225-F225</f>
      </c>
      <c r="J225" s="73" t="str">
        <f>G225-E225</f>
      </c>
    </row>
    <row r="226">
      <c r="A226" t="s">
        <v>187</v>
      </c>
      <c r="B226" t="s">
        <v>189</v>
      </c>
      <c r="C226" s="67" t="n">
        <v>2031</v>
      </c>
      <c r="D226" t="s">
        <v>169</v>
      </c>
      <c r="E226" s="68" t="n">
        <v>15080.3735903043</v>
      </c>
      <c r="F226" s="69" t="n">
        <v>10955.4223997775</v>
      </c>
      <c r="G226" s="70" t="n">
        <v>15080.3825495532</v>
      </c>
      <c r="H226" s="71" t="n">
        <v>10955.4255331558</v>
      </c>
      <c r="I226" s="72" t="str">
        <f>H226-F226</f>
      </c>
      <c r="J226" s="73" t="str">
        <f>G226-E226</f>
      </c>
    </row>
    <row r="227">
      <c r="A227" t="s">
        <v>187</v>
      </c>
      <c r="B227" t="s">
        <v>189</v>
      </c>
      <c r="C227" s="67" t="n">
        <v>2031</v>
      </c>
      <c r="D227" t="s">
        <v>208</v>
      </c>
      <c r="E227" s="68" t="n">
        <v>1107027.69695223</v>
      </c>
      <c r="F227" s="69" t="n">
        <v>177510.90628526</v>
      </c>
      <c r="G227" s="70" t="n">
        <v>1107027.69162894</v>
      </c>
      <c r="H227" s="71" t="n">
        <v>177510.906196669</v>
      </c>
      <c r="I227" s="72" t="str">
        <f>H227-F227</f>
      </c>
      <c r="J227" s="73" t="str">
        <f>G227-E227</f>
      </c>
    </row>
    <row r="228">
      <c r="A228" t="s">
        <v>187</v>
      </c>
      <c r="B228" t="s">
        <v>189</v>
      </c>
      <c r="C228" s="67" t="n">
        <v>2031</v>
      </c>
      <c r="D228" t="s">
        <v>176</v>
      </c>
      <c r="E228" s="68" t="n">
        <v>111632.771548412</v>
      </c>
      <c r="F228" s="69" t="n">
        <v>75230.1577685042</v>
      </c>
      <c r="G228" s="70" t="n">
        <v>111632.947554352</v>
      </c>
      <c r="H228" s="71" t="n">
        <v>75230.219664338</v>
      </c>
      <c r="I228" s="72" t="str">
        <f>H228-F228</f>
      </c>
      <c r="J228" s="73" t="str">
        <f>G228-E228</f>
      </c>
    </row>
    <row r="229">
      <c r="A229" t="s">
        <v>187</v>
      </c>
      <c r="B229" t="s">
        <v>189</v>
      </c>
      <c r="C229" s="67" t="n">
        <v>2031</v>
      </c>
      <c r="D229" t="s">
        <v>180</v>
      </c>
      <c r="E229" s="68" t="n">
        <v>381469.906230756</v>
      </c>
      <c r="F229" s="69" t="n">
        <v>351432.277380133</v>
      </c>
      <c r="G229" s="70" t="n">
        <v>381470.266781021</v>
      </c>
      <c r="H229" s="71" t="n">
        <v>351432.518672951</v>
      </c>
      <c r="I229" s="72" t="str">
        <f>H229-F229</f>
      </c>
      <c r="J229" s="73" t="str">
        <f>G229-E229</f>
      </c>
    </row>
    <row r="230">
      <c r="A230" t="s">
        <v>187</v>
      </c>
      <c r="B230" t="s">
        <v>189</v>
      </c>
      <c r="C230" s="67" t="n">
        <v>2031</v>
      </c>
      <c r="D230" t="s">
        <v>183</v>
      </c>
      <c r="E230" s="68" t="n">
        <v>658281.879634255</v>
      </c>
      <c r="F230" s="69" t="n">
        <v>390180.956961951</v>
      </c>
      <c r="G230" s="70" t="n">
        <v>658282.149268814</v>
      </c>
      <c r="H230" s="71" t="n">
        <v>390181.003020302</v>
      </c>
      <c r="I230" s="72" t="str">
        <f>H230-F230</f>
      </c>
      <c r="J230" s="73" t="str">
        <f>G230-E230</f>
      </c>
    </row>
    <row r="231">
      <c r="A231" t="s">
        <v>187</v>
      </c>
      <c r="B231" t="s">
        <v>189</v>
      </c>
      <c r="C231" s="67" t="n">
        <v>2031</v>
      </c>
      <c r="D231" t="s">
        <v>186</v>
      </c>
      <c r="E231" s="68" t="n">
        <v>477777.70268342</v>
      </c>
      <c r="F231" s="69" t="n">
        <v>250815.701986085</v>
      </c>
      <c r="G231" s="70" t="n">
        <v>477778.146047482</v>
      </c>
      <c r="H231" s="71" t="n">
        <v>250815.782662592</v>
      </c>
      <c r="I231" s="72" t="str">
        <f>H231-F231</f>
      </c>
      <c r="J231" s="73" t="str">
        <f>G231-E231</f>
      </c>
    </row>
    <row r="232">
      <c r="A232" t="s">
        <v>187</v>
      </c>
      <c r="B232" t="s">
        <v>189</v>
      </c>
      <c r="C232" s="67" t="n">
        <v>2031</v>
      </c>
      <c r="D232" t="s">
        <v>366</v>
      </c>
      <c r="E232" s="68" t="n">
        <v>44640.3473235108</v>
      </c>
      <c r="F232" s="69" t="n">
        <v>7266.76600052439</v>
      </c>
      <c r="G232" s="70" t="n">
        <v>44640.3472954778</v>
      </c>
      <c r="H232" s="71" t="n">
        <v>7266.76600020754</v>
      </c>
      <c r="I232" s="72" t="str">
        <f>H232-F232</f>
      </c>
      <c r="J232" s="73" t="str">
        <f>G232-E232</f>
      </c>
    </row>
    <row r="233">
      <c r="A233" t="s">
        <v>187</v>
      </c>
      <c r="B233" t="s">
        <v>189</v>
      </c>
      <c r="C233" s="67" t="n">
        <v>2032</v>
      </c>
      <c r="D233" t="s">
        <v>169</v>
      </c>
      <c r="E233" s="68" t="n">
        <v>15531.2510981289</v>
      </c>
      <c r="F233" s="69" t="n">
        <v>11274.4915556327</v>
      </c>
      <c r="G233" s="70" t="n">
        <v>15531.2601955666</v>
      </c>
      <c r="H233" s="71" t="n">
        <v>11274.4954497352</v>
      </c>
      <c r="I233" s="72" t="str">
        <f>H233-F233</f>
      </c>
      <c r="J233" s="73" t="str">
        <f>G233-E233</f>
      </c>
    </row>
    <row r="234">
      <c r="A234" t="s">
        <v>187</v>
      </c>
      <c r="B234" t="s">
        <v>189</v>
      </c>
      <c r="C234" s="67" t="n">
        <v>2032</v>
      </c>
      <c r="D234" t="s">
        <v>208</v>
      </c>
      <c r="E234" s="68" t="n">
        <v>1118477.33618007</v>
      </c>
      <c r="F234" s="69" t="n">
        <v>185725.999250589</v>
      </c>
      <c r="G234" s="70" t="n">
        <v>1118477.32749824</v>
      </c>
      <c r="H234" s="71" t="n">
        <v>185725.999058801</v>
      </c>
      <c r="I234" s="72" t="str">
        <f>H234-F234</f>
      </c>
      <c r="J234" s="73" t="str">
        <f>G234-E234</f>
      </c>
    </row>
    <row r="235">
      <c r="A235" t="s">
        <v>187</v>
      </c>
      <c r="B235" t="s">
        <v>189</v>
      </c>
      <c r="C235" s="67" t="n">
        <v>2032</v>
      </c>
      <c r="D235" t="s">
        <v>176</v>
      </c>
      <c r="E235" s="68" t="n">
        <v>114835.041802036</v>
      </c>
      <c r="F235" s="69" t="n">
        <v>77352.9841706781</v>
      </c>
      <c r="G235" s="70" t="n">
        <v>114835.221802653</v>
      </c>
      <c r="H235" s="71" t="n">
        <v>77353.0610239329</v>
      </c>
      <c r="I235" s="72" t="str">
        <f>H235-F235</f>
      </c>
      <c r="J235" s="73" t="str">
        <f>G235-E235</f>
      </c>
    </row>
    <row r="236">
      <c r="A236" t="s">
        <v>187</v>
      </c>
      <c r="B236" t="s">
        <v>189</v>
      </c>
      <c r="C236" s="67" t="n">
        <v>2032</v>
      </c>
      <c r="D236" t="s">
        <v>180</v>
      </c>
      <c r="E236" s="68" t="n">
        <v>389998.010272125</v>
      </c>
      <c r="F236" s="69" t="n">
        <v>359834.271645069</v>
      </c>
      <c r="G236" s="70" t="n">
        <v>389998.376688754</v>
      </c>
      <c r="H236" s="71" t="n">
        <v>359834.546852866</v>
      </c>
      <c r="I236" s="72" t="str">
        <f>H236-F236</f>
      </c>
      <c r="J236" s="73" t="str">
        <f>G236-E236</f>
      </c>
    </row>
    <row r="237">
      <c r="A237" t="s">
        <v>187</v>
      </c>
      <c r="B237" t="s">
        <v>189</v>
      </c>
      <c r="C237" s="67" t="n">
        <v>2032</v>
      </c>
      <c r="D237" t="s">
        <v>183</v>
      </c>
      <c r="E237" s="68" t="n">
        <v>673133.618004637</v>
      </c>
      <c r="F237" s="69" t="n">
        <v>401318.226448403</v>
      </c>
      <c r="G237" s="70" t="n">
        <v>673133.888273266</v>
      </c>
      <c r="H237" s="71" t="n">
        <v>401318.286193472</v>
      </c>
      <c r="I237" s="72" t="str">
        <f>H237-F237</f>
      </c>
      <c r="J237" s="73" t="str">
        <f>G237-E237</f>
      </c>
    </row>
    <row r="238">
      <c r="A238" t="s">
        <v>187</v>
      </c>
      <c r="B238" t="s">
        <v>189</v>
      </c>
      <c r="C238" s="67" t="n">
        <v>2032</v>
      </c>
      <c r="D238" t="s">
        <v>186</v>
      </c>
      <c r="E238" s="68" t="n">
        <v>490904.253774499</v>
      </c>
      <c r="F238" s="69" t="n">
        <v>260346.834750848</v>
      </c>
      <c r="G238" s="70" t="n">
        <v>490904.70344578</v>
      </c>
      <c r="H238" s="71" t="n">
        <v>260346.937343717</v>
      </c>
      <c r="I238" s="72" t="str">
        <f>H238-F238</f>
      </c>
      <c r="J238" s="73" t="str">
        <f>G238-E238</f>
      </c>
    </row>
    <row r="239">
      <c r="A239" t="s">
        <v>187</v>
      </c>
      <c r="B239" t="s">
        <v>189</v>
      </c>
      <c r="C239" s="67" t="n">
        <v>2032</v>
      </c>
      <c r="D239" t="s">
        <v>366</v>
      </c>
      <c r="E239" s="68" t="n">
        <v>44583.2455476426</v>
      </c>
      <c r="F239" s="69" t="n">
        <v>7308.68956901342</v>
      </c>
      <c r="G239" s="70" t="n">
        <v>44583.2455015959</v>
      </c>
      <c r="H239" s="71" t="n">
        <v>7308.68956833998</v>
      </c>
      <c r="I239" s="72" t="str">
        <f>H239-F239</f>
      </c>
      <c r="J239" s="73" t="str">
        <f>G239-E239</f>
      </c>
    </row>
    <row r="240">
      <c r="A240" t="s">
        <v>187</v>
      </c>
      <c r="B240" t="s">
        <v>189</v>
      </c>
      <c r="C240" s="67" t="n">
        <v>2033</v>
      </c>
      <c r="D240" t="s">
        <v>169</v>
      </c>
      <c r="E240" s="68" t="n">
        <v>15983.7083314081</v>
      </c>
      <c r="F240" s="69" t="n">
        <v>11586.9290626467</v>
      </c>
      <c r="G240" s="70" t="n">
        <v>15983.7175379286</v>
      </c>
      <c r="H240" s="71" t="n">
        <v>11586.9335708044</v>
      </c>
      <c r="I240" s="72" t="str">
        <f>H240-F240</f>
      </c>
      <c r="J240" s="73" t="str">
        <f>G240-E240</f>
      </c>
    </row>
    <row r="241">
      <c r="A241" t="s">
        <v>187</v>
      </c>
      <c r="B241" t="s">
        <v>189</v>
      </c>
      <c r="C241" s="67" t="n">
        <v>2033</v>
      </c>
      <c r="D241" t="s">
        <v>208</v>
      </c>
      <c r="E241" s="68" t="n">
        <v>1129233.49106198</v>
      </c>
      <c r="F241" s="69" t="n">
        <v>193953.224581767</v>
      </c>
      <c r="G241" s="70" t="n">
        <v>1129233.47845058</v>
      </c>
      <c r="H241" s="71" t="n">
        <v>193953.224223645</v>
      </c>
      <c r="I241" s="72" t="str">
        <f>H241-F241</f>
      </c>
      <c r="J241" s="73" t="str">
        <f>G241-E241</f>
      </c>
    </row>
    <row r="242">
      <c r="A242" t="s">
        <v>187</v>
      </c>
      <c r="B242" t="s">
        <v>189</v>
      </c>
      <c r="C242" s="67" t="n">
        <v>2033</v>
      </c>
      <c r="D242" t="s">
        <v>176</v>
      </c>
      <c r="E242" s="68" t="n">
        <v>117998.554656293</v>
      </c>
      <c r="F242" s="69" t="n">
        <v>79480.3870733494</v>
      </c>
      <c r="G242" s="70" t="n">
        <v>117998.738437442</v>
      </c>
      <c r="H242" s="71" t="n">
        <v>79480.4761690429</v>
      </c>
      <c r="I242" s="72" t="str">
        <f>H242-F242</f>
      </c>
      <c r="J242" s="73" t="str">
        <f>G242-E242</f>
      </c>
    </row>
    <row r="243">
      <c r="A243" t="s">
        <v>187</v>
      </c>
      <c r="B243" t="s">
        <v>189</v>
      </c>
      <c r="C243" s="67" t="n">
        <v>2033</v>
      </c>
      <c r="D243" t="s">
        <v>180</v>
      </c>
      <c r="E243" s="68" t="n">
        <v>398353.973157176</v>
      </c>
      <c r="F243" s="69" t="n">
        <v>368051.326641955</v>
      </c>
      <c r="G243" s="70" t="n">
        <v>398354.344992358</v>
      </c>
      <c r="H243" s="71" t="n">
        <v>368051.624575443</v>
      </c>
      <c r="I243" s="72" t="str">
        <f>H243-F243</f>
      </c>
      <c r="J243" s="73" t="str">
        <f>G243-E243</f>
      </c>
    </row>
    <row r="244">
      <c r="A244" t="s">
        <v>187</v>
      </c>
      <c r="B244" t="s">
        <v>189</v>
      </c>
      <c r="C244" s="67" t="n">
        <v>2033</v>
      </c>
      <c r="D244" t="s">
        <v>183</v>
      </c>
      <c r="E244" s="68" t="n">
        <v>687634.429406351</v>
      </c>
      <c r="F244" s="69" t="n">
        <v>412348.00345586</v>
      </c>
      <c r="G244" s="70" t="n">
        <v>687634.699546926</v>
      </c>
      <c r="H244" s="71" t="n">
        <v>412348.075678578</v>
      </c>
      <c r="I244" s="72" t="str">
        <f>H244-F244</f>
      </c>
      <c r="J244" s="73" t="str">
        <f>G244-E244</f>
      </c>
    </row>
    <row r="245">
      <c r="A245" t="s">
        <v>187</v>
      </c>
      <c r="B245" t="s">
        <v>189</v>
      </c>
      <c r="C245" s="67" t="n">
        <v>2033</v>
      </c>
      <c r="D245" t="s">
        <v>186</v>
      </c>
      <c r="E245" s="68" t="n">
        <v>503750.654215665</v>
      </c>
      <c r="F245" s="69" t="n">
        <v>269883.285484536</v>
      </c>
      <c r="G245" s="70" t="n">
        <v>503751.109420694</v>
      </c>
      <c r="H245" s="71" t="n">
        <v>269883.407599987</v>
      </c>
      <c r="I245" s="72" t="str">
        <f>H245-F245</f>
      </c>
      <c r="J245" s="73" t="str">
        <f>G245-E245</f>
      </c>
    </row>
    <row r="246">
      <c r="A246" t="s">
        <v>187</v>
      </c>
      <c r="B246" t="s">
        <v>189</v>
      </c>
      <c r="C246" s="67" t="n">
        <v>2033</v>
      </c>
      <c r="D246" t="s">
        <v>366</v>
      </c>
      <c r="E246" s="68" t="n">
        <v>44483.683657172</v>
      </c>
      <c r="F246" s="69" t="n">
        <v>7348.07414855612</v>
      </c>
      <c r="G246" s="70" t="n">
        <v>44483.6835898413</v>
      </c>
      <c r="H246" s="71" t="n">
        <v>7348.07414732206</v>
      </c>
      <c r="I246" s="72" t="str">
        <f>H246-F246</f>
      </c>
      <c r="J246" s="73" t="str">
        <f>G246-E246</f>
      </c>
    </row>
    <row r="247">
      <c r="A247" t="s">
        <v>187</v>
      </c>
      <c r="B247" t="s">
        <v>189</v>
      </c>
      <c r="C247" s="67" t="n">
        <v>2034</v>
      </c>
      <c r="D247" t="s">
        <v>169</v>
      </c>
      <c r="E247" s="68" t="n">
        <v>16436.9219893014</v>
      </c>
      <c r="F247" s="69" t="n">
        <v>11896.3773117281</v>
      </c>
      <c r="G247" s="70" t="n">
        <v>16436.9312806497</v>
      </c>
      <c r="H247" s="71" t="n">
        <v>11896.3823187386</v>
      </c>
      <c r="I247" s="72" t="str">
        <f>H247-F247</f>
      </c>
      <c r="J247" s="73" t="str">
        <f>G247-E247</f>
      </c>
    </row>
    <row r="248">
      <c r="A248" t="s">
        <v>187</v>
      </c>
      <c r="B248" t="s">
        <v>189</v>
      </c>
      <c r="C248" s="67" t="n">
        <v>2034</v>
      </c>
      <c r="D248" t="s">
        <v>208</v>
      </c>
      <c r="E248" s="68" t="n">
        <v>1139357.0364587</v>
      </c>
      <c r="F248" s="69" t="n">
        <v>202147.271041417</v>
      </c>
      <c r="G248" s="70" t="n">
        <v>1139357.01951607</v>
      </c>
      <c r="H248" s="71" t="n">
        <v>202147.27044605</v>
      </c>
      <c r="I248" s="72" t="str">
        <f>H248-F248</f>
      </c>
      <c r="J248" s="73" t="str">
        <f>G248-E248</f>
      </c>
    </row>
    <row r="249">
      <c r="A249" t="s">
        <v>187</v>
      </c>
      <c r="B249" t="s">
        <v>189</v>
      </c>
      <c r="C249" s="67" t="n">
        <v>2034</v>
      </c>
      <c r="D249" t="s">
        <v>176</v>
      </c>
      <c r="E249" s="68" t="n">
        <v>121105.284485776</v>
      </c>
      <c r="F249" s="69" t="n">
        <v>81594.8489727966</v>
      </c>
      <c r="G249" s="70" t="n">
        <v>121105.471839437</v>
      </c>
      <c r="H249" s="71" t="n">
        <v>81594.9482339212</v>
      </c>
      <c r="I249" s="72" t="str">
        <f>H249-F249</f>
      </c>
      <c r="J249" s="73" t="str">
        <f>G249-E249</f>
      </c>
    </row>
    <row r="250">
      <c r="A250" t="s">
        <v>187</v>
      </c>
      <c r="B250" t="s">
        <v>189</v>
      </c>
      <c r="C250" s="67" t="n">
        <v>2034</v>
      </c>
      <c r="D250" t="s">
        <v>180</v>
      </c>
      <c r="E250" s="68" t="n">
        <v>406559.490494485</v>
      </c>
      <c r="F250" s="69" t="n">
        <v>376027.817782839</v>
      </c>
      <c r="G250" s="70" t="n">
        <v>406559.867353788</v>
      </c>
      <c r="H250" s="71" t="n">
        <v>376028.132278335</v>
      </c>
      <c r="I250" s="72" t="str">
        <f>H250-F250</f>
      </c>
      <c r="J250" s="73" t="str">
        <f>G250-E250</f>
      </c>
    </row>
    <row r="251">
      <c r="A251" t="s">
        <v>187</v>
      </c>
      <c r="B251" t="s">
        <v>189</v>
      </c>
      <c r="C251" s="67" t="n">
        <v>2034</v>
      </c>
      <c r="D251" t="s">
        <v>183</v>
      </c>
      <c r="E251" s="68" t="n">
        <v>701691.407975883</v>
      </c>
      <c r="F251" s="69" t="n">
        <v>423259.017008678</v>
      </c>
      <c r="G251" s="70" t="n">
        <v>701691.677358768</v>
      </c>
      <c r="H251" s="71" t="n">
        <v>423259.100590806</v>
      </c>
      <c r="I251" s="72" t="str">
        <f>H251-F251</f>
      </c>
      <c r="J251" s="73" t="str">
        <f>G251-E251</f>
      </c>
    </row>
    <row r="252">
      <c r="A252" t="s">
        <v>187</v>
      </c>
      <c r="B252" t="s">
        <v>189</v>
      </c>
      <c r="C252" s="67" t="n">
        <v>2034</v>
      </c>
      <c r="D252" t="s">
        <v>186</v>
      </c>
      <c r="E252" s="68" t="n">
        <v>516406.078376958</v>
      </c>
      <c r="F252" s="69" t="n">
        <v>279484.840456441</v>
      </c>
      <c r="G252" s="70" t="n">
        <v>516406.53850878</v>
      </c>
      <c r="H252" s="71" t="n">
        <v>279484.980285229</v>
      </c>
      <c r="I252" s="72" t="str">
        <f>H252-F252</f>
      </c>
      <c r="J252" s="73" t="str">
        <f>G252-E252</f>
      </c>
    </row>
    <row r="253">
      <c r="A253" t="s">
        <v>187</v>
      </c>
      <c r="B253" t="s">
        <v>189</v>
      </c>
      <c r="C253" s="67" t="n">
        <v>2034</v>
      </c>
      <c r="D253" t="s">
        <v>366</v>
      </c>
      <c r="E253" s="68" t="n">
        <v>44355.1845412079</v>
      </c>
      <c r="F253" s="69" t="n">
        <v>7385.04094876175</v>
      </c>
      <c r="G253" s="70" t="n">
        <v>44355.184450179</v>
      </c>
      <c r="H253" s="71" t="n">
        <v>7385.04094675217</v>
      </c>
      <c r="I253" s="72" t="str">
        <f>H253-F253</f>
      </c>
      <c r="J253" s="73" t="str">
        <f>G253-E253</f>
      </c>
    </row>
    <row r="254">
      <c r="A254" t="s">
        <v>187</v>
      </c>
      <c r="B254" t="s">
        <v>189</v>
      </c>
      <c r="C254" s="67" t="n">
        <v>2035</v>
      </c>
      <c r="D254" t="s">
        <v>169</v>
      </c>
      <c r="E254" s="68" t="n">
        <v>16892.2047829301</v>
      </c>
      <c r="F254" s="69" t="n">
        <v>12203.0523045503</v>
      </c>
      <c r="G254" s="70" t="n">
        <v>16892.2141390053</v>
      </c>
      <c r="H254" s="71" t="n">
        <v>12203.0577178634</v>
      </c>
      <c r="I254" s="72" t="str">
        <f>H254-F254</f>
      </c>
      <c r="J254" s="73" t="str">
        <f>G254-E254</f>
      </c>
    </row>
    <row r="255">
      <c r="A255" t="s">
        <v>187</v>
      </c>
      <c r="B255" t="s">
        <v>189</v>
      </c>
      <c r="C255" s="67" t="n">
        <v>2035</v>
      </c>
      <c r="D255" t="s">
        <v>208</v>
      </c>
      <c r="E255" s="68" t="n">
        <v>1148972.18731448</v>
      </c>
      <c r="F255" s="69" t="n">
        <v>210290.981435157</v>
      </c>
      <c r="G255" s="70" t="n">
        <v>1148972.16574985</v>
      </c>
      <c r="H255" s="71" t="n">
        <v>210290.980527925</v>
      </c>
      <c r="I255" s="72" t="str">
        <f>H255-F255</f>
      </c>
      <c r="J255" s="73" t="str">
        <f>G255-E255</f>
      </c>
    </row>
    <row r="256">
      <c r="A256" t="s">
        <v>187</v>
      </c>
      <c r="B256" t="s">
        <v>189</v>
      </c>
      <c r="C256" s="67" t="n">
        <v>2035</v>
      </c>
      <c r="D256" t="s">
        <v>176</v>
      </c>
      <c r="E256" s="68" t="n">
        <v>124148.016465387</v>
      </c>
      <c r="F256" s="69" t="n">
        <v>83695.0100621951</v>
      </c>
      <c r="G256" s="70" t="n">
        <v>124148.207195844</v>
      </c>
      <c r="H256" s="71" t="n">
        <v>83695.1178728798</v>
      </c>
      <c r="I256" s="72" t="str">
        <f>H256-F256</f>
      </c>
      <c r="J256" s="73" t="str">
        <f>G256-E256</f>
      </c>
    </row>
    <row r="257">
      <c r="A257" t="s">
        <v>187</v>
      </c>
      <c r="B257" t="s">
        <v>189</v>
      </c>
      <c r="C257" s="67" t="n">
        <v>2035</v>
      </c>
      <c r="D257" t="s">
        <v>180</v>
      </c>
      <c r="E257" s="68" t="n">
        <v>414532.779162873</v>
      </c>
      <c r="F257" s="69" t="n">
        <v>383788.435246643</v>
      </c>
      <c r="G257" s="70" t="n">
        <v>414533.160603145</v>
      </c>
      <c r="H257" s="71" t="n">
        <v>383788.762526672</v>
      </c>
      <c r="I257" s="72" t="str">
        <f>H257-F257</f>
      </c>
      <c r="J257" s="73" t="str">
        <f>G257-E257</f>
      </c>
    </row>
    <row r="258">
      <c r="A258" t="s">
        <v>187</v>
      </c>
      <c r="B258" t="s">
        <v>189</v>
      </c>
      <c r="C258" s="67" t="n">
        <v>2035</v>
      </c>
      <c r="D258" t="s">
        <v>183</v>
      </c>
      <c r="E258" s="68" t="n">
        <v>715331.520696848</v>
      </c>
      <c r="F258" s="69" t="n">
        <v>434081.937623567</v>
      </c>
      <c r="G258" s="70" t="n">
        <v>715331.788822102</v>
      </c>
      <c r="H258" s="71" t="n">
        <v>434082.031551195</v>
      </c>
      <c r="I258" s="72" t="str">
        <f>H258-F258</f>
      </c>
      <c r="J258" s="73" t="str">
        <f>G258-E258</f>
      </c>
    </row>
    <row r="259">
      <c r="A259" t="s">
        <v>187</v>
      </c>
      <c r="B259" t="s">
        <v>189</v>
      </c>
      <c r="C259" s="67" t="n">
        <v>2035</v>
      </c>
      <c r="D259" t="s">
        <v>186</v>
      </c>
      <c r="E259" s="68" t="n">
        <v>528817.90741783</v>
      </c>
      <c r="F259" s="69" t="n">
        <v>289150.646380785</v>
      </c>
      <c r="G259" s="70" t="n">
        <v>528818.371883953</v>
      </c>
      <c r="H259" s="71" t="n">
        <v>289150.802435983</v>
      </c>
      <c r="I259" s="72" t="str">
        <f>H259-F259</f>
      </c>
      <c r="J259" s="73" t="str">
        <f>G259-E259</f>
      </c>
    </row>
    <row r="260">
      <c r="A260" t="s">
        <v>187</v>
      </c>
      <c r="B260" t="s">
        <v>189</v>
      </c>
      <c r="C260" s="67" t="n">
        <v>2035</v>
      </c>
      <c r="D260" t="s">
        <v>366</v>
      </c>
      <c r="E260" s="68" t="n">
        <v>44206.7074232947</v>
      </c>
      <c r="F260" s="69" t="n">
        <v>7419.97885818872</v>
      </c>
      <c r="G260" s="70" t="n">
        <v>44206.7073067121</v>
      </c>
      <c r="H260" s="71" t="n">
        <v>7419.97885519321</v>
      </c>
      <c r="I260" s="72" t="str">
        <f>H260-F260</f>
      </c>
      <c r="J260" s="73" t="str">
        <f>G260-E260</f>
      </c>
    </row>
    <row r="261">
      <c r="A261" t="s">
        <v>187</v>
      </c>
      <c r="B261" t="s">
        <v>189</v>
      </c>
      <c r="C261" s="67" t="n">
        <v>2036</v>
      </c>
      <c r="D261" t="s">
        <v>169</v>
      </c>
      <c r="E261" s="68" t="n">
        <v>17350.6452229647</v>
      </c>
      <c r="F261" s="69" t="n">
        <v>12506.8963589501</v>
      </c>
      <c r="G261" s="70" t="n">
        <v>17350.6546269342</v>
      </c>
      <c r="H261" s="71" t="n">
        <v>12506.9021026876</v>
      </c>
      <c r="I261" s="72" t="str">
        <f>H261-F261</f>
      </c>
      <c r="J261" s="73" t="str">
        <f>G261-E261</f>
      </c>
    </row>
    <row r="262">
      <c r="A262" t="s">
        <v>187</v>
      </c>
      <c r="B262" t="s">
        <v>189</v>
      </c>
      <c r="C262" s="67" t="n">
        <v>2036</v>
      </c>
      <c r="D262" t="s">
        <v>208</v>
      </c>
      <c r="E262" s="68" t="n">
        <v>1158266.16415687</v>
      </c>
      <c r="F262" s="69" t="n">
        <v>218370.688870725</v>
      </c>
      <c r="G262" s="70" t="n">
        <v>1158266.13775829</v>
      </c>
      <c r="H262" s="71" t="n">
        <v>218370.687575925</v>
      </c>
      <c r="I262" s="72" t="str">
        <f>H262-F262</f>
      </c>
      <c r="J262" s="73" t="str">
        <f>G262-E262</f>
      </c>
    </row>
    <row r="263">
      <c r="A263" t="s">
        <v>187</v>
      </c>
      <c r="B263" t="s">
        <v>189</v>
      </c>
      <c r="C263" s="67" t="n">
        <v>2036</v>
      </c>
      <c r="D263" t="s">
        <v>176</v>
      </c>
      <c r="E263" s="68" t="n">
        <v>127138.257138494</v>
      </c>
      <c r="F263" s="69" t="n">
        <v>85765.449674395</v>
      </c>
      <c r="G263" s="70" t="n">
        <v>127138.451085333</v>
      </c>
      <c r="H263" s="71" t="n">
        <v>85765.5647353171</v>
      </c>
      <c r="I263" s="72" t="str">
        <f>H263-F263</f>
      </c>
      <c r="J263" s="73" t="str">
        <f>G263-E263</f>
      </c>
    </row>
    <row r="264">
      <c r="A264" t="s">
        <v>187</v>
      </c>
      <c r="B264" t="s">
        <v>189</v>
      </c>
      <c r="C264" s="67" t="n">
        <v>2036</v>
      </c>
      <c r="D264" t="s">
        <v>180</v>
      </c>
      <c r="E264" s="68" t="n">
        <v>422232.274353198</v>
      </c>
      <c r="F264" s="69" t="n">
        <v>391285.618244582</v>
      </c>
      <c r="G264" s="70" t="n">
        <v>422232.659922133</v>
      </c>
      <c r="H264" s="71" t="n">
        <v>391285.955739587</v>
      </c>
      <c r="I264" s="72" t="str">
        <f>H264-F264</f>
      </c>
      <c r="J264" s="73" t="str">
        <f>G264-E264</f>
      </c>
    </row>
    <row r="265">
      <c r="A265" t="s">
        <v>187</v>
      </c>
      <c r="B265" t="s">
        <v>189</v>
      </c>
      <c r="C265" s="67" t="n">
        <v>2036</v>
      </c>
      <c r="D265" t="s">
        <v>183</v>
      </c>
      <c r="E265" s="68" t="n">
        <v>728531.343711312</v>
      </c>
      <c r="F265" s="69" t="n">
        <v>444747.804221745</v>
      </c>
      <c r="G265" s="70" t="n">
        <v>728531.610160843</v>
      </c>
      <c r="H265" s="71" t="n">
        <v>444747.907566169</v>
      </c>
      <c r="I265" s="72" t="str">
        <f>H265-F265</f>
      </c>
      <c r="J265" s="73" t="str">
        <f>G265-E265</f>
      </c>
    </row>
    <row r="266">
      <c r="A266" t="s">
        <v>187</v>
      </c>
      <c r="B266" t="s">
        <v>189</v>
      </c>
      <c r="C266" s="67" t="n">
        <v>2036</v>
      </c>
      <c r="D266" t="s">
        <v>186</v>
      </c>
      <c r="E266" s="68" t="n">
        <v>541051.812457905</v>
      </c>
      <c r="F266" s="69" t="n">
        <v>298879.44030338</v>
      </c>
      <c r="G266" s="70" t="n">
        <v>541052.28077363</v>
      </c>
      <c r="H266" s="71" t="n">
        <v>298879.611309733</v>
      </c>
      <c r="I266" s="72" t="str">
        <f>H266-F266</f>
      </c>
      <c r="J266" s="73" t="str">
        <f>G266-E266</f>
      </c>
    </row>
    <row r="267">
      <c r="A267" t="s">
        <v>187</v>
      </c>
      <c r="B267" t="s">
        <v>189</v>
      </c>
      <c r="C267" s="67" t="n">
        <v>2036</v>
      </c>
      <c r="D267" t="s">
        <v>366</v>
      </c>
      <c r="E267" s="68" t="n">
        <v>44049.9985218475</v>
      </c>
      <c r="F267" s="69" t="n">
        <v>7453.33513133053</v>
      </c>
      <c r="G267" s="70" t="n">
        <v>44049.9983782722</v>
      </c>
      <c r="H267" s="71" t="n">
        <v>7453.3351271514</v>
      </c>
      <c r="I267" s="72" t="str">
        <f>H267-F267</f>
      </c>
      <c r="J267" s="73" t="str">
        <f>G267-E267</f>
      </c>
    </row>
    <row r="268">
      <c r="A268" t="s">
        <v>187</v>
      </c>
      <c r="B268" t="s">
        <v>189</v>
      </c>
      <c r="C268" s="67" t="n">
        <v>2037</v>
      </c>
      <c r="D268" t="s">
        <v>169</v>
      </c>
      <c r="E268" s="68" t="n">
        <v>17812.4940907641</v>
      </c>
      <c r="F268" s="69" t="n">
        <v>12807.4952567012</v>
      </c>
      <c r="G268" s="70" t="n">
        <v>17812.5035281772</v>
      </c>
      <c r="H268" s="71" t="n">
        <v>12807.5012683992</v>
      </c>
      <c r="I268" s="72" t="str">
        <f>H268-F268</f>
      </c>
      <c r="J268" s="73" t="str">
        <f>G268-E268</f>
      </c>
    </row>
    <row r="269">
      <c r="A269" t="s">
        <v>187</v>
      </c>
      <c r="B269" t="s">
        <v>189</v>
      </c>
      <c r="C269" s="67" t="n">
        <v>2037</v>
      </c>
      <c r="D269" t="s">
        <v>208</v>
      </c>
      <c r="E269" s="68" t="n">
        <v>1167364.69679226</v>
      </c>
      <c r="F269" s="69" t="n">
        <v>226373.367383999</v>
      </c>
      <c r="G269" s="70" t="n">
        <v>1167364.66541375</v>
      </c>
      <c r="H269" s="71" t="n">
        <v>226373.365626062</v>
      </c>
      <c r="I269" s="72" t="str">
        <f>H269-F269</f>
      </c>
      <c r="J269" s="73" t="str">
        <f>G269-E269</f>
      </c>
    </row>
    <row r="270">
      <c r="A270" t="s">
        <v>187</v>
      </c>
      <c r="B270" t="s">
        <v>189</v>
      </c>
      <c r="C270" s="67" t="n">
        <v>2037</v>
      </c>
      <c r="D270" t="s">
        <v>176</v>
      </c>
      <c r="E270" s="68" t="n">
        <v>130091.915924885</v>
      </c>
      <c r="F270" s="69" t="n">
        <v>87785.7526625916</v>
      </c>
      <c r="G270" s="70" t="n">
        <v>130092.112965313</v>
      </c>
      <c r="H270" s="71" t="n">
        <v>87785.8739142287</v>
      </c>
      <c r="I270" s="72" t="str">
        <f>H270-F270</f>
      </c>
      <c r="J270" s="73" t="str">
        <f>G270-E270</f>
      </c>
    </row>
    <row r="271">
      <c r="A271" t="s">
        <v>187</v>
      </c>
      <c r="B271" t="s">
        <v>189</v>
      </c>
      <c r="C271" s="67" t="n">
        <v>2037</v>
      </c>
      <c r="D271" t="s">
        <v>180</v>
      </c>
      <c r="E271" s="68" t="n">
        <v>429674.290031978</v>
      </c>
      <c r="F271" s="69" t="n">
        <v>398473.467517074</v>
      </c>
      <c r="G271" s="70" t="n">
        <v>429674.679324948</v>
      </c>
      <c r="H271" s="71" t="n">
        <v>398473.813386608</v>
      </c>
      <c r="I271" s="72" t="str">
        <f>H271-F271</f>
      </c>
      <c r="J271" s="73" t="str">
        <f>G271-E271</f>
      </c>
    </row>
    <row r="272">
      <c r="A272" t="s">
        <v>187</v>
      </c>
      <c r="B272" t="s">
        <v>189</v>
      </c>
      <c r="C272" s="67" t="n">
        <v>2037</v>
      </c>
      <c r="D272" t="s">
        <v>183</v>
      </c>
      <c r="E272" s="68" t="n">
        <v>741261.162836091</v>
      </c>
      <c r="F272" s="69" t="n">
        <v>455168.072663446</v>
      </c>
      <c r="G272" s="70" t="n">
        <v>741261.427234993</v>
      </c>
      <c r="H272" s="71" t="n">
        <v>455168.184528758</v>
      </c>
      <c r="I272" s="72" t="str">
        <f>H272-F272</f>
      </c>
      <c r="J272" s="73" t="str">
        <f>G272-E272</f>
      </c>
    </row>
    <row r="273">
      <c r="A273" t="s">
        <v>187</v>
      </c>
      <c r="B273" t="s">
        <v>189</v>
      </c>
      <c r="C273" s="67" t="n">
        <v>2037</v>
      </c>
      <c r="D273" t="s">
        <v>186</v>
      </c>
      <c r="E273" s="68" t="n">
        <v>553258.045900698</v>
      </c>
      <c r="F273" s="69" t="n">
        <v>308665.858709074</v>
      </c>
      <c r="G273" s="70" t="n">
        <v>553258.517761357</v>
      </c>
      <c r="H273" s="71" t="n">
        <v>308666.043562302</v>
      </c>
      <c r="I273" s="72" t="str">
        <f>H273-F273</f>
      </c>
      <c r="J273" s="73" t="str">
        <f>G273-E273</f>
      </c>
    </row>
    <row r="274">
      <c r="A274" t="s">
        <v>187</v>
      </c>
      <c r="B274" t="s">
        <v>189</v>
      </c>
      <c r="C274" s="67" t="n">
        <v>2037</v>
      </c>
      <c r="D274" t="s">
        <v>366</v>
      </c>
      <c r="E274" s="68" t="n">
        <v>43886.4968114433</v>
      </c>
      <c r="F274" s="69" t="n">
        <v>7485.63946415719</v>
      </c>
      <c r="G274" s="70" t="n">
        <v>43886.4966397613</v>
      </c>
      <c r="H274" s="71" t="n">
        <v>7485.63945861012</v>
      </c>
      <c r="I274" s="72" t="str">
        <f>H274-F274</f>
      </c>
      <c r="J274" s="73" t="str">
        <f>G274-E274</f>
      </c>
    </row>
    <row r="275">
      <c r="A275" t="s">
        <v>187</v>
      </c>
      <c r="B275" t="s">
        <v>189</v>
      </c>
      <c r="C275" s="67" t="n">
        <v>2038</v>
      </c>
      <c r="D275" t="s">
        <v>169</v>
      </c>
      <c r="E275" s="68" t="n">
        <v>18278.6100738434</v>
      </c>
      <c r="F275" s="69" t="n">
        <v>13108.2524542368</v>
      </c>
      <c r="G275" s="70" t="n">
        <v>18278.6195315823</v>
      </c>
      <c r="H275" s="71" t="n">
        <v>13108.2586821674</v>
      </c>
      <c r="I275" s="72" t="str">
        <f>H275-F275</f>
      </c>
      <c r="J275" s="73" t="str">
        <f>G275-E275</f>
      </c>
    </row>
    <row r="276">
      <c r="A276" t="s">
        <v>187</v>
      </c>
      <c r="B276" t="s">
        <v>189</v>
      </c>
      <c r="C276" s="67" t="n">
        <v>2038</v>
      </c>
      <c r="D276" t="s">
        <v>208</v>
      </c>
      <c r="E276" s="68" t="n">
        <v>1176286.26651013</v>
      </c>
      <c r="F276" s="69" t="n">
        <v>234286.304698796</v>
      </c>
      <c r="G276" s="70" t="n">
        <v>1176286.23006217</v>
      </c>
      <c r="H276" s="71" t="n">
        <v>234286.302403295</v>
      </c>
      <c r="I276" s="72" t="str">
        <f>H276-F276</f>
      </c>
      <c r="J276" s="73" t="str">
        <f>G276-E276</f>
      </c>
    </row>
    <row r="277">
      <c r="A277" t="s">
        <v>187</v>
      </c>
      <c r="B277" t="s">
        <v>189</v>
      </c>
      <c r="C277" s="67" t="n">
        <v>2038</v>
      </c>
      <c r="D277" t="s">
        <v>176</v>
      </c>
      <c r="E277" s="68" t="n">
        <v>133004.57135907</v>
      </c>
      <c r="F277" s="69" t="n">
        <v>89762.7819071767</v>
      </c>
      <c r="G277" s="70" t="n">
        <v>133004.77137127</v>
      </c>
      <c r="H277" s="71" t="n">
        <v>89762.9085046272</v>
      </c>
      <c r="I277" s="72" t="str">
        <f>H277-F277</f>
      </c>
      <c r="J277" s="73" t="str">
        <f>G277-E277</f>
      </c>
    </row>
    <row r="278">
      <c r="A278" t="s">
        <v>187</v>
      </c>
      <c r="B278" t="s">
        <v>189</v>
      </c>
      <c r="C278" s="67" t="n">
        <v>2038</v>
      </c>
      <c r="D278" t="s">
        <v>180</v>
      </c>
      <c r="E278" s="68" t="n">
        <v>436877.96689503</v>
      </c>
      <c r="F278" s="69" t="n">
        <v>405384.604873532</v>
      </c>
      <c r="G278" s="70" t="n">
        <v>436878.359538317</v>
      </c>
      <c r="H278" s="71" t="n">
        <v>405384.957772321</v>
      </c>
      <c r="I278" s="72" t="str">
        <f>H278-F278</f>
      </c>
      <c r="J278" s="73" t="str">
        <f>G278-E278</f>
      </c>
    </row>
    <row r="279">
      <c r="A279" t="s">
        <v>187</v>
      </c>
      <c r="B279" t="s">
        <v>189</v>
      </c>
      <c r="C279" s="67" t="n">
        <v>2038</v>
      </c>
      <c r="D279" t="s">
        <v>183</v>
      </c>
      <c r="E279" s="68" t="n">
        <v>753560.560150146</v>
      </c>
      <c r="F279" s="69" t="n">
        <v>465342.798335323</v>
      </c>
      <c r="G279" s="70" t="n">
        <v>753560.822146793</v>
      </c>
      <c r="H279" s="71" t="n">
        <v>465342.91786371</v>
      </c>
      <c r="I279" s="72" t="str">
        <f>H279-F279</f>
      </c>
      <c r="J279" s="73" t="str">
        <f>G279-E279</f>
      </c>
    </row>
    <row r="280">
      <c r="A280" t="s">
        <v>187</v>
      </c>
      <c r="B280" t="s">
        <v>189</v>
      </c>
      <c r="C280" s="67" t="n">
        <v>2038</v>
      </c>
      <c r="D280" t="s">
        <v>186</v>
      </c>
      <c r="E280" s="68" t="n">
        <v>565403.283723714</v>
      </c>
      <c r="F280" s="69" t="n">
        <v>318460.824544624</v>
      </c>
      <c r="G280" s="70" t="n">
        <v>565403.758799385</v>
      </c>
      <c r="H280" s="71" t="n">
        <v>318461.022248122</v>
      </c>
      <c r="I280" s="72" t="str">
        <f>H280-F280</f>
      </c>
      <c r="J280" s="73" t="str">
        <f>G280-E280</f>
      </c>
    </row>
    <row r="281">
      <c r="A281" t="s">
        <v>187</v>
      </c>
      <c r="B281" t="s">
        <v>189</v>
      </c>
      <c r="C281" s="67" t="n">
        <v>2038</v>
      </c>
      <c r="D281" t="s">
        <v>366</v>
      </c>
      <c r="E281" s="68" t="n">
        <v>43730.7450513095</v>
      </c>
      <c r="F281" s="69" t="n">
        <v>7517.77036035517</v>
      </c>
      <c r="G281" s="70" t="n">
        <v>43730.7448506382</v>
      </c>
      <c r="H281" s="71" t="n">
        <v>7517.77035327065</v>
      </c>
      <c r="I281" s="72" t="str">
        <f>H281-F281</f>
      </c>
      <c r="J281" s="73" t="str">
        <f>G281-E281</f>
      </c>
    </row>
    <row r="282">
      <c r="A282" t="s">
        <v>187</v>
      </c>
      <c r="B282" t="s">
        <v>189</v>
      </c>
      <c r="C282" s="67" t="n">
        <v>2039</v>
      </c>
      <c r="D282" t="s">
        <v>169</v>
      </c>
      <c r="E282" s="68" t="n">
        <v>18752.081031211</v>
      </c>
      <c r="F282" s="69" t="n">
        <v>13404.6632193221</v>
      </c>
      <c r="G282" s="70" t="n">
        <v>18752.090499403</v>
      </c>
      <c r="H282" s="71" t="n">
        <v>13404.6696202756</v>
      </c>
      <c r="I282" s="72" t="str">
        <f>H282-F282</f>
      </c>
      <c r="J282" s="73" t="str">
        <f>G282-E282</f>
      </c>
    </row>
    <row r="283">
      <c r="A283" t="s">
        <v>187</v>
      </c>
      <c r="B283" t="s">
        <v>189</v>
      </c>
      <c r="C283" s="67" t="n">
        <v>2039</v>
      </c>
      <c r="D283" t="s">
        <v>208</v>
      </c>
      <c r="E283" s="68" t="n">
        <v>1184738.43340512</v>
      </c>
      <c r="F283" s="69" t="n">
        <v>242132.194058522</v>
      </c>
      <c r="G283" s="70" t="n">
        <v>1184738.39184491</v>
      </c>
      <c r="H283" s="71" t="n">
        <v>242132.191153164</v>
      </c>
      <c r="I283" s="72" t="str">
        <f>H283-F283</f>
      </c>
      <c r="J283" s="73" t="str">
        <f>G283-E283</f>
      </c>
    </row>
    <row r="284">
      <c r="A284" t="s">
        <v>187</v>
      </c>
      <c r="B284" t="s">
        <v>189</v>
      </c>
      <c r="C284" s="67" t="n">
        <v>2039</v>
      </c>
      <c r="D284" t="s">
        <v>176</v>
      </c>
      <c r="E284" s="68" t="n">
        <v>135871.928500754</v>
      </c>
      <c r="F284" s="69" t="n">
        <v>91716.235071914</v>
      </c>
      <c r="G284" s="70" t="n">
        <v>135872.13136763</v>
      </c>
      <c r="H284" s="71" t="n">
        <v>91716.3663536023</v>
      </c>
      <c r="I284" s="72" t="str">
        <f>H284-F284</f>
      </c>
      <c r="J284" s="73" t="str">
        <f>G284-E284</f>
      </c>
    </row>
    <row r="285">
      <c r="A285" t="s">
        <v>187</v>
      </c>
      <c r="B285" t="s">
        <v>189</v>
      </c>
      <c r="C285" s="67" t="n">
        <v>2039</v>
      </c>
      <c r="D285" t="s">
        <v>180</v>
      </c>
      <c r="E285" s="68" t="n">
        <v>443905.585031867</v>
      </c>
      <c r="F285" s="69" t="n">
        <v>412119.854557465</v>
      </c>
      <c r="G285" s="70" t="n">
        <v>443905.980748337</v>
      </c>
      <c r="H285" s="71" t="n">
        <v>412120.21350488</v>
      </c>
      <c r="I285" s="72" t="str">
        <f>H285-F285</f>
      </c>
      <c r="J285" s="73" t="str">
        <f>G285-E285</f>
      </c>
    </row>
    <row r="286">
      <c r="A286" t="s">
        <v>187</v>
      </c>
      <c r="B286" t="s">
        <v>189</v>
      </c>
      <c r="C286" s="67" t="n">
        <v>2039</v>
      </c>
      <c r="D286" t="s">
        <v>183</v>
      </c>
      <c r="E286" s="68" t="n">
        <v>765528.208493658</v>
      </c>
      <c r="F286" s="69" t="n">
        <v>475269.661165544</v>
      </c>
      <c r="G286" s="70" t="n">
        <v>765528.467838857</v>
      </c>
      <c r="H286" s="71" t="n">
        <v>475269.787528918</v>
      </c>
      <c r="I286" s="72" t="str">
        <f>H286-F286</f>
      </c>
      <c r="J286" s="73" t="str">
        <f>G286-E286</f>
      </c>
    </row>
    <row r="287">
      <c r="A287" t="s">
        <v>187</v>
      </c>
      <c r="B287" t="s">
        <v>189</v>
      </c>
      <c r="C287" s="67" t="n">
        <v>2039</v>
      </c>
      <c r="D287" t="s">
        <v>186</v>
      </c>
      <c r="E287" s="68" t="n">
        <v>577414.036443696</v>
      </c>
      <c r="F287" s="69" t="n">
        <v>328246.191631355</v>
      </c>
      <c r="G287" s="70" t="n">
        <v>577414.514396235</v>
      </c>
      <c r="H287" s="71" t="n">
        <v>328246.401276368</v>
      </c>
      <c r="I287" s="72" t="str">
        <f>H287-F287</f>
      </c>
      <c r="J287" s="73" t="str">
        <f>G287-E287</f>
      </c>
    </row>
    <row r="288">
      <c r="A288" t="s">
        <v>187</v>
      </c>
      <c r="B288" t="s">
        <v>189</v>
      </c>
      <c r="C288" s="67" t="n">
        <v>2039</v>
      </c>
      <c r="D288" t="s">
        <v>366</v>
      </c>
      <c r="E288" s="68" t="n">
        <v>43588.845687033</v>
      </c>
      <c r="F288" s="69" t="n">
        <v>7547.55986964165</v>
      </c>
      <c r="G288" s="70" t="n">
        <v>43588.845456637</v>
      </c>
      <c r="H288" s="71" t="n">
        <v>7547.5598608641</v>
      </c>
      <c r="I288" s="72" t="str">
        <f>H288-F288</f>
      </c>
      <c r="J288" s="73" t="str">
        <f>G288-E288</f>
      </c>
    </row>
    <row r="289">
      <c r="A289" t="s">
        <v>187</v>
      </c>
      <c r="B289" t="s">
        <v>189</v>
      </c>
      <c r="C289" s="67" t="n">
        <v>2040</v>
      </c>
      <c r="D289" t="s">
        <v>169</v>
      </c>
      <c r="E289" s="68" t="n">
        <v>19235.7270721608</v>
      </c>
      <c r="F289" s="69" t="n">
        <v>13698.9656290133</v>
      </c>
      <c r="G289" s="70" t="n">
        <v>19235.7365429273</v>
      </c>
      <c r="H289" s="71" t="n">
        <v>13698.9721681132</v>
      </c>
      <c r="I289" s="72" t="str">
        <f>H289-F289</f>
      </c>
      <c r="J289" s="73" t="str">
        <f>G289-E289</f>
      </c>
    </row>
    <row r="290">
      <c r="A290" t="s">
        <v>187</v>
      </c>
      <c r="B290" t="s">
        <v>189</v>
      </c>
      <c r="C290" s="67" t="n">
        <v>2040</v>
      </c>
      <c r="D290" t="s">
        <v>208</v>
      </c>
      <c r="E290" s="68" t="n">
        <v>1192634.47674551</v>
      </c>
      <c r="F290" s="69" t="n">
        <v>249894.482412555</v>
      </c>
      <c r="G290" s="70" t="n">
        <v>1192634.43006365</v>
      </c>
      <c r="H290" s="71" t="n">
        <v>249894.478827588</v>
      </c>
      <c r="I290" s="72" t="str">
        <f>H290-F290</f>
      </c>
      <c r="J290" s="73" t="str">
        <f>G290-E290</f>
      </c>
    </row>
    <row r="291">
      <c r="A291" t="s">
        <v>187</v>
      </c>
      <c r="B291" t="s">
        <v>189</v>
      </c>
      <c r="C291" s="67" t="n">
        <v>2040</v>
      </c>
      <c r="D291" t="s">
        <v>176</v>
      </c>
      <c r="E291" s="68" t="n">
        <v>138689.591005305</v>
      </c>
      <c r="F291" s="69" t="n">
        <v>93636.7613421269</v>
      </c>
      <c r="G291" s="70" t="n">
        <v>138689.796610277</v>
      </c>
      <c r="H291" s="71" t="n">
        <v>93636.8967600593</v>
      </c>
      <c r="I291" s="72" t="str">
        <f>H291-F291</f>
      </c>
      <c r="J291" s="73" t="str">
        <f>G291-E291</f>
      </c>
    </row>
    <row r="292">
      <c r="A292" t="s">
        <v>187</v>
      </c>
      <c r="B292" t="s">
        <v>189</v>
      </c>
      <c r="C292" s="67" t="n">
        <v>2040</v>
      </c>
      <c r="D292" t="s">
        <v>180</v>
      </c>
      <c r="E292" s="68" t="n">
        <v>450841.36598288</v>
      </c>
      <c r="F292" s="69" t="n">
        <v>418620.544775239</v>
      </c>
      <c r="G292" s="70" t="n">
        <v>450841.764596063</v>
      </c>
      <c r="H292" s="71" t="n">
        <v>418620.908948174</v>
      </c>
      <c r="I292" s="72" t="str">
        <f>H292-F292</f>
      </c>
      <c r="J292" s="73" t="str">
        <f>G292-E292</f>
      </c>
    </row>
    <row r="293">
      <c r="A293" t="s">
        <v>187</v>
      </c>
      <c r="B293" t="s">
        <v>189</v>
      </c>
      <c r="C293" s="67" t="n">
        <v>2040</v>
      </c>
      <c r="D293" t="s">
        <v>183</v>
      </c>
      <c r="E293" s="68" t="n">
        <v>777088.240253592</v>
      </c>
      <c r="F293" s="69" t="n">
        <v>484946.973009552</v>
      </c>
      <c r="G293" s="70" t="n">
        <v>777088.496702091</v>
      </c>
      <c r="H293" s="71" t="n">
        <v>484947.105425179</v>
      </c>
      <c r="I293" s="72" t="str">
        <f>H293-F293</f>
      </c>
      <c r="J293" s="73" t="str">
        <f>G293-E293</f>
      </c>
    </row>
    <row r="294">
      <c r="A294" t="s">
        <v>187</v>
      </c>
      <c r="B294" t="s">
        <v>189</v>
      </c>
      <c r="C294" s="67" t="n">
        <v>2040</v>
      </c>
      <c r="D294" t="s">
        <v>186</v>
      </c>
      <c r="E294" s="68" t="n">
        <v>589359.253255398</v>
      </c>
      <c r="F294" s="69" t="n">
        <v>338038.7896768</v>
      </c>
      <c r="G294" s="70" t="n">
        <v>589359.733832842</v>
      </c>
      <c r="H294" s="71" t="n">
        <v>338039.010430446</v>
      </c>
      <c r="I294" s="72" t="str">
        <f>H294-F294</f>
      </c>
      <c r="J294" s="73" t="str">
        <f>G294-E294</f>
      </c>
    </row>
    <row r="295">
      <c r="A295" t="s">
        <v>187</v>
      </c>
      <c r="B295" t="s">
        <v>189</v>
      </c>
      <c r="C295" s="67" t="n">
        <v>2040</v>
      </c>
      <c r="D295" t="s">
        <v>366</v>
      </c>
      <c r="E295" s="68" t="n">
        <v>43464.8599426369</v>
      </c>
      <c r="F295" s="69" t="n">
        <v>7573.72557144041</v>
      </c>
      <c r="G295" s="70" t="n">
        <v>43464.8596818836</v>
      </c>
      <c r="H295" s="71" t="n">
        <v>7573.72556082699</v>
      </c>
      <c r="I295" s="72" t="str">
        <f>H295-F295</f>
      </c>
      <c r="J295" s="73" t="str">
        <f>G295-E295</f>
      </c>
    </row>
    <row r="296">
      <c r="A296" t="s">
        <v>187</v>
      </c>
      <c r="B296" t="s">
        <v>189</v>
      </c>
      <c r="C296" s="67" t="n">
        <v>2041</v>
      </c>
      <c r="D296" t="s">
        <v>169</v>
      </c>
      <c r="E296" s="68" t="n">
        <v>19727.2740215225</v>
      </c>
      <c r="F296" s="69" t="n">
        <v>13991.6000413799</v>
      </c>
      <c r="G296" s="70" t="n">
        <v>19727.283486384</v>
      </c>
      <c r="H296" s="71" t="n">
        <v>13991.6066902828</v>
      </c>
      <c r="I296" s="72" t="str">
        <f>H296-F296</f>
      </c>
      <c r="J296" s="73" t="str">
        <f>G296-E296</f>
      </c>
    </row>
    <row r="297">
      <c r="A297" t="s">
        <v>187</v>
      </c>
      <c r="B297" t="s">
        <v>189</v>
      </c>
      <c r="C297" s="67" t="n">
        <v>2041</v>
      </c>
      <c r="D297" t="s">
        <v>208</v>
      </c>
      <c r="E297" s="68" t="n">
        <v>1199988.22765335</v>
      </c>
      <c r="F297" s="69" t="n">
        <v>257599.048335271</v>
      </c>
      <c r="G297" s="70" t="n">
        <v>1199988.17586749</v>
      </c>
      <c r="H297" s="71" t="n">
        <v>257599.044002988</v>
      </c>
      <c r="I297" s="72" t="str">
        <f>H297-F297</f>
      </c>
      <c r="J297" s="73" t="str">
        <f>G297-E297</f>
      </c>
    </row>
    <row r="298">
      <c r="A298" t="s">
        <v>187</v>
      </c>
      <c r="B298" t="s">
        <v>189</v>
      </c>
      <c r="C298" s="67" t="n">
        <v>2041</v>
      </c>
      <c r="D298" t="s">
        <v>176</v>
      </c>
      <c r="E298" s="68" t="n">
        <v>141475.362594691</v>
      </c>
      <c r="F298" s="69" t="n">
        <v>95526.8672691733</v>
      </c>
      <c r="G298" s="70" t="n">
        <v>141475.570851386</v>
      </c>
      <c r="H298" s="71" t="n">
        <v>95527.0063786807</v>
      </c>
      <c r="I298" s="72" t="str">
        <f>H298-F298</f>
      </c>
      <c r="J298" s="73" t="str">
        <f>G298-E298</f>
      </c>
    </row>
    <row r="299">
      <c r="A299" t="s">
        <v>187</v>
      </c>
      <c r="B299" t="s">
        <v>189</v>
      </c>
      <c r="C299" s="67" t="n">
        <v>2041</v>
      </c>
      <c r="D299" t="s">
        <v>180</v>
      </c>
      <c r="E299" s="68" t="n">
        <v>457697.726774076</v>
      </c>
      <c r="F299" s="69" t="n">
        <v>425005.408384117</v>
      </c>
      <c r="G299" s="70" t="n">
        <v>457698.128134802</v>
      </c>
      <c r="H299" s="71" t="n">
        <v>425005.77720965</v>
      </c>
      <c r="I299" s="72" t="str">
        <f>H299-F299</f>
      </c>
      <c r="J299" s="73" t="str">
        <f>G299-E299</f>
      </c>
    </row>
    <row r="300">
      <c r="A300" t="s">
        <v>187</v>
      </c>
      <c r="B300" t="s">
        <v>189</v>
      </c>
      <c r="C300" s="67" t="n">
        <v>2041</v>
      </c>
      <c r="D300" t="s">
        <v>183</v>
      </c>
      <c r="E300" s="68" t="n">
        <v>788292.989429041</v>
      </c>
      <c r="F300" s="69" t="n">
        <v>494390.735516718</v>
      </c>
      <c r="G300" s="70" t="n">
        <v>788293.242756689</v>
      </c>
      <c r="H300" s="71" t="n">
        <v>494390.873248259</v>
      </c>
      <c r="I300" s="72" t="str">
        <f>H300-F300</f>
      </c>
      <c r="J300" s="73" t="str">
        <f>G300-E300</f>
      </c>
    </row>
    <row r="301">
      <c r="A301" t="s">
        <v>187</v>
      </c>
      <c r="B301" t="s">
        <v>189</v>
      </c>
      <c r="C301" s="67" t="n">
        <v>2041</v>
      </c>
      <c r="D301" t="s">
        <v>186</v>
      </c>
      <c r="E301" s="68" t="n">
        <v>601154.858037897</v>
      </c>
      <c r="F301" s="69" t="n">
        <v>347924.535173471</v>
      </c>
      <c r="G301" s="70" t="n">
        <v>601155.340946961</v>
      </c>
      <c r="H301" s="71" t="n">
        <v>347924.766327078</v>
      </c>
      <c r="I301" s="72" t="str">
        <f>H301-F301</f>
      </c>
      <c r="J301" s="73" t="str">
        <f>G301-E301</f>
      </c>
    </row>
    <row r="302">
      <c r="A302" t="s">
        <v>187</v>
      </c>
      <c r="B302" t="s">
        <v>189</v>
      </c>
      <c r="C302" s="67" t="n">
        <v>2041</v>
      </c>
      <c r="D302" t="s">
        <v>366</v>
      </c>
      <c r="E302" s="68" t="n">
        <v>43360.9359672037</v>
      </c>
      <c r="F302" s="69" t="n">
        <v>7595.99534645664</v>
      </c>
      <c r="G302" s="70" t="n">
        <v>43360.9356755525</v>
      </c>
      <c r="H302" s="71" t="n">
        <v>7595.99533386821</v>
      </c>
      <c r="I302" s="72" t="str">
        <f>H302-F302</f>
      </c>
      <c r="J302" s="73" t="str">
        <f>G302-E302</f>
      </c>
    </row>
    <row r="303">
      <c r="A303" t="s">
        <v>187</v>
      </c>
      <c r="B303" t="s">
        <v>189</v>
      </c>
      <c r="C303" s="67" t="n">
        <v>2042</v>
      </c>
      <c r="D303" t="s">
        <v>169</v>
      </c>
      <c r="E303" s="68" t="n">
        <v>20222.2589512524</v>
      </c>
      <c r="F303" s="69" t="n">
        <v>14284.6101733537</v>
      </c>
      <c r="G303" s="70" t="n">
        <v>20222.2683991647</v>
      </c>
      <c r="H303" s="71" t="n">
        <v>14284.6169088399</v>
      </c>
      <c r="I303" s="72" t="str">
        <f>H303-F303</f>
      </c>
      <c r="J303" s="73" t="str">
        <f>G303-E303</f>
      </c>
    </row>
    <row r="304">
      <c r="A304" t="s">
        <v>187</v>
      </c>
      <c r="B304" t="s">
        <v>189</v>
      </c>
      <c r="C304" s="67" t="n">
        <v>2042</v>
      </c>
      <c r="D304" t="s">
        <v>208</v>
      </c>
      <c r="E304" s="68" t="n">
        <v>1206799.64615328</v>
      </c>
      <c r="F304" s="69" t="n">
        <v>265289.414262314</v>
      </c>
      <c r="G304" s="70" t="n">
        <v>1206799.58929471</v>
      </c>
      <c r="H304" s="71" t="n">
        <v>265289.409116733</v>
      </c>
      <c r="I304" s="72" t="str">
        <f>H304-F304</f>
      </c>
      <c r="J304" s="73" t="str">
        <f>G304-E304</f>
      </c>
    </row>
    <row r="305">
      <c r="A305" t="s">
        <v>187</v>
      </c>
      <c r="B305" t="s">
        <v>189</v>
      </c>
      <c r="C305" s="67" t="n">
        <v>2042</v>
      </c>
      <c r="D305" t="s">
        <v>176</v>
      </c>
      <c r="E305" s="68" t="n">
        <v>144247.856079871</v>
      </c>
      <c r="F305" s="69" t="n">
        <v>97406.0145186375</v>
      </c>
      <c r="G305" s="70" t="n">
        <v>144248.066926011</v>
      </c>
      <c r="H305" s="71" t="n">
        <v>97406.1569770963</v>
      </c>
      <c r="I305" s="72" t="str">
        <f>H305-F305</f>
      </c>
      <c r="J305" s="73" t="str">
        <f>G305-E305</f>
      </c>
    </row>
    <row r="306">
      <c r="A306" t="s">
        <v>187</v>
      </c>
      <c r="B306" t="s">
        <v>189</v>
      </c>
      <c r="C306" s="67" t="n">
        <v>2042</v>
      </c>
      <c r="D306" t="s">
        <v>180</v>
      </c>
      <c r="E306" s="68" t="n">
        <v>464486.635017705</v>
      </c>
      <c r="F306" s="69" t="n">
        <v>431396.669897066</v>
      </c>
      <c r="G306" s="70" t="n">
        <v>464487.038990191</v>
      </c>
      <c r="H306" s="71" t="n">
        <v>431397.042999706</v>
      </c>
      <c r="I306" s="72" t="str">
        <f>H306-F306</f>
      </c>
      <c r="J306" s="73" t="str">
        <f>G306-E306</f>
      </c>
    </row>
    <row r="307">
      <c r="A307" t="s">
        <v>187</v>
      </c>
      <c r="B307" t="s">
        <v>189</v>
      </c>
      <c r="C307" s="67" t="n">
        <v>2042</v>
      </c>
      <c r="D307" t="s">
        <v>183</v>
      </c>
      <c r="E307" s="68" t="n">
        <v>799225.249142522</v>
      </c>
      <c r="F307" s="69" t="n">
        <v>503603.661455106</v>
      </c>
      <c r="G307" s="70" t="n">
        <v>799225.499121645</v>
      </c>
      <c r="H307" s="71" t="n">
        <v>503603.803809569</v>
      </c>
      <c r="I307" s="72" t="str">
        <f>H307-F307</f>
      </c>
      <c r="J307" s="73" t="str">
        <f>G307-E307</f>
      </c>
    </row>
    <row r="308">
      <c r="A308" t="s">
        <v>187</v>
      </c>
      <c r="B308" t="s">
        <v>189</v>
      </c>
      <c r="C308" s="67" t="n">
        <v>2042</v>
      </c>
      <c r="D308" t="s">
        <v>186</v>
      </c>
      <c r="E308" s="68" t="n">
        <v>612663.692182296</v>
      </c>
      <c r="F308" s="69" t="n">
        <v>357930.698571783</v>
      </c>
      <c r="G308" s="70" t="n">
        <v>612664.177038008</v>
      </c>
      <c r="H308" s="71" t="n">
        <v>357930.939504437</v>
      </c>
      <c r="I308" s="72" t="str">
        <f>H308-F308</f>
      </c>
      <c r="J308" s="73" t="str">
        <f>G308-E308</f>
      </c>
    </row>
    <row r="309">
      <c r="A309" t="s">
        <v>187</v>
      </c>
      <c r="B309" t="s">
        <v>189</v>
      </c>
      <c r="C309" s="67" t="n">
        <v>2042</v>
      </c>
      <c r="D309" t="s">
        <v>366</v>
      </c>
      <c r="E309" s="68" t="n">
        <v>43278.7288046323</v>
      </c>
      <c r="F309" s="69" t="n">
        <v>7616.59281825334</v>
      </c>
      <c r="G309" s="70" t="n">
        <v>43278.7284816073</v>
      </c>
      <c r="H309" s="71" t="n">
        <v>7616.59280355029</v>
      </c>
      <c r="I309" s="72" t="str">
        <f>H309-F309</f>
      </c>
      <c r="J309" s="73" t="str">
        <f>G309-E309</f>
      </c>
    </row>
    <row r="310">
      <c r="A310" t="s">
        <v>187</v>
      </c>
      <c r="B310" t="s">
        <v>189</v>
      </c>
      <c r="C310" s="67" t="n">
        <v>2043</v>
      </c>
      <c r="D310" t="s">
        <v>169</v>
      </c>
      <c r="E310" s="68" t="n">
        <v>20720.538786407</v>
      </c>
      <c r="F310" s="69" t="n">
        <v>14572.8763511814</v>
      </c>
      <c r="G310" s="70" t="n">
        <v>20720.5482054553</v>
      </c>
      <c r="H310" s="71" t="n">
        <v>14572.8831532714</v>
      </c>
      <c r="I310" s="72" t="str">
        <f>H310-F310</f>
      </c>
      <c r="J310" s="73" t="str">
        <f>G310-E310</f>
      </c>
    </row>
    <row r="311">
      <c r="A311" t="s">
        <v>187</v>
      </c>
      <c r="B311" t="s">
        <v>189</v>
      </c>
      <c r="C311" s="67" t="n">
        <v>2043</v>
      </c>
      <c r="D311" t="s">
        <v>208</v>
      </c>
      <c r="E311" s="68" t="n">
        <v>1213049.32285939</v>
      </c>
      <c r="F311" s="69" t="n">
        <v>272950.441441391</v>
      </c>
      <c r="G311" s="70" t="n">
        <v>1213049.26096591</v>
      </c>
      <c r="H311" s="71" t="n">
        <v>272950.435419178</v>
      </c>
      <c r="I311" s="72" t="str">
        <f>H311-F311</f>
      </c>
      <c r="J311" s="73" t="str">
        <f>G311-E311</f>
      </c>
    </row>
    <row r="312">
      <c r="A312" t="s">
        <v>187</v>
      </c>
      <c r="B312" t="s">
        <v>189</v>
      </c>
      <c r="C312" s="67" t="n">
        <v>2043</v>
      </c>
      <c r="D312" t="s">
        <v>176</v>
      </c>
      <c r="E312" s="68" t="n">
        <v>146993.600857301</v>
      </c>
      <c r="F312" s="69" t="n">
        <v>99271.2456531098</v>
      </c>
      <c r="G312" s="70" t="n">
        <v>146993.814208207</v>
      </c>
      <c r="H312" s="71" t="n">
        <v>99271.3911680729</v>
      </c>
      <c r="I312" s="72" t="str">
        <f>H312-F312</f>
      </c>
      <c r="J312" s="73" t="str">
        <f>G312-E312</f>
      </c>
    </row>
    <row r="313">
      <c r="A313" t="s">
        <v>187</v>
      </c>
      <c r="B313" t="s">
        <v>189</v>
      </c>
      <c r="C313" s="67" t="n">
        <v>2043</v>
      </c>
      <c r="D313" t="s">
        <v>180</v>
      </c>
      <c r="E313" s="68" t="n">
        <v>471154.433178479</v>
      </c>
      <c r="F313" s="69" t="n">
        <v>437679.611503676</v>
      </c>
      <c r="G313" s="70" t="n">
        <v>471154.839580669</v>
      </c>
      <c r="H313" s="71" t="n">
        <v>437679.988471842</v>
      </c>
      <c r="I313" s="72" t="str">
        <f>H313-F313</f>
      </c>
      <c r="J313" s="73" t="str">
        <f>G313-E313</f>
      </c>
    </row>
    <row r="314">
      <c r="A314" t="s">
        <v>187</v>
      </c>
      <c r="B314" t="s">
        <v>189</v>
      </c>
      <c r="C314" s="67" t="n">
        <v>2043</v>
      </c>
      <c r="D314" t="s">
        <v>183</v>
      </c>
      <c r="E314" s="68" t="n">
        <v>810014.526391613</v>
      </c>
      <c r="F314" s="69" t="n">
        <v>512610.30284461</v>
      </c>
      <c r="G314" s="70" t="n">
        <v>810014.772834319</v>
      </c>
      <c r="H314" s="71" t="n">
        <v>512610.449179313</v>
      </c>
      <c r="I314" s="72" t="str">
        <f>H314-F314</f>
      </c>
      <c r="J314" s="73" t="str">
        <f>G314-E314</f>
      </c>
    </row>
    <row r="315">
      <c r="A315" t="s">
        <v>187</v>
      </c>
      <c r="B315" t="s">
        <v>189</v>
      </c>
      <c r="C315" s="67" t="n">
        <v>2043</v>
      </c>
      <c r="D315" t="s">
        <v>186</v>
      </c>
      <c r="E315" s="68" t="n">
        <v>623952.869999832</v>
      </c>
      <c r="F315" s="69" t="n">
        <v>367958.809179762</v>
      </c>
      <c r="G315" s="70" t="n">
        <v>623953.356494139</v>
      </c>
      <c r="H315" s="71" t="n">
        <v>367959.059248153</v>
      </c>
      <c r="I315" s="72" t="str">
        <f>H315-F315</f>
      </c>
      <c r="J315" s="73" t="str">
        <f>G315-E315</f>
      </c>
    </row>
    <row r="316">
      <c r="A316" t="s">
        <v>187</v>
      </c>
      <c r="B316" t="s">
        <v>189</v>
      </c>
      <c r="C316" s="67" t="n">
        <v>2043</v>
      </c>
      <c r="D316" t="s">
        <v>366</v>
      </c>
      <c r="E316" s="68" t="n">
        <v>43232.1388990288</v>
      </c>
      <c r="F316" s="69" t="n">
        <v>7634.63811486679</v>
      </c>
      <c r="G316" s="70" t="n">
        <v>43232.1385441846</v>
      </c>
      <c r="H316" s="71" t="n">
        <v>7634.63809790975</v>
      </c>
      <c r="I316" s="72" t="str">
        <f>H316-F316</f>
      </c>
      <c r="J316" s="73" t="str">
        <f>G316-E316</f>
      </c>
    </row>
    <row r="317">
      <c r="A317" t="s">
        <v>187</v>
      </c>
      <c r="B317" t="s">
        <v>189</v>
      </c>
      <c r="C317" s="67" t="n">
        <v>2044</v>
      </c>
      <c r="D317" t="s">
        <v>169</v>
      </c>
      <c r="E317" s="68" t="n">
        <v>21220.2379947738</v>
      </c>
      <c r="F317" s="69" t="n">
        <v>14861.4247190592</v>
      </c>
      <c r="G317" s="70" t="n">
        <v>21220.2473713984</v>
      </c>
      <c r="H317" s="71" t="n">
        <v>14861.4315691186</v>
      </c>
      <c r="I317" s="72" t="str">
        <f>H317-F317</f>
      </c>
      <c r="J317" s="73" t="str">
        <f>G317-E317</f>
      </c>
    </row>
    <row r="318">
      <c r="A318" t="s">
        <v>187</v>
      </c>
      <c r="B318" t="s">
        <v>189</v>
      </c>
      <c r="C318" s="67" t="n">
        <v>2044</v>
      </c>
      <c r="D318" t="s">
        <v>208</v>
      </c>
      <c r="E318" s="68" t="n">
        <v>1218988.53389066</v>
      </c>
      <c r="F318" s="69" t="n">
        <v>280506.448494536</v>
      </c>
      <c r="G318" s="70" t="n">
        <v>1218988.4670045</v>
      </c>
      <c r="H318" s="71" t="n">
        <v>280506.441535508</v>
      </c>
      <c r="I318" s="72" t="str">
        <f>H318-F318</f>
      </c>
      <c r="J318" s="73" t="str">
        <f>G318-E318</f>
      </c>
    </row>
    <row r="319">
      <c r="A319" t="s">
        <v>187</v>
      </c>
      <c r="B319" t="s">
        <v>189</v>
      </c>
      <c r="C319" s="67" t="n">
        <v>2044</v>
      </c>
      <c r="D319" t="s">
        <v>176</v>
      </c>
      <c r="E319" s="68" t="n">
        <v>149695.998222599</v>
      </c>
      <c r="F319" s="69" t="n">
        <v>101112.141779732</v>
      </c>
      <c r="G319" s="70" t="n">
        <v>149696.213967301</v>
      </c>
      <c r="H319" s="71" t="n">
        <v>101112.290089553</v>
      </c>
      <c r="I319" s="72" t="str">
        <f>H319-F319</f>
      </c>
      <c r="J319" s="73" t="str">
        <f>G319-E319</f>
      </c>
    </row>
    <row r="320">
      <c r="A320" t="s">
        <v>187</v>
      </c>
      <c r="B320" t="s">
        <v>189</v>
      </c>
      <c r="C320" s="67" t="n">
        <v>2044</v>
      </c>
      <c r="D320" t="s">
        <v>180</v>
      </c>
      <c r="E320" s="68" t="n">
        <v>477580.906287196</v>
      </c>
      <c r="F320" s="69" t="n">
        <v>443800.256774794</v>
      </c>
      <c r="G320" s="70" t="n">
        <v>477581.314836645</v>
      </c>
      <c r="H320" s="71" t="n">
        <v>443800.637197395</v>
      </c>
      <c r="I320" s="72" t="str">
        <f>H320-F320</f>
      </c>
      <c r="J320" s="73" t="str">
        <f>G320-E320</f>
      </c>
    </row>
    <row r="321">
      <c r="A321" t="s">
        <v>187</v>
      </c>
      <c r="B321" t="s">
        <v>189</v>
      </c>
      <c r="C321" s="67" t="n">
        <v>2044</v>
      </c>
      <c r="D321" t="s">
        <v>183</v>
      </c>
      <c r="E321" s="68" t="n">
        <v>820742.127380508</v>
      </c>
      <c r="F321" s="69" t="n">
        <v>521420.02060648</v>
      </c>
      <c r="G321" s="70" t="n">
        <v>820742.370121934</v>
      </c>
      <c r="H321" s="71" t="n">
        <v>521420.170330997</v>
      </c>
      <c r="I321" s="72" t="str">
        <f>H321-F321</f>
      </c>
      <c r="J321" s="73" t="str">
        <f>G321-E321</f>
      </c>
    </row>
    <row r="322">
      <c r="A322" t="s">
        <v>187</v>
      </c>
      <c r="B322" t="s">
        <v>189</v>
      </c>
      <c r="C322" s="67" t="n">
        <v>2044</v>
      </c>
      <c r="D322" t="s">
        <v>186</v>
      </c>
      <c r="E322" s="68" t="n">
        <v>635024.058618729</v>
      </c>
      <c r="F322" s="69" t="n">
        <v>377918.331345192</v>
      </c>
      <c r="G322" s="70" t="n">
        <v>635024.546467649</v>
      </c>
      <c r="H322" s="71" t="n">
        <v>377918.589898958</v>
      </c>
      <c r="I322" s="72" t="str">
        <f>H322-F322</f>
      </c>
      <c r="J322" s="73" t="str">
        <f>G322-E322</f>
      </c>
    </row>
    <row r="323">
      <c r="A323" t="s">
        <v>187</v>
      </c>
      <c r="B323" t="s">
        <v>189</v>
      </c>
      <c r="C323" s="67" t="n">
        <v>2044</v>
      </c>
      <c r="D323" t="s">
        <v>366</v>
      </c>
      <c r="E323" s="68" t="n">
        <v>43202.6304259082</v>
      </c>
      <c r="F323" s="69" t="n">
        <v>7652.72184508643</v>
      </c>
      <c r="G323" s="70" t="n">
        <v>43202.6300388595</v>
      </c>
      <c r="H323" s="71" t="n">
        <v>7652.72182573668</v>
      </c>
      <c r="I323" s="72" t="str">
        <f>H323-F323</f>
      </c>
      <c r="J323" s="73" t="str">
        <f>G323-E323</f>
      </c>
    </row>
    <row r="324">
      <c r="A324" t="s">
        <v>187</v>
      </c>
      <c r="B324" t="s">
        <v>189</v>
      </c>
      <c r="C324" s="67" t="n">
        <v>2045</v>
      </c>
      <c r="D324" t="s">
        <v>169</v>
      </c>
      <c r="E324" s="68" t="n">
        <v>21717.6072024658</v>
      </c>
      <c r="F324" s="69" t="n">
        <v>15148.2910761531</v>
      </c>
      <c r="G324" s="70" t="n">
        <v>21717.6165215297</v>
      </c>
      <c r="H324" s="71" t="n">
        <v>15148.2979562423</v>
      </c>
      <c r="I324" s="72" t="str">
        <f>H324-F324</f>
      </c>
      <c r="J324" s="73" t="str">
        <f>G324-E324</f>
      </c>
    </row>
    <row r="325">
      <c r="A325" t="s">
        <v>187</v>
      </c>
      <c r="B325" t="s">
        <v>189</v>
      </c>
      <c r="C325" s="67" t="n">
        <v>2045</v>
      </c>
      <c r="D325" t="s">
        <v>208</v>
      </c>
      <c r="E325" s="68" t="n">
        <v>1224669.03826984</v>
      </c>
      <c r="F325" s="69" t="n">
        <v>287925.051175628</v>
      </c>
      <c r="G325" s="70" t="n">
        <v>1224668.96644768</v>
      </c>
      <c r="H325" s="71" t="n">
        <v>287925.043222784</v>
      </c>
      <c r="I325" s="72" t="str">
        <f>H325-F325</f>
      </c>
      <c r="J325" s="73" t="str">
        <f>G325-E325</f>
      </c>
    </row>
    <row r="326">
      <c r="A326" t="s">
        <v>187</v>
      </c>
      <c r="B326" t="s">
        <v>189</v>
      </c>
      <c r="C326" s="67" t="n">
        <v>2045</v>
      </c>
      <c r="D326" t="s">
        <v>176</v>
      </c>
      <c r="E326" s="68" t="n">
        <v>152337.834812306</v>
      </c>
      <c r="F326" s="69" t="n">
        <v>102935.164096415</v>
      </c>
      <c r="G326" s="70" t="n">
        <v>152338.052815886</v>
      </c>
      <c r="H326" s="71" t="n">
        <v>102935.314985138</v>
      </c>
      <c r="I326" s="72" t="str">
        <f>H326-F326</f>
      </c>
      <c r="J326" s="73" t="str">
        <f>G326-E326</f>
      </c>
    </row>
    <row r="327">
      <c r="A327" t="s">
        <v>187</v>
      </c>
      <c r="B327" t="s">
        <v>189</v>
      </c>
      <c r="C327" s="67" t="n">
        <v>2045</v>
      </c>
      <c r="D327" t="s">
        <v>180</v>
      </c>
      <c r="E327" s="68" t="n">
        <v>483723.105732308</v>
      </c>
      <c r="F327" s="69" t="n">
        <v>449717.174581369</v>
      </c>
      <c r="G327" s="70" t="n">
        <v>483723.516122198</v>
      </c>
      <c r="H327" s="71" t="n">
        <v>449717.558047709</v>
      </c>
      <c r="I327" s="72" t="str">
        <f>H327-F327</f>
      </c>
      <c r="J327" s="73" t="str">
        <f>G327-E327</f>
      </c>
    </row>
    <row r="328">
      <c r="A328" t="s">
        <v>187</v>
      </c>
      <c r="B328" t="s">
        <v>189</v>
      </c>
      <c r="C328" s="67" t="n">
        <v>2045</v>
      </c>
      <c r="D328" t="s">
        <v>183</v>
      </c>
      <c r="E328" s="68" t="n">
        <v>831469.971213227</v>
      </c>
      <c r="F328" s="69" t="n">
        <v>529994.074412965</v>
      </c>
      <c r="G328" s="70" t="n">
        <v>831470.210098177</v>
      </c>
      <c r="H328" s="71" t="n">
        <v>529994.226959208</v>
      </c>
      <c r="I328" s="72" t="str">
        <f>H328-F328</f>
      </c>
      <c r="J328" s="73" t="str">
        <f>G328-E328</f>
      </c>
    </row>
    <row r="329">
      <c r="A329" t="s">
        <v>187</v>
      </c>
      <c r="B329" t="s">
        <v>189</v>
      </c>
      <c r="C329" s="67" t="n">
        <v>2045</v>
      </c>
      <c r="D329" t="s">
        <v>186</v>
      </c>
      <c r="E329" s="68" t="n">
        <v>645729.958874788</v>
      </c>
      <c r="F329" s="69" t="n">
        <v>387750.412392664</v>
      </c>
      <c r="G329" s="70" t="n">
        <v>645730.44769896</v>
      </c>
      <c r="H329" s="71" t="n">
        <v>387750.678781898</v>
      </c>
      <c r="I329" s="72" t="str">
        <f>H329-F329</f>
      </c>
      <c r="J329" s="73" t="str">
        <f>G329-E329</f>
      </c>
    </row>
    <row r="330">
      <c r="A330" t="s">
        <v>187</v>
      </c>
      <c r="B330" t="s">
        <v>189</v>
      </c>
      <c r="C330" s="67" t="n">
        <v>2045</v>
      </c>
      <c r="D330" t="s">
        <v>366</v>
      </c>
      <c r="E330" s="68" t="n">
        <v>43190.6041708796</v>
      </c>
      <c r="F330" s="69" t="n">
        <v>7672.06824866294</v>
      </c>
      <c r="G330" s="70" t="n">
        <v>43190.6037513161</v>
      </c>
      <c r="H330" s="71" t="n">
        <v>7672.06822678464</v>
      </c>
      <c r="I330" s="72" t="str">
        <f>H330-F330</f>
      </c>
      <c r="J330" s="73" t="str">
        <f>G330-E330</f>
      </c>
    </row>
    <row r="331">
      <c r="A331" t="s">
        <v>187</v>
      </c>
      <c r="B331" t="s">
        <v>189</v>
      </c>
      <c r="C331" s="67" t="n">
        <v>2046</v>
      </c>
      <c r="D331" t="s">
        <v>169</v>
      </c>
      <c r="E331" s="68" t="n">
        <v>22210.9652760624</v>
      </c>
      <c r="F331" s="69" t="n">
        <v>15436.8849670712</v>
      </c>
      <c r="G331" s="70" t="n">
        <v>22210.9745219107</v>
      </c>
      <c r="H331" s="71" t="n">
        <v>15436.8918612077</v>
      </c>
      <c r="I331" s="72" t="str">
        <f>H331-F331</f>
      </c>
      <c r="J331" s="73" t="str">
        <f>G331-E331</f>
      </c>
    </row>
    <row r="332">
      <c r="A332" t="s">
        <v>187</v>
      </c>
      <c r="B332" t="s">
        <v>189</v>
      </c>
      <c r="C332" s="67" t="n">
        <v>2046</v>
      </c>
      <c r="D332" t="s">
        <v>208</v>
      </c>
      <c r="E332" s="68" t="n">
        <v>1230125.14546507</v>
      </c>
      <c r="F332" s="69" t="n">
        <v>295165.886210294</v>
      </c>
      <c r="G332" s="70" t="n">
        <v>1230125.0687767</v>
      </c>
      <c r="H332" s="71" t="n">
        <v>295165.877208802</v>
      </c>
      <c r="I332" s="72" t="str">
        <f>H332-F332</f>
      </c>
      <c r="J332" s="73" t="str">
        <f>G332-E332</f>
      </c>
    </row>
    <row r="333">
      <c r="A333" t="s">
        <v>187</v>
      </c>
      <c r="B333" t="s">
        <v>189</v>
      </c>
      <c r="C333" s="67" t="n">
        <v>2046</v>
      </c>
      <c r="D333" t="s">
        <v>176</v>
      </c>
      <c r="E333" s="68" t="n">
        <v>154918.965072157</v>
      </c>
      <c r="F333" s="69" t="n">
        <v>104730.980719264</v>
      </c>
      <c r="G333" s="70" t="n">
        <v>154919.185199882</v>
      </c>
      <c r="H333" s="71" t="n">
        <v>104731.133984312</v>
      </c>
      <c r="I333" s="72" t="str">
        <f>H333-F333</f>
      </c>
      <c r="J333" s="73" t="str">
        <f>G333-E333</f>
      </c>
    </row>
    <row r="334">
      <c r="A334" t="s">
        <v>187</v>
      </c>
      <c r="B334" t="s">
        <v>189</v>
      </c>
      <c r="C334" s="67" t="n">
        <v>2046</v>
      </c>
      <c r="D334" t="s">
        <v>180</v>
      </c>
      <c r="E334" s="68" t="n">
        <v>489559.157579109</v>
      </c>
      <c r="F334" s="69" t="n">
        <v>455309.693990056</v>
      </c>
      <c r="G334" s="70" t="n">
        <v>489559.569488497</v>
      </c>
      <c r="H334" s="71" t="n">
        <v>455310.080020589</v>
      </c>
      <c r="I334" s="72" t="str">
        <f>H334-F334</f>
      </c>
      <c r="J334" s="73" t="str">
        <f>G334-E334</f>
      </c>
    </row>
    <row r="335">
      <c r="A335" t="s">
        <v>187</v>
      </c>
      <c r="B335" t="s">
        <v>189</v>
      </c>
      <c r="C335" s="67" t="n">
        <v>2046</v>
      </c>
      <c r="D335" t="s">
        <v>183</v>
      </c>
      <c r="E335" s="68" t="n">
        <v>842021.976309141</v>
      </c>
      <c r="F335" s="69" t="n">
        <v>538440.013395513</v>
      </c>
      <c r="G335" s="70" t="n">
        <v>842022.211146035</v>
      </c>
      <c r="H335" s="71" t="n">
        <v>538440.168228285</v>
      </c>
      <c r="I335" s="72" t="str">
        <f>H335-F335</f>
      </c>
      <c r="J335" s="73" t="str">
        <f>G335-E335</f>
      </c>
    </row>
    <row r="336">
      <c r="A336" t="s">
        <v>187</v>
      </c>
      <c r="B336" t="s">
        <v>189</v>
      </c>
      <c r="C336" s="67" t="n">
        <v>2046</v>
      </c>
      <c r="D336" t="s">
        <v>186</v>
      </c>
      <c r="E336" s="68" t="n">
        <v>656022.714463805</v>
      </c>
      <c r="F336" s="69" t="n">
        <v>397431.677008016</v>
      </c>
      <c r="G336" s="70" t="n">
        <v>656023.203848247</v>
      </c>
      <c r="H336" s="71" t="n">
        <v>397431.950602612</v>
      </c>
      <c r="I336" s="72" t="str">
        <f>H336-F336</f>
      </c>
      <c r="J336" s="73" t="str">
        <f>G336-E336</f>
      </c>
    </row>
    <row r="337">
      <c r="A337" t="s">
        <v>187</v>
      </c>
      <c r="B337" t="s">
        <v>189</v>
      </c>
      <c r="C337" s="67" t="n">
        <v>2046</v>
      </c>
      <c r="D337" t="s">
        <v>366</v>
      </c>
      <c r="E337" s="68" t="n">
        <v>43196.3107755232</v>
      </c>
      <c r="F337" s="69" t="n">
        <v>7693.55707318923</v>
      </c>
      <c r="G337" s="70" t="n">
        <v>43196.3103231123</v>
      </c>
      <c r="H337" s="71" t="n">
        <v>7693.55704865625</v>
      </c>
      <c r="I337" s="72" t="str">
        <f>H337-F337</f>
      </c>
      <c r="J337" s="73" t="str">
        <f>G337-E337</f>
      </c>
    </row>
    <row r="338">
      <c r="A338" t="s">
        <v>187</v>
      </c>
      <c r="B338" t="s">
        <v>189</v>
      </c>
      <c r="C338" s="67" t="n">
        <v>2047</v>
      </c>
      <c r="D338" t="s">
        <v>169</v>
      </c>
      <c r="E338" s="68" t="n">
        <v>22699.6538055316</v>
      </c>
      <c r="F338" s="69" t="n">
        <v>15728.4786011086</v>
      </c>
      <c r="G338" s="70" t="n">
        <v>22699.6629629007</v>
      </c>
      <c r="H338" s="71" t="n">
        <v>15728.4854947303</v>
      </c>
      <c r="I338" s="72" t="str">
        <f>H338-F338</f>
      </c>
      <c r="J338" s="73" t="str">
        <f>G338-E338</f>
      </c>
    </row>
    <row r="339">
      <c r="A339" t="s">
        <v>187</v>
      </c>
      <c r="B339" t="s">
        <v>189</v>
      </c>
      <c r="C339" s="67" t="n">
        <v>2047</v>
      </c>
      <c r="D339" t="s">
        <v>208</v>
      </c>
      <c r="E339" s="68" t="n">
        <v>1235274.74668467</v>
      </c>
      <c r="F339" s="69" t="n">
        <v>302180.560416472</v>
      </c>
      <c r="G339" s="70" t="n">
        <v>1235274.66521773</v>
      </c>
      <c r="H339" s="71" t="n">
        <v>302180.550312501</v>
      </c>
      <c r="I339" s="72" t="str">
        <f>H339-F339</f>
      </c>
      <c r="J339" s="73" t="str">
        <f>G339-E339</f>
      </c>
    </row>
    <row r="340">
      <c r="A340" t="s">
        <v>187</v>
      </c>
      <c r="B340" t="s">
        <v>189</v>
      </c>
      <c r="C340" s="67" t="n">
        <v>2047</v>
      </c>
      <c r="D340" t="s">
        <v>176</v>
      </c>
      <c r="E340" s="68" t="n">
        <v>157435.715229707</v>
      </c>
      <c r="F340" s="69" t="n">
        <v>106487.522314016</v>
      </c>
      <c r="G340" s="70" t="n">
        <v>157435.937342911</v>
      </c>
      <c r="H340" s="71" t="n">
        <v>106487.677760342</v>
      </c>
      <c r="I340" s="72" t="str">
        <f>H340-F340</f>
      </c>
      <c r="J340" s="73" t="str">
        <f>G340-E340</f>
      </c>
    </row>
    <row r="341">
      <c r="A341" t="s">
        <v>187</v>
      </c>
      <c r="B341" t="s">
        <v>189</v>
      </c>
      <c r="C341" s="67" t="n">
        <v>2047</v>
      </c>
      <c r="D341" t="s">
        <v>180</v>
      </c>
      <c r="E341" s="68" t="n">
        <v>495046.918602649</v>
      </c>
      <c r="F341" s="69" t="n">
        <v>460539.039632873</v>
      </c>
      <c r="G341" s="70" t="n">
        <v>495047.331680699</v>
      </c>
      <c r="H341" s="71" t="n">
        <v>460539.427749469</v>
      </c>
      <c r="I341" s="72" t="str">
        <f>H341-F341</f>
      </c>
      <c r="J341" s="73" t="str">
        <f>G341-E341</f>
      </c>
    </row>
    <row r="342">
      <c r="A342" t="s">
        <v>187</v>
      </c>
      <c r="B342" t="s">
        <v>189</v>
      </c>
      <c r="C342" s="67" t="n">
        <v>2047</v>
      </c>
      <c r="D342" t="s">
        <v>183</v>
      </c>
      <c r="E342" s="68" t="n">
        <v>852356.806258261</v>
      </c>
      <c r="F342" s="69" t="n">
        <v>546892.728114638</v>
      </c>
      <c r="G342" s="70" t="n">
        <v>852357.036896631</v>
      </c>
      <c r="H342" s="71" t="n">
        <v>546892.884748123</v>
      </c>
      <c r="I342" s="72" t="str">
        <f>H342-F342</f>
      </c>
      <c r="J342" s="73" t="str">
        <f>G342-E342</f>
      </c>
    </row>
    <row r="343">
      <c r="A343" t="s">
        <v>187</v>
      </c>
      <c r="B343" t="s">
        <v>189</v>
      </c>
      <c r="C343" s="67" t="n">
        <v>2047</v>
      </c>
      <c r="D343" t="s">
        <v>186</v>
      </c>
      <c r="E343" s="68" t="n">
        <v>665960.040965273</v>
      </c>
      <c r="F343" s="69" t="n">
        <v>406938.029698434</v>
      </c>
      <c r="G343" s="70" t="n">
        <v>665960.530537607</v>
      </c>
      <c r="H343" s="71" t="n">
        <v>406938.309858621</v>
      </c>
      <c r="I343" s="72" t="str">
        <f>H343-F343</f>
      </c>
      <c r="J343" s="73" t="str">
        <f>G343-E343</f>
      </c>
    </row>
    <row r="344">
      <c r="A344" t="s">
        <v>187</v>
      </c>
      <c r="B344" t="s">
        <v>189</v>
      </c>
      <c r="C344" s="67" t="n">
        <v>2047</v>
      </c>
      <c r="D344" t="s">
        <v>366</v>
      </c>
      <c r="E344" s="68" t="n">
        <v>43217.6346779577</v>
      </c>
      <c r="F344" s="69" t="n">
        <v>7716.26455238375</v>
      </c>
      <c r="G344" s="70" t="n">
        <v>43217.6341923504</v>
      </c>
      <c r="H344" s="71" t="n">
        <v>7716.26452507886</v>
      </c>
      <c r="I344" s="72" t="str">
        <f>H344-F344</f>
      </c>
      <c r="J344" s="73" t="str">
        <f>G344-E344</f>
      </c>
    </row>
    <row r="345">
      <c r="A345" t="s">
        <v>187</v>
      </c>
      <c r="B345" t="s">
        <v>189</v>
      </c>
      <c r="C345" s="67" t="n">
        <v>2048</v>
      </c>
      <c r="D345" t="s">
        <v>169</v>
      </c>
      <c r="E345" s="68" t="n">
        <v>23179.7684767557</v>
      </c>
      <c r="F345" s="69" t="n">
        <v>16025.2118807297</v>
      </c>
      <c r="G345" s="70" t="n">
        <v>23179.7775298232</v>
      </c>
      <c r="H345" s="71" t="n">
        <v>16025.2187605858</v>
      </c>
      <c r="I345" s="72" t="str">
        <f>H345-F345</f>
      </c>
      <c r="J345" s="73" t="str">
        <f>G345-E345</f>
      </c>
    </row>
    <row r="346">
      <c r="A346" t="s">
        <v>187</v>
      </c>
      <c r="B346" t="s">
        <v>189</v>
      </c>
      <c r="C346" s="67" t="n">
        <v>2048</v>
      </c>
      <c r="D346" t="s">
        <v>208</v>
      </c>
      <c r="E346" s="68" t="n">
        <v>1240209.18990675</v>
      </c>
      <c r="F346" s="69" t="n">
        <v>308964.321633327</v>
      </c>
      <c r="G346" s="70" t="n">
        <v>1240209.10376068</v>
      </c>
      <c r="H346" s="71" t="n">
        <v>308964.310377282</v>
      </c>
      <c r="I346" s="72" t="str">
        <f>H346-F346</f>
      </c>
      <c r="J346" s="73" t="str">
        <f>G346-E346</f>
      </c>
    </row>
    <row r="347">
      <c r="A347" t="s">
        <v>187</v>
      </c>
      <c r="B347" t="s">
        <v>189</v>
      </c>
      <c r="C347" s="67" t="n">
        <v>2048</v>
      </c>
      <c r="D347" t="s">
        <v>176</v>
      </c>
      <c r="E347" s="68" t="n">
        <v>159876.845606189</v>
      </c>
      <c r="F347" s="69" t="n">
        <v>108205.151917568</v>
      </c>
      <c r="G347" s="70" t="n">
        <v>159877.069557409</v>
      </c>
      <c r="H347" s="71" t="n">
        <v>108205.309376064</v>
      </c>
      <c r="I347" s="72" t="str">
        <f>H347-F347</f>
      </c>
      <c r="J347" s="73" t="str">
        <f>G347-E347</f>
      </c>
    </row>
    <row r="348">
      <c r="A348" t="s">
        <v>187</v>
      </c>
      <c r="B348" t="s">
        <v>189</v>
      </c>
      <c r="C348" s="67" t="n">
        <v>2048</v>
      </c>
      <c r="D348" t="s">
        <v>180</v>
      </c>
      <c r="E348" s="68" t="n">
        <v>500251.54970034</v>
      </c>
      <c r="F348" s="69" t="n">
        <v>465558.089099557</v>
      </c>
      <c r="G348" s="70" t="n">
        <v>500251.963676638</v>
      </c>
      <c r="H348" s="71" t="n">
        <v>465558.478994868</v>
      </c>
      <c r="I348" s="72" t="str">
        <f>H348-F348</f>
      </c>
      <c r="J348" s="73" t="str">
        <f>G348-E348</f>
      </c>
    </row>
    <row r="349">
      <c r="A349" t="s">
        <v>187</v>
      </c>
      <c r="B349" t="s">
        <v>189</v>
      </c>
      <c r="C349" s="67" t="n">
        <v>2048</v>
      </c>
      <c r="D349" t="s">
        <v>183</v>
      </c>
      <c r="E349" s="68" t="n">
        <v>862420.971375849</v>
      </c>
      <c r="F349" s="69" t="n">
        <v>555219.096315289</v>
      </c>
      <c r="G349" s="70" t="n">
        <v>862421.197666068</v>
      </c>
      <c r="H349" s="71" t="n">
        <v>555219.254274076</v>
      </c>
      <c r="I349" s="72" t="str">
        <f>H349-F349</f>
      </c>
      <c r="J349" s="73" t="str">
        <f>G349-E349</f>
      </c>
    </row>
    <row r="350">
      <c r="A350" t="s">
        <v>187</v>
      </c>
      <c r="B350" t="s">
        <v>189</v>
      </c>
      <c r="C350" s="67" t="n">
        <v>2048</v>
      </c>
      <c r="D350" t="s">
        <v>186</v>
      </c>
      <c r="E350" s="68" t="n">
        <v>675537.577714253</v>
      </c>
      <c r="F350" s="69" t="n">
        <v>416220.859574519</v>
      </c>
      <c r="G350" s="70" t="n">
        <v>675538.067131439</v>
      </c>
      <c r="H350" s="71" t="n">
        <v>416221.145643516</v>
      </c>
      <c r="I350" s="72" t="str">
        <f>H350-F350</f>
      </c>
      <c r="J350" s="73" t="str">
        <f>G350-E350</f>
      </c>
    </row>
    <row r="351">
      <c r="A351" t="s">
        <v>187</v>
      </c>
      <c r="B351" t="s">
        <v>189</v>
      </c>
      <c r="C351" s="67" t="n">
        <v>2048</v>
      </c>
      <c r="D351" t="s">
        <v>366</v>
      </c>
      <c r="E351" s="68" t="n">
        <v>43247.1170872715</v>
      </c>
      <c r="F351" s="69" t="n">
        <v>7740.9682625008</v>
      </c>
      <c r="G351" s="70" t="n">
        <v>43247.1165682685</v>
      </c>
      <c r="H351" s="71" t="n">
        <v>7740.96823230914</v>
      </c>
      <c r="I351" s="72" t="str">
        <f>H351-F351</f>
      </c>
      <c r="J351" s="73" t="str">
        <f>G351-E351</f>
      </c>
    </row>
    <row r="352">
      <c r="A352" t="s">
        <v>187</v>
      </c>
      <c r="B352" t="s">
        <v>189</v>
      </c>
      <c r="C352" s="67" t="n">
        <v>2049</v>
      </c>
      <c r="D352" t="s">
        <v>169</v>
      </c>
      <c r="E352" s="68" t="n">
        <v>23650.3525492221</v>
      </c>
      <c r="F352" s="69" t="n">
        <v>16322.6046619766</v>
      </c>
      <c r="G352" s="70" t="n">
        <v>23650.3614840449</v>
      </c>
      <c r="H352" s="71" t="n">
        <v>16322.61151708</v>
      </c>
      <c r="I352" s="72" t="str">
        <f>H352-F352</f>
      </c>
      <c r="J352" s="73" t="str">
        <f>G352-E352</f>
      </c>
    </row>
    <row r="353">
      <c r="A353" t="s">
        <v>187</v>
      </c>
      <c r="B353" t="s">
        <v>189</v>
      </c>
      <c r="C353" s="67" t="n">
        <v>2049</v>
      </c>
      <c r="D353" t="s">
        <v>208</v>
      </c>
      <c r="E353" s="68" t="n">
        <v>1244958.4670322</v>
      </c>
      <c r="F353" s="69" t="n">
        <v>315528.667027755</v>
      </c>
      <c r="G353" s="70" t="n">
        <v>1244958.37630862</v>
      </c>
      <c r="H353" s="71" t="n">
        <v>315528.654574656</v>
      </c>
      <c r="I353" s="72" t="str">
        <f>H353-F353</f>
      </c>
      <c r="J353" s="73" t="str">
        <f>G353-E353</f>
      </c>
    </row>
    <row r="354">
      <c r="A354" t="s">
        <v>187</v>
      </c>
      <c r="B354" t="s">
        <v>189</v>
      </c>
      <c r="C354" s="67" t="n">
        <v>2049</v>
      </c>
      <c r="D354" t="s">
        <v>176</v>
      </c>
      <c r="E354" s="68" t="n">
        <v>162237.909041864</v>
      </c>
      <c r="F354" s="69" t="n">
        <v>109882.211828573</v>
      </c>
      <c r="G354" s="70" t="n">
        <v>162238.134685625</v>
      </c>
      <c r="H354" s="71" t="n">
        <v>109882.371148655</v>
      </c>
      <c r="I354" s="72" t="str">
        <f>H354-F354</f>
      </c>
      <c r="J354" s="73" t="str">
        <f>G354-E354</f>
      </c>
    </row>
    <row r="355">
      <c r="A355" t="s">
        <v>187</v>
      </c>
      <c r="B355" t="s">
        <v>189</v>
      </c>
      <c r="C355" s="67" t="n">
        <v>2049</v>
      </c>
      <c r="D355" t="s">
        <v>180</v>
      </c>
      <c r="E355" s="68" t="n">
        <v>505215.485847777</v>
      </c>
      <c r="F355" s="69" t="n">
        <v>470383.488741485</v>
      </c>
      <c r="G355" s="70" t="n">
        <v>505215.900508139</v>
      </c>
      <c r="H355" s="71" t="n">
        <v>470383.880162835</v>
      </c>
      <c r="I355" s="72" t="str">
        <f>H355-F355</f>
      </c>
      <c r="J355" s="73" t="str">
        <f>G355-E355</f>
      </c>
    </row>
    <row r="356">
      <c r="A356" t="s">
        <v>187</v>
      </c>
      <c r="B356" t="s">
        <v>189</v>
      </c>
      <c r="C356" s="67" t="n">
        <v>2049</v>
      </c>
      <c r="D356" t="s">
        <v>183</v>
      </c>
      <c r="E356" s="68" t="n">
        <v>872039.190810698</v>
      </c>
      <c r="F356" s="69" t="n">
        <v>563337.606769958</v>
      </c>
      <c r="G356" s="70" t="n">
        <v>872039.412561908</v>
      </c>
      <c r="H356" s="71" t="n">
        <v>563337.765593671</v>
      </c>
      <c r="I356" s="72" t="str">
        <f>H356-F356</f>
      </c>
      <c r="J356" s="73" t="str">
        <f>G356-E356</f>
      </c>
    </row>
    <row r="357">
      <c r="A357" t="s">
        <v>187</v>
      </c>
      <c r="B357" t="s">
        <v>189</v>
      </c>
      <c r="C357" s="67" t="n">
        <v>2049</v>
      </c>
      <c r="D357" t="s">
        <v>186</v>
      </c>
      <c r="E357" s="68" t="n">
        <v>684799.030257409</v>
      </c>
      <c r="F357" s="69" t="n">
        <v>425211.003503906</v>
      </c>
      <c r="G357" s="70" t="n">
        <v>684799.519243418</v>
      </c>
      <c r="H357" s="71" t="n">
        <v>425211.294806661</v>
      </c>
      <c r="I357" s="72" t="str">
        <f>H357-F357</f>
      </c>
      <c r="J357" s="73" t="str">
        <f>G357-E357</f>
      </c>
    </row>
    <row r="358">
      <c r="A358" t="s">
        <v>187</v>
      </c>
      <c r="B358" t="s">
        <v>189</v>
      </c>
      <c r="C358" s="67" t="n">
        <v>2049</v>
      </c>
      <c r="D358" t="s">
        <v>366</v>
      </c>
      <c r="E358" s="68" t="n">
        <v>43287.6946705652</v>
      </c>
      <c r="F358" s="69" t="n">
        <v>7764.42509092221</v>
      </c>
      <c r="G358" s="70" t="n">
        <v>43287.6941181752</v>
      </c>
      <c r="H358" s="71" t="n">
        <v>7764.42505773382</v>
      </c>
      <c r="I358" s="72" t="str">
        <f>H358-F358</f>
      </c>
      <c r="J358" s="73" t="str">
        <f>G358-E358</f>
      </c>
    </row>
    <row r="359">
      <c r="A359" t="s">
        <v>187</v>
      </c>
      <c r="B359" t="s">
        <v>189</v>
      </c>
      <c r="C359" s="67" t="n">
        <v>2050</v>
      </c>
      <c r="D359" t="s">
        <v>169</v>
      </c>
      <c r="E359" s="68" t="n">
        <v>24110.4218221531</v>
      </c>
      <c r="F359" s="69" t="n">
        <v>16618.9168890296</v>
      </c>
      <c r="G359" s="70" t="n">
        <v>24110.4306261692</v>
      </c>
      <c r="H359" s="71" t="n">
        <v>16618.9237091261</v>
      </c>
      <c r="I359" s="72" t="str">
        <f>H359-F359</f>
      </c>
      <c r="J359" s="73" t="str">
        <f>G359-E359</f>
      </c>
    </row>
    <row r="360">
      <c r="A360" t="s">
        <v>187</v>
      </c>
      <c r="B360" t="s">
        <v>189</v>
      </c>
      <c r="C360" s="67" t="n">
        <v>2050</v>
      </c>
      <c r="D360" t="s">
        <v>208</v>
      </c>
      <c r="E360" s="68" t="n">
        <v>1249575.07649552</v>
      </c>
      <c r="F360" s="69" t="n">
        <v>321866.159114575</v>
      </c>
      <c r="G360" s="70" t="n">
        <v>1249574.98129843</v>
      </c>
      <c r="H360" s="71" t="n">
        <v>321866.145423905</v>
      </c>
      <c r="I360" s="72" t="str">
        <f>H360-F360</f>
      </c>
      <c r="J360" s="73" t="str">
        <f>G360-E360</f>
      </c>
    </row>
    <row r="361">
      <c r="A361" t="s">
        <v>187</v>
      </c>
      <c r="B361" t="s">
        <v>189</v>
      </c>
      <c r="C361" s="67" t="n">
        <v>2050</v>
      </c>
      <c r="D361" t="s">
        <v>176</v>
      </c>
      <c r="E361" s="68" t="n">
        <v>164526.722389342</v>
      </c>
      <c r="F361" s="69" t="n">
        <v>111496.099038627</v>
      </c>
      <c r="G361" s="70" t="n">
        <v>164526.94959842</v>
      </c>
      <c r="H361" s="71" t="n">
        <v>111496.260054028</v>
      </c>
      <c r="I361" s="72" t="str">
        <f>H361-F361</f>
      </c>
      <c r="J361" s="73" t="str">
        <f>G361-E361</f>
      </c>
    </row>
    <row r="362">
      <c r="A362" t="s">
        <v>187</v>
      </c>
      <c r="B362" t="s">
        <v>189</v>
      </c>
      <c r="C362" s="67" t="n">
        <v>2050</v>
      </c>
      <c r="D362" t="s">
        <v>180</v>
      </c>
      <c r="E362" s="68" t="n">
        <v>509923.37952484</v>
      </c>
      <c r="F362" s="69" t="n">
        <v>474892.861941099</v>
      </c>
      <c r="G362" s="70" t="n">
        <v>509923.794653266</v>
      </c>
      <c r="H362" s="71" t="n">
        <v>474893.254554943</v>
      </c>
      <c r="I362" s="72" t="str">
        <f>H362-F362</f>
      </c>
      <c r="J362" s="73" t="str">
        <f>G362-E362</f>
      </c>
    </row>
    <row r="363">
      <c r="A363" t="s">
        <v>187</v>
      </c>
      <c r="B363" t="s">
        <v>189</v>
      </c>
      <c r="C363" s="67" t="n">
        <v>2050</v>
      </c>
      <c r="D363" t="s">
        <v>183</v>
      </c>
      <c r="E363" s="68" t="n">
        <v>881219.993117959</v>
      </c>
      <c r="F363" s="69" t="n">
        <v>571304.97137522</v>
      </c>
      <c r="G363" s="70" t="n">
        <v>881220.210178615</v>
      </c>
      <c r="H363" s="71" t="n">
        <v>571305.130665456</v>
      </c>
      <c r="I363" s="72" t="str">
        <f>H363-F363</f>
      </c>
      <c r="J363" s="73" t="str">
        <f>G363-E363</f>
      </c>
    </row>
    <row r="364">
      <c r="A364" t="s">
        <v>187</v>
      </c>
      <c r="B364" t="s">
        <v>189</v>
      </c>
      <c r="C364" s="67" t="n">
        <v>2050</v>
      </c>
      <c r="D364" t="s">
        <v>186</v>
      </c>
      <c r="E364" s="68" t="n">
        <v>693832.887434212</v>
      </c>
      <c r="F364" s="69" t="n">
        <v>433927.820934343</v>
      </c>
      <c r="G364" s="70" t="n">
        <v>693833.375810026</v>
      </c>
      <c r="H364" s="71" t="n">
        <v>433928.116842437</v>
      </c>
      <c r="I364" s="72" t="str">
        <f>H364-F364</f>
      </c>
      <c r="J364" s="73" t="str">
        <f>G364-E364</f>
      </c>
    </row>
    <row r="365">
      <c r="A365" t="s">
        <v>187</v>
      </c>
      <c r="B365" t="s">
        <v>189</v>
      </c>
      <c r="C365" s="67" t="n">
        <v>2050</v>
      </c>
      <c r="D365" t="s">
        <v>366</v>
      </c>
      <c r="E365" s="68" t="n">
        <v>43337.3346574735</v>
      </c>
      <c r="F365" s="69" t="n">
        <v>7785.5925525319</v>
      </c>
      <c r="G365" s="70" t="n">
        <v>43337.3340718481</v>
      </c>
      <c r="H365" s="71" t="n">
        <v>7785.59251624651</v>
      </c>
      <c r="I365" s="72" t="str">
        <f>H365-F365</f>
      </c>
      <c r="J365" s="73" t="str">
        <f>G365-E365</f>
      </c>
    </row>
    <row r="366">
      <c r="A366" t="s">
        <v>195</v>
      </c>
      <c r="B366" t="s">
        <v>197</v>
      </c>
      <c r="C366" s="67" t="n">
        <v>2025</v>
      </c>
      <c r="D366" t="s">
        <v>169</v>
      </c>
      <c r="E366" s="68" t="n">
        <v>12347.3896757033</v>
      </c>
      <c r="F366" s="69" t="n">
        <v>8975.30849722876</v>
      </c>
      <c r="G366" s="70" t="n">
        <v>12347.3896757033</v>
      </c>
      <c r="H366" s="71" t="n">
        <v>8975.30849722876</v>
      </c>
      <c r="I366" s="72" t="str">
        <f>H366-F366</f>
      </c>
      <c r="J366" s="73" t="str">
        <f>G366-E366</f>
      </c>
    </row>
    <row r="367">
      <c r="A367" t="s">
        <v>195</v>
      </c>
      <c r="B367" t="s">
        <v>197</v>
      </c>
      <c r="C367" s="67" t="n">
        <v>2025</v>
      </c>
      <c r="D367" t="s">
        <v>208</v>
      </c>
      <c r="E367" s="68" t="n">
        <v>1026043.97207164</v>
      </c>
      <c r="F367" s="69" t="n">
        <v>129403.022830672</v>
      </c>
      <c r="G367" s="70" t="n">
        <v>1026043.97207164</v>
      </c>
      <c r="H367" s="71" t="n">
        <v>129403.022830672</v>
      </c>
      <c r="I367" s="72" t="str">
        <f>H367-F367</f>
      </c>
      <c r="J367" s="73" t="str">
        <f>G367-E367</f>
      </c>
    </row>
    <row r="368">
      <c r="A368" t="s">
        <v>195</v>
      </c>
      <c r="B368" t="s">
        <v>197</v>
      </c>
      <c r="C368" s="67" t="n">
        <v>2025</v>
      </c>
      <c r="D368" t="s">
        <v>176</v>
      </c>
      <c r="E368" s="68" t="n">
        <v>91684.5090142746</v>
      </c>
      <c r="F368" s="69" t="n">
        <v>63318.7518252021</v>
      </c>
      <c r="G368" s="70" t="n">
        <v>91684.5090142746</v>
      </c>
      <c r="H368" s="71" t="n">
        <v>63318.7518252021</v>
      </c>
      <c r="I368" s="72" t="str">
        <f>H368-F368</f>
      </c>
      <c r="J368" s="73" t="str">
        <f>G368-E368</f>
      </c>
    </row>
    <row r="369">
      <c r="A369" t="s">
        <v>195</v>
      </c>
      <c r="B369" t="s">
        <v>197</v>
      </c>
      <c r="C369" s="67" t="n">
        <v>2025</v>
      </c>
      <c r="D369" t="s">
        <v>180</v>
      </c>
      <c r="E369" s="68" t="n">
        <v>327817.992111529</v>
      </c>
      <c r="F369" s="69" t="n">
        <v>300216.82861998</v>
      </c>
      <c r="G369" s="70" t="n">
        <v>327817.992111529</v>
      </c>
      <c r="H369" s="71" t="n">
        <v>300216.82861998</v>
      </c>
      <c r="I369" s="72" t="str">
        <f>H369-F369</f>
      </c>
      <c r="J369" s="73" t="str">
        <f>G369-E369</f>
      </c>
    </row>
    <row r="370">
      <c r="A370" t="s">
        <v>195</v>
      </c>
      <c r="B370" t="s">
        <v>197</v>
      </c>
      <c r="C370" s="67" t="n">
        <v>2025</v>
      </c>
      <c r="D370" t="s">
        <v>183</v>
      </c>
      <c r="E370" s="68" t="n">
        <v>563964.128928848</v>
      </c>
      <c r="F370" s="69" t="n">
        <v>321188.162987932</v>
      </c>
      <c r="G370" s="70" t="n">
        <v>563964.128928848</v>
      </c>
      <c r="H370" s="71" t="n">
        <v>321188.162987932</v>
      </c>
      <c r="I370" s="72" t="str">
        <f>H370-F370</f>
      </c>
      <c r="J370" s="73" t="str">
        <f>G370-E370</f>
      </c>
    </row>
    <row r="371">
      <c r="A371" t="s">
        <v>195</v>
      </c>
      <c r="B371" t="s">
        <v>197</v>
      </c>
      <c r="C371" s="67" t="n">
        <v>2025</v>
      </c>
      <c r="D371" t="s">
        <v>186</v>
      </c>
      <c r="E371" s="68" t="n">
        <v>396205.912797568</v>
      </c>
      <c r="F371" s="69" t="n">
        <v>191954.713579597</v>
      </c>
      <c r="G371" s="70" t="n">
        <v>396205.912797568</v>
      </c>
      <c r="H371" s="71" t="n">
        <v>191954.713579597</v>
      </c>
      <c r="I371" s="72" t="str">
        <f>H371-F371</f>
      </c>
      <c r="J371" s="73" t="str">
        <f>G371-E371</f>
      </c>
    </row>
    <row r="372">
      <c r="A372" t="s">
        <v>195</v>
      </c>
      <c r="B372" t="s">
        <v>197</v>
      </c>
      <c r="C372" s="67" t="n">
        <v>2025</v>
      </c>
      <c r="D372" t="s">
        <v>366</v>
      </c>
      <c r="E372" s="68" t="n">
        <v>44024.8557845561</v>
      </c>
      <c r="F372" s="69" t="n">
        <v>6961.02866951274</v>
      </c>
      <c r="G372" s="70" t="n">
        <v>44024.8557845561</v>
      </c>
      <c r="H372" s="71" t="n">
        <v>6961.02866951274</v>
      </c>
      <c r="I372" s="72" t="str">
        <f>H372-F372</f>
      </c>
      <c r="J372" s="73" t="str">
        <f>G372-E372</f>
      </c>
    </row>
    <row r="373">
      <c r="A373" t="s">
        <v>195</v>
      </c>
      <c r="B373" t="s">
        <v>197</v>
      </c>
      <c r="C373" s="67" t="n">
        <v>2026</v>
      </c>
      <c r="D373" t="s">
        <v>169</v>
      </c>
      <c r="E373" s="68" t="n">
        <v>12812.507871628</v>
      </c>
      <c r="F373" s="69" t="n">
        <v>9308.26420910955</v>
      </c>
      <c r="G373" s="70" t="n">
        <v>12812.507871628</v>
      </c>
      <c r="H373" s="71" t="n">
        <v>9308.26420910955</v>
      </c>
      <c r="I373" s="72" t="str">
        <f>H373-F373</f>
      </c>
      <c r="J373" s="73" t="str">
        <f>G373-E373</f>
      </c>
    </row>
    <row r="374">
      <c r="A374" t="s">
        <v>195</v>
      </c>
      <c r="B374" t="s">
        <v>197</v>
      </c>
      <c r="C374" s="67" t="n">
        <v>2026</v>
      </c>
      <c r="D374" t="s">
        <v>208</v>
      </c>
      <c r="E374" s="68" t="n">
        <v>1040956.74283153</v>
      </c>
      <c r="F374" s="69" t="n">
        <v>137191.896136923</v>
      </c>
      <c r="G374" s="70" t="n">
        <v>1040956.74283153</v>
      </c>
      <c r="H374" s="71" t="n">
        <v>137191.896136923</v>
      </c>
      <c r="I374" s="72" t="str">
        <f>H374-F374</f>
      </c>
      <c r="J374" s="73" t="str">
        <f>G374-E374</f>
      </c>
    </row>
    <row r="375">
      <c r="A375" t="s">
        <v>195</v>
      </c>
      <c r="B375" t="s">
        <v>197</v>
      </c>
      <c r="C375" s="67" t="n">
        <v>2026</v>
      </c>
      <c r="D375" t="s">
        <v>176</v>
      </c>
      <c r="E375" s="68" t="n">
        <v>93538.5567816414</v>
      </c>
      <c r="F375" s="69" t="n">
        <v>65164.4704134017</v>
      </c>
      <c r="G375" s="70" t="n">
        <v>95077.1833035265</v>
      </c>
      <c r="H375" s="71" t="n">
        <v>65164.4704134017</v>
      </c>
      <c r="I375" s="72" t="str">
        <f>H375-F375</f>
      </c>
      <c r="J375" s="73" t="str">
        <f>G375-E375</f>
      </c>
    </row>
    <row r="376">
      <c r="A376" t="s">
        <v>195</v>
      </c>
      <c r="B376" t="s">
        <v>197</v>
      </c>
      <c r="C376" s="67" t="n">
        <v>2026</v>
      </c>
      <c r="D376" t="s">
        <v>180</v>
      </c>
      <c r="E376" s="68" t="n">
        <v>331423.795216853</v>
      </c>
      <c r="F376" s="69" t="n">
        <v>308606.943045308</v>
      </c>
      <c r="G376" s="70" t="n">
        <v>336875.423495605</v>
      </c>
      <c r="H376" s="71" t="n">
        <v>308606.943045308</v>
      </c>
      <c r="I376" s="72" t="str">
        <f>H376-F376</f>
      </c>
      <c r="J376" s="73" t="str">
        <f>G376-E376</f>
      </c>
    </row>
    <row r="377">
      <c r="A377" t="s">
        <v>195</v>
      </c>
      <c r="B377" t="s">
        <v>197</v>
      </c>
      <c r="C377" s="67" t="n">
        <v>2026</v>
      </c>
      <c r="D377" t="s">
        <v>183</v>
      </c>
      <c r="E377" s="68" t="n">
        <v>570723.642851948</v>
      </c>
      <c r="F377" s="69" t="n">
        <v>332896.185768311</v>
      </c>
      <c r="G377" s="70" t="n">
        <v>580111.541957649</v>
      </c>
      <c r="H377" s="71" t="n">
        <v>332896.185768311</v>
      </c>
      <c r="I377" s="72" t="str">
        <f>H377-F377</f>
      </c>
      <c r="J377" s="73" t="str">
        <f>G377-E377</f>
      </c>
    </row>
    <row r="378">
      <c r="A378" t="s">
        <v>195</v>
      </c>
      <c r="B378" t="s">
        <v>197</v>
      </c>
      <c r="C378" s="67" t="n">
        <v>2026</v>
      </c>
      <c r="D378" t="s">
        <v>186</v>
      </c>
      <c r="E378" s="68" t="n">
        <v>403197.628467008</v>
      </c>
      <c r="F378" s="69" t="n">
        <v>202008.199783237</v>
      </c>
      <c r="G378" s="70" t="n">
        <v>409829.87281699</v>
      </c>
      <c r="H378" s="71" t="n">
        <v>202008.199783237</v>
      </c>
      <c r="I378" s="72" t="str">
        <f>H378-F378</f>
      </c>
      <c r="J378" s="73" t="str">
        <f>G378-E378</f>
      </c>
    </row>
    <row r="379">
      <c r="A379" t="s">
        <v>195</v>
      </c>
      <c r="B379" t="s">
        <v>197</v>
      </c>
      <c r="C379" s="67" t="n">
        <v>2026</v>
      </c>
      <c r="D379" t="s">
        <v>366</v>
      </c>
      <c r="E379" s="68" t="n">
        <v>44219.1707517653</v>
      </c>
      <c r="F379" s="69" t="n">
        <v>7023.77126872287</v>
      </c>
      <c r="G379" s="70" t="n">
        <v>44219.1707517653</v>
      </c>
      <c r="H379" s="71" t="n">
        <v>7023.77126872287</v>
      </c>
      <c r="I379" s="72" t="str">
        <f>H379-F379</f>
      </c>
      <c r="J379" s="73" t="str">
        <f>G379-E379</f>
      </c>
    </row>
    <row r="380">
      <c r="A380" t="s">
        <v>195</v>
      </c>
      <c r="B380" t="s">
        <v>197</v>
      </c>
      <c r="C380" s="67" t="n">
        <v>2027</v>
      </c>
      <c r="D380" t="s">
        <v>169</v>
      </c>
      <c r="E380" s="68" t="n">
        <v>13273.481772584</v>
      </c>
      <c r="F380" s="69" t="n">
        <v>9640.71530777017</v>
      </c>
      <c r="G380" s="70" t="n">
        <v>13273.481772584</v>
      </c>
      <c r="H380" s="71" t="n">
        <v>9640.71530777017</v>
      </c>
      <c r="I380" s="72" t="str">
        <f>H380-F380</f>
      </c>
      <c r="J380" s="73" t="str">
        <f>G380-E380</f>
      </c>
    </row>
    <row r="381">
      <c r="A381" t="s">
        <v>195</v>
      </c>
      <c r="B381" t="s">
        <v>197</v>
      </c>
      <c r="C381" s="67" t="n">
        <v>2027</v>
      </c>
      <c r="D381" t="s">
        <v>208</v>
      </c>
      <c r="E381" s="68" t="n">
        <v>1055255.40879996</v>
      </c>
      <c r="F381" s="69" t="n">
        <v>145087.130776418</v>
      </c>
      <c r="G381" s="70" t="n">
        <v>1055255.40879996</v>
      </c>
      <c r="H381" s="71" t="n">
        <v>145087.130776418</v>
      </c>
      <c r="I381" s="72" t="str">
        <f>H381-F381</f>
      </c>
      <c r="J381" s="73" t="str">
        <f>G381-E381</f>
      </c>
    </row>
    <row r="382">
      <c r="A382" t="s">
        <v>195</v>
      </c>
      <c r="B382" t="s">
        <v>197</v>
      </c>
      <c r="C382" s="67" t="n">
        <v>2027</v>
      </c>
      <c r="D382" t="s">
        <v>176</v>
      </c>
      <c r="E382" s="68" t="n">
        <v>95290.9486613486</v>
      </c>
      <c r="F382" s="69" t="n">
        <v>66807.4158137499</v>
      </c>
      <c r="G382" s="70" t="n">
        <v>98448.8278839669</v>
      </c>
      <c r="H382" s="71" t="n">
        <v>67068.0169086102</v>
      </c>
      <c r="I382" s="72" t="str">
        <f>H382-F382</f>
      </c>
      <c r="J382" s="73" t="str">
        <f>G382-E382</f>
      </c>
    </row>
    <row r="383">
      <c r="A383" t="s">
        <v>195</v>
      </c>
      <c r="B383" t="s">
        <v>197</v>
      </c>
      <c r="C383" s="67" t="n">
        <v>2027</v>
      </c>
      <c r="D383" t="s">
        <v>180</v>
      </c>
      <c r="E383" s="68" t="n">
        <v>334851.069216698</v>
      </c>
      <c r="F383" s="69" t="n">
        <v>314757.465009632</v>
      </c>
      <c r="G383" s="70" t="n">
        <v>345936.706716403</v>
      </c>
      <c r="H383" s="71" t="n">
        <v>317119.553552555</v>
      </c>
      <c r="I383" s="72" t="str">
        <f>H383-F383</f>
      </c>
      <c r="J383" s="73" t="str">
        <f>G383-E383</f>
      </c>
    </row>
    <row r="384">
      <c r="A384" t="s">
        <v>195</v>
      </c>
      <c r="B384" t="s">
        <v>197</v>
      </c>
      <c r="C384" s="67" t="n">
        <v>2027</v>
      </c>
      <c r="D384" t="s">
        <v>183</v>
      </c>
      <c r="E384" s="68" t="n">
        <v>577076.337341042</v>
      </c>
      <c r="F384" s="69" t="n">
        <v>343911.687388062</v>
      </c>
      <c r="G384" s="70" t="n">
        <v>596148.832334676</v>
      </c>
      <c r="H384" s="71" t="n">
        <v>344517.274659827</v>
      </c>
      <c r="I384" s="72" t="str">
        <f>H384-F384</f>
      </c>
      <c r="J384" s="73" t="str">
        <f>G384-E384</f>
      </c>
    </row>
    <row r="385">
      <c r="A385" t="s">
        <v>195</v>
      </c>
      <c r="B385" t="s">
        <v>197</v>
      </c>
      <c r="C385" s="67" t="n">
        <v>2027</v>
      </c>
      <c r="D385" t="s">
        <v>186</v>
      </c>
      <c r="E385" s="68" t="n">
        <v>409941.064610774</v>
      </c>
      <c r="F385" s="69" t="n">
        <v>211492.525824207</v>
      </c>
      <c r="G385" s="70" t="n">
        <v>423485.101321999</v>
      </c>
      <c r="H385" s="71" t="n">
        <v>211995.488024171</v>
      </c>
      <c r="I385" s="72" t="str">
        <f>H385-F385</f>
      </c>
      <c r="J385" s="73" t="str">
        <f>G385-E385</f>
      </c>
    </row>
    <row r="386">
      <c r="A386" t="s">
        <v>195</v>
      </c>
      <c r="B386" t="s">
        <v>197</v>
      </c>
      <c r="C386" s="67" t="n">
        <v>2027</v>
      </c>
      <c r="D386" t="s">
        <v>366</v>
      </c>
      <c r="E386" s="68" t="n">
        <v>44384.2018393689</v>
      </c>
      <c r="F386" s="69" t="n">
        <v>7080.05700568168</v>
      </c>
      <c r="G386" s="70" t="n">
        <v>44384.2018393689</v>
      </c>
      <c r="H386" s="71" t="n">
        <v>7080.05700568168</v>
      </c>
      <c r="I386" s="72" t="str">
        <f>H386-F386</f>
      </c>
      <c r="J386" s="73" t="str">
        <f>G386-E386</f>
      </c>
    </row>
    <row r="387">
      <c r="A387" t="s">
        <v>195</v>
      </c>
      <c r="B387" t="s">
        <v>197</v>
      </c>
      <c r="C387" s="67" t="n">
        <v>2028</v>
      </c>
      <c r="D387" t="s">
        <v>169</v>
      </c>
      <c r="E387" s="68" t="n">
        <v>13730.7630657097</v>
      </c>
      <c r="F387" s="69" t="n">
        <v>9971.45472163389</v>
      </c>
      <c r="G387" s="70" t="n">
        <v>13729.5005000864</v>
      </c>
      <c r="H387" s="71" t="n">
        <v>9971.45472163389</v>
      </c>
      <c r="I387" s="72" t="str">
        <f>H387-F387</f>
      </c>
      <c r="J387" s="73" t="str">
        <f>G387-E387</f>
      </c>
    </row>
    <row r="388">
      <c r="A388" t="s">
        <v>195</v>
      </c>
      <c r="B388" t="s">
        <v>197</v>
      </c>
      <c r="C388" s="67" t="n">
        <v>2028</v>
      </c>
      <c r="D388" t="s">
        <v>208</v>
      </c>
      <c r="E388" s="68" t="n">
        <v>1069035.61612167</v>
      </c>
      <c r="F388" s="69" t="n">
        <v>153077.867387244</v>
      </c>
      <c r="G388" s="70" t="n">
        <v>1069005.07088018</v>
      </c>
      <c r="H388" s="71" t="n">
        <v>153077.867387244</v>
      </c>
      <c r="I388" s="72" t="str">
        <f>H388-F388</f>
      </c>
      <c r="J388" s="73" t="str">
        <f>G388-E388</f>
      </c>
    </row>
    <row r="389">
      <c r="A389" t="s">
        <v>195</v>
      </c>
      <c r="B389" t="s">
        <v>197</v>
      </c>
      <c r="C389" s="67" t="n">
        <v>2028</v>
      </c>
      <c r="D389" t="s">
        <v>176</v>
      </c>
      <c r="E389" s="68" t="n">
        <v>96950.3930927346</v>
      </c>
      <c r="F389" s="69" t="n">
        <v>68289.8012183479</v>
      </c>
      <c r="G389" s="70" t="n">
        <v>101797.96761407</v>
      </c>
      <c r="H389" s="71" t="n">
        <v>69019.933123165</v>
      </c>
      <c r="I389" s="72" t="str">
        <f>H389-F389</f>
      </c>
      <c r="J389" s="73" t="str">
        <f>G389-E389</f>
      </c>
    </row>
    <row r="390">
      <c r="A390" t="s">
        <v>195</v>
      </c>
      <c r="B390" t="s">
        <v>197</v>
      </c>
      <c r="C390" s="67" t="n">
        <v>2028</v>
      </c>
      <c r="D390" t="s">
        <v>180</v>
      </c>
      <c r="E390" s="68" t="n">
        <v>338077.450958681</v>
      </c>
      <c r="F390" s="69" t="n">
        <v>319889.034094458</v>
      </c>
      <c r="G390" s="70" t="n">
        <v>354965.535819133</v>
      </c>
      <c r="H390" s="71" t="n">
        <v>325690.683016893</v>
      </c>
      <c r="I390" s="72" t="str">
        <f>H390-F390</f>
      </c>
      <c r="J390" s="73" t="str">
        <f>G390-E390</f>
      </c>
    </row>
    <row r="391">
      <c r="A391" t="s">
        <v>195</v>
      </c>
      <c r="B391" t="s">
        <v>197</v>
      </c>
      <c r="C391" s="67" t="n">
        <v>2028</v>
      </c>
      <c r="D391" t="s">
        <v>183</v>
      </c>
      <c r="E391" s="68" t="n">
        <v>583024.399538339</v>
      </c>
      <c r="F391" s="69" t="n">
        <v>354280.121227162</v>
      </c>
      <c r="G391" s="70" t="n">
        <v>612031.659444751</v>
      </c>
      <c r="H391" s="71" t="n">
        <v>356073.571438059</v>
      </c>
      <c r="I391" s="72" t="str">
        <f>H391-F391</f>
      </c>
      <c r="J391" s="73" t="str">
        <f>G391-E391</f>
      </c>
    </row>
    <row r="392">
      <c r="A392" t="s">
        <v>195</v>
      </c>
      <c r="B392" t="s">
        <v>197</v>
      </c>
      <c r="C392" s="67" t="n">
        <v>2028</v>
      </c>
      <c r="D392" t="s">
        <v>186</v>
      </c>
      <c r="E392" s="68" t="n">
        <v>416458.006105974</v>
      </c>
      <c r="F392" s="69" t="n">
        <v>220463.188162755</v>
      </c>
      <c r="G392" s="70" t="n">
        <v>437159.755191958</v>
      </c>
      <c r="H392" s="71" t="n">
        <v>221908.958563303</v>
      </c>
      <c r="I392" s="72" t="str">
        <f>H392-F392</f>
      </c>
      <c r="J392" s="73" t="str">
        <f>G392-E392</f>
      </c>
    </row>
    <row r="393">
      <c r="A393" t="s">
        <v>195</v>
      </c>
      <c r="B393" t="s">
        <v>197</v>
      </c>
      <c r="C393" s="67" t="n">
        <v>2028</v>
      </c>
      <c r="D393" t="s">
        <v>366</v>
      </c>
      <c r="E393" s="68" t="n">
        <v>44510.2298518391</v>
      </c>
      <c r="F393" s="69" t="n">
        <v>7131.07016356498</v>
      </c>
      <c r="G393" s="70" t="n">
        <v>44510.0649629929</v>
      </c>
      <c r="H393" s="71" t="n">
        <v>7131.07016356498</v>
      </c>
      <c r="I393" s="72" t="str">
        <f>H393-F393</f>
      </c>
      <c r="J393" s="73" t="str">
        <f>G393-E393</f>
      </c>
    </row>
    <row r="394">
      <c r="A394" t="s">
        <v>195</v>
      </c>
      <c r="B394" t="s">
        <v>197</v>
      </c>
      <c r="C394" s="67" t="n">
        <v>2029</v>
      </c>
      <c r="D394" t="s">
        <v>169</v>
      </c>
      <c r="E394" s="68" t="n">
        <v>14185.9818245241</v>
      </c>
      <c r="F394" s="69" t="n">
        <v>10301.4689636057</v>
      </c>
      <c r="G394" s="70" t="n">
        <v>14181.4236375467</v>
      </c>
      <c r="H394" s="71" t="n">
        <v>10301.2295792609</v>
      </c>
      <c r="I394" s="72" t="str">
        <f>H394-F394</f>
      </c>
      <c r="J394" s="73" t="str">
        <f>G394-E394</f>
      </c>
    </row>
    <row r="395">
      <c r="A395" t="s">
        <v>195</v>
      </c>
      <c r="B395" t="s">
        <v>197</v>
      </c>
      <c r="C395" s="67" t="n">
        <v>2029</v>
      </c>
      <c r="D395" t="s">
        <v>208</v>
      </c>
      <c r="E395" s="68" t="n">
        <v>1082361.85131577</v>
      </c>
      <c r="F395" s="69" t="n">
        <v>161161.672094534</v>
      </c>
      <c r="G395" s="70" t="n">
        <v>1082252.39423074</v>
      </c>
      <c r="H395" s="71" t="n">
        <v>161161.062132093</v>
      </c>
      <c r="I395" s="72" t="str">
        <f>H395-F395</f>
      </c>
      <c r="J395" s="73" t="str">
        <f>G395-E395</f>
      </c>
    </row>
    <row r="396">
      <c r="A396" t="s">
        <v>195</v>
      </c>
      <c r="B396" t="s">
        <v>197</v>
      </c>
      <c r="C396" s="67" t="n">
        <v>2029</v>
      </c>
      <c r="D396" t="s">
        <v>176</v>
      </c>
      <c r="E396" s="68" t="n">
        <v>98514.6723924179</v>
      </c>
      <c r="F396" s="69" t="n">
        <v>69671.7365063316</v>
      </c>
      <c r="G396" s="70" t="n">
        <v>105114.693344183</v>
      </c>
      <c r="H396" s="71" t="n">
        <v>71042.0544294395</v>
      </c>
      <c r="I396" s="72" t="str">
        <f>H396-F396</f>
      </c>
      <c r="J396" s="73" t="str">
        <f>G396-E396</f>
      </c>
    </row>
    <row r="397">
      <c r="A397" t="s">
        <v>195</v>
      </c>
      <c r="B397" t="s">
        <v>197</v>
      </c>
      <c r="C397" s="67" t="n">
        <v>2029</v>
      </c>
      <c r="D397" t="s">
        <v>180</v>
      </c>
      <c r="E397" s="68" t="n">
        <v>341053.933365547</v>
      </c>
      <c r="F397" s="69" t="n">
        <v>324366.474217053</v>
      </c>
      <c r="G397" s="70" t="n">
        <v>363896.204247168</v>
      </c>
      <c r="H397" s="71" t="n">
        <v>334292.677138926</v>
      </c>
      <c r="I397" s="72" t="str">
        <f>H397-F397</f>
      </c>
      <c r="J397" s="73" t="str">
        <f>G397-E397</f>
      </c>
    </row>
    <row r="398">
      <c r="A398" t="s">
        <v>195</v>
      </c>
      <c r="B398" t="s">
        <v>197</v>
      </c>
      <c r="C398" s="67" t="n">
        <v>2029</v>
      </c>
      <c r="D398" t="s">
        <v>183</v>
      </c>
      <c r="E398" s="68" t="n">
        <v>588566.769958529</v>
      </c>
      <c r="F398" s="69" t="n">
        <v>364038.631770179</v>
      </c>
      <c r="G398" s="70" t="n">
        <v>627726.336898794</v>
      </c>
      <c r="H398" s="71" t="n">
        <v>367575.22274735</v>
      </c>
      <c r="I398" s="72" t="str">
        <f>H398-F398</f>
      </c>
      <c r="J398" s="73" t="str">
        <f>G398-E398</f>
      </c>
    </row>
    <row r="399">
      <c r="A399" t="s">
        <v>195</v>
      </c>
      <c r="B399" t="s">
        <v>197</v>
      </c>
      <c r="C399" s="67" t="n">
        <v>2029</v>
      </c>
      <c r="D399" t="s">
        <v>186</v>
      </c>
      <c r="E399" s="68" t="n">
        <v>422704.747199509</v>
      </c>
      <c r="F399" s="69" t="n">
        <v>228918.854735367</v>
      </c>
      <c r="G399" s="70" t="n">
        <v>450786.134013569</v>
      </c>
      <c r="H399" s="71" t="n">
        <v>231708.01887569</v>
      </c>
      <c r="I399" s="72" t="str">
        <f>H399-F399</f>
      </c>
      <c r="J399" s="73" t="str">
        <f>G399-E399</f>
      </c>
    </row>
    <row r="400">
      <c r="A400" t="s">
        <v>195</v>
      </c>
      <c r="B400" t="s">
        <v>197</v>
      </c>
      <c r="C400" s="67" t="n">
        <v>2029</v>
      </c>
      <c r="D400" t="s">
        <v>366</v>
      </c>
      <c r="E400" s="68" t="n">
        <v>44600.8571877321</v>
      </c>
      <c r="F400" s="69" t="n">
        <v>7178.22163278213</v>
      </c>
      <c r="G400" s="70" t="n">
        <v>44600.2614435955</v>
      </c>
      <c r="H400" s="71" t="n">
        <v>7178.21931597252</v>
      </c>
      <c r="I400" s="72" t="str">
        <f>H400-F400</f>
      </c>
      <c r="J400" s="73" t="str">
        <f>G400-E400</f>
      </c>
    </row>
    <row r="401">
      <c r="A401" t="s">
        <v>195</v>
      </c>
      <c r="B401" t="s">
        <v>197</v>
      </c>
      <c r="C401" s="67" t="n">
        <v>2030</v>
      </c>
      <c r="D401" t="s">
        <v>169</v>
      </c>
      <c r="E401" s="68" t="n">
        <v>14641.4611157541</v>
      </c>
      <c r="F401" s="69" t="n">
        <v>10631.3053950214</v>
      </c>
      <c r="G401" s="70" t="n">
        <v>14630.9263575645</v>
      </c>
      <c r="H401" s="71" t="n">
        <v>10630.2702680602</v>
      </c>
      <c r="I401" s="72" t="str">
        <f>H401-F401</f>
      </c>
      <c r="J401" s="73" t="str">
        <f>G401-E401</f>
      </c>
    </row>
    <row r="402">
      <c r="A402" t="s">
        <v>195</v>
      </c>
      <c r="B402" t="s">
        <v>197</v>
      </c>
      <c r="C402" s="67" t="n">
        <v>2030</v>
      </c>
      <c r="D402" t="s">
        <v>208</v>
      </c>
      <c r="E402" s="68" t="n">
        <v>1095206.68075512</v>
      </c>
      <c r="F402" s="69" t="n">
        <v>169317.606035854</v>
      </c>
      <c r="G402" s="70" t="n">
        <v>1094956.84444967</v>
      </c>
      <c r="H402" s="71" t="n">
        <v>169314.834038038</v>
      </c>
      <c r="I402" s="72" t="str">
        <f>H402-F402</f>
      </c>
      <c r="J402" s="73" t="str">
        <f>G402-E402</f>
      </c>
    </row>
    <row r="403">
      <c r="A403" t="s">
        <v>195</v>
      </c>
      <c r="B403" t="s">
        <v>197</v>
      </c>
      <c r="C403" s="67" t="n">
        <v>2030</v>
      </c>
      <c r="D403" t="s">
        <v>176</v>
      </c>
      <c r="E403" s="68" t="n">
        <v>99985.367576627</v>
      </c>
      <c r="F403" s="69" t="n">
        <v>70968.5692989052</v>
      </c>
      <c r="G403" s="70" t="n">
        <v>108393.77376612</v>
      </c>
      <c r="H403" s="71" t="n">
        <v>73120.8011068864</v>
      </c>
      <c r="I403" s="72" t="str">
        <f>H403-F403</f>
      </c>
      <c r="J403" s="73" t="str">
        <f>G403-E403</f>
      </c>
    </row>
    <row r="404">
      <c r="A404" t="s">
        <v>195</v>
      </c>
      <c r="B404" t="s">
        <v>197</v>
      </c>
      <c r="C404" s="67" t="n">
        <v>2030</v>
      </c>
      <c r="D404" t="s">
        <v>180</v>
      </c>
      <c r="E404" s="68" t="n">
        <v>343806.964429434</v>
      </c>
      <c r="F404" s="69" t="n">
        <v>328353.280530002</v>
      </c>
      <c r="G404" s="70" t="n">
        <v>372741.795461264</v>
      </c>
      <c r="H404" s="71" t="n">
        <v>342889.635366394</v>
      </c>
      <c r="I404" s="72" t="str">
        <f>H404-F404</f>
      </c>
      <c r="J404" s="73" t="str">
        <f>G404-E404</f>
      </c>
    </row>
    <row r="405">
      <c r="A405" t="s">
        <v>195</v>
      </c>
      <c r="B405" t="s">
        <v>197</v>
      </c>
      <c r="C405" s="67" t="n">
        <v>2030</v>
      </c>
      <c r="D405" t="s">
        <v>183</v>
      </c>
      <c r="E405" s="68" t="n">
        <v>593657.007408481</v>
      </c>
      <c r="F405" s="69" t="n">
        <v>373134.679091541</v>
      </c>
      <c r="G405" s="70" t="n">
        <v>643154.211305628</v>
      </c>
      <c r="H405" s="71" t="n">
        <v>378940.231267445</v>
      </c>
      <c r="I405" s="72" t="str">
        <f>H405-F405</f>
      </c>
      <c r="J405" s="73" t="str">
        <f>G405-E405</f>
      </c>
    </row>
    <row r="406">
      <c r="A406" t="s">
        <v>195</v>
      </c>
      <c r="B406" t="s">
        <v>197</v>
      </c>
      <c r="C406" s="67" t="n">
        <v>2030</v>
      </c>
      <c r="D406" t="s">
        <v>186</v>
      </c>
      <c r="E406" s="68" t="n">
        <v>428696.739185565</v>
      </c>
      <c r="F406" s="69" t="n">
        <v>236809.590347274</v>
      </c>
      <c r="G406" s="70" t="n">
        <v>464360.518103772</v>
      </c>
      <c r="H406" s="71" t="n">
        <v>241310.309903655</v>
      </c>
      <c r="I406" s="72" t="str">
        <f>H406-F406</f>
      </c>
      <c r="J406" s="73" t="str">
        <f>G406-E406</f>
      </c>
    </row>
    <row r="407">
      <c r="A407" t="s">
        <v>195</v>
      </c>
      <c r="B407" t="s">
        <v>197</v>
      </c>
      <c r="C407" s="67" t="n">
        <v>2030</v>
      </c>
      <c r="D407" t="s">
        <v>366</v>
      </c>
      <c r="E407" s="68" t="n">
        <v>44648.6392690177</v>
      </c>
      <c r="F407" s="69" t="n">
        <v>7223.12064840853</v>
      </c>
      <c r="G407" s="70" t="n">
        <v>44647.268915283</v>
      </c>
      <c r="H407" s="71" t="n">
        <v>7223.11031474236</v>
      </c>
      <c r="I407" s="72" t="str">
        <f>H407-F407</f>
      </c>
      <c r="J407" s="73" t="str">
        <f>G407-E407</f>
      </c>
    </row>
    <row r="408">
      <c r="A408" t="s">
        <v>195</v>
      </c>
      <c r="B408" t="s">
        <v>197</v>
      </c>
      <c r="C408" s="67" t="n">
        <v>2031</v>
      </c>
      <c r="D408" t="s">
        <v>169</v>
      </c>
      <c r="E408" s="68" t="n">
        <v>15100.1436378601</v>
      </c>
      <c r="F408" s="69" t="n">
        <v>10958.1603656882</v>
      </c>
      <c r="G408" s="70" t="n">
        <v>15080.3825495532</v>
      </c>
      <c r="H408" s="71" t="n">
        <v>10955.4255331558</v>
      </c>
      <c r="I408" s="72" t="str">
        <f>H408-F408</f>
      </c>
      <c r="J408" s="73" t="str">
        <f>G408-E408</f>
      </c>
    </row>
    <row r="409">
      <c r="A409" t="s">
        <v>195</v>
      </c>
      <c r="B409" t="s">
        <v>197</v>
      </c>
      <c r="C409" s="67" t="n">
        <v>2031</v>
      </c>
      <c r="D409" t="s">
        <v>208</v>
      </c>
      <c r="E409" s="68" t="n">
        <v>1107489.64788195</v>
      </c>
      <c r="F409" s="69" t="n">
        <v>177518.564741151</v>
      </c>
      <c r="G409" s="70" t="n">
        <v>1107027.69162894</v>
      </c>
      <c r="H409" s="71" t="n">
        <v>177510.906196669</v>
      </c>
      <c r="I409" s="72" t="str">
        <f>H409-F409</f>
      </c>
      <c r="J409" s="73" t="str">
        <f>G409-E409</f>
      </c>
    </row>
    <row r="410">
      <c r="A410" t="s">
        <v>195</v>
      </c>
      <c r="B410" t="s">
        <v>197</v>
      </c>
      <c r="C410" s="67" t="n">
        <v>2031</v>
      </c>
      <c r="D410" t="s">
        <v>176</v>
      </c>
      <c r="E410" s="68" t="n">
        <v>103033.676304166</v>
      </c>
      <c r="F410" s="69" t="n">
        <v>72176.7598568259</v>
      </c>
      <c r="G410" s="70" t="n">
        <v>111632.947554352</v>
      </c>
      <c r="H410" s="71" t="n">
        <v>75230.219664338</v>
      </c>
      <c r="I410" s="72" t="str">
        <f>H410-F410</f>
      </c>
      <c r="J410" s="73" t="str">
        <f>G410-E410</f>
      </c>
    </row>
    <row r="411">
      <c r="A411" t="s">
        <v>195</v>
      </c>
      <c r="B411" t="s">
        <v>197</v>
      </c>
      <c r="C411" s="67" t="n">
        <v>2031</v>
      </c>
      <c r="D411" t="s">
        <v>180</v>
      </c>
      <c r="E411" s="68" t="n">
        <v>352016.777830944</v>
      </c>
      <c r="F411" s="69" t="n">
        <v>331917.375995307</v>
      </c>
      <c r="G411" s="70" t="n">
        <v>381470.266781021</v>
      </c>
      <c r="H411" s="71" t="n">
        <v>351432.518672951</v>
      </c>
      <c r="I411" s="72" t="str">
        <f>H411-F411</f>
      </c>
      <c r="J411" s="73" t="str">
        <f>G411-E411</f>
      </c>
    </row>
    <row r="412">
      <c r="A412" t="s">
        <v>195</v>
      </c>
      <c r="B412" t="s">
        <v>197</v>
      </c>
      <c r="C412" s="67" t="n">
        <v>2031</v>
      </c>
      <c r="D412" t="s">
        <v>183</v>
      </c>
      <c r="E412" s="68" t="n">
        <v>608131.757329304</v>
      </c>
      <c r="F412" s="69" t="n">
        <v>381611.194840884</v>
      </c>
      <c r="G412" s="70" t="n">
        <v>658282.149268814</v>
      </c>
      <c r="H412" s="71" t="n">
        <v>390181.003020302</v>
      </c>
      <c r="I412" s="72" t="str">
        <f>H412-F412</f>
      </c>
      <c r="J412" s="73" t="str">
        <f>G412-E412</f>
      </c>
    </row>
    <row r="413">
      <c r="A413" t="s">
        <v>195</v>
      </c>
      <c r="B413" t="s">
        <v>197</v>
      </c>
      <c r="C413" s="67" t="n">
        <v>2031</v>
      </c>
      <c r="D413" t="s">
        <v>186</v>
      </c>
      <c r="E413" s="68" t="n">
        <v>441499.956270974</v>
      </c>
      <c r="F413" s="69" t="n">
        <v>244262.25084771</v>
      </c>
      <c r="G413" s="70" t="n">
        <v>477778.146047482</v>
      </c>
      <c r="H413" s="71" t="n">
        <v>250815.782662592</v>
      </c>
      <c r="I413" s="72" t="str">
        <f>H413-F413</f>
      </c>
      <c r="J413" s="73" t="str">
        <f>G413-E413</f>
      </c>
    </row>
    <row r="414">
      <c r="A414" t="s">
        <v>195</v>
      </c>
      <c r="B414" t="s">
        <v>197</v>
      </c>
      <c r="C414" s="67" t="n">
        <v>2031</v>
      </c>
      <c r="D414" t="s">
        <v>366</v>
      </c>
      <c r="E414" s="68" t="n">
        <v>44642.8987740341</v>
      </c>
      <c r="F414" s="69" t="n">
        <v>7266.79400136612</v>
      </c>
      <c r="G414" s="70" t="n">
        <v>44640.3472954778</v>
      </c>
      <c r="H414" s="71" t="n">
        <v>7266.76600020754</v>
      </c>
      <c r="I414" s="72" t="str">
        <f>H414-F414</f>
      </c>
      <c r="J414" s="73" t="str">
        <f>G414-E414</f>
      </c>
    </row>
    <row r="415">
      <c r="A415" t="s">
        <v>195</v>
      </c>
      <c r="B415" t="s">
        <v>197</v>
      </c>
      <c r="C415" s="67" t="n">
        <v>2032</v>
      </c>
      <c r="D415" t="s">
        <v>169</v>
      </c>
      <c r="E415" s="68" t="n">
        <v>15564.0260985324</v>
      </c>
      <c r="F415" s="69" t="n">
        <v>11280.1804704885</v>
      </c>
      <c r="G415" s="70" t="n">
        <v>15531.2601955666</v>
      </c>
      <c r="H415" s="71" t="n">
        <v>11274.4954497352</v>
      </c>
      <c r="I415" s="72" t="str">
        <f>H415-F415</f>
      </c>
      <c r="J415" s="73" t="str">
        <f>G415-E415</f>
      </c>
    </row>
    <row r="416">
      <c r="A416" t="s">
        <v>195</v>
      </c>
      <c r="B416" t="s">
        <v>197</v>
      </c>
      <c r="C416" s="67" t="n">
        <v>2032</v>
      </c>
      <c r="D416" t="s">
        <v>208</v>
      </c>
      <c r="E416" s="68" t="n">
        <v>1119231.28775902</v>
      </c>
      <c r="F416" s="69" t="n">
        <v>185742.577028541</v>
      </c>
      <c r="G416" s="70" t="n">
        <v>1118477.32749824</v>
      </c>
      <c r="H416" s="71" t="n">
        <v>185725.999058801</v>
      </c>
      <c r="I416" s="72" t="str">
        <f>H416-F416</f>
      </c>
      <c r="J416" s="73" t="str">
        <f>G416-E416</f>
      </c>
    </row>
    <row r="417">
      <c r="A417" t="s">
        <v>195</v>
      </c>
      <c r="B417" t="s">
        <v>197</v>
      </c>
      <c r="C417" s="67" t="n">
        <v>2032</v>
      </c>
      <c r="D417" t="s">
        <v>176</v>
      </c>
      <c r="E417" s="68" t="n">
        <v>106067.616300452</v>
      </c>
      <c r="F417" s="69" t="n">
        <v>73576.0615088343</v>
      </c>
      <c r="G417" s="70" t="n">
        <v>114835.221802653</v>
      </c>
      <c r="H417" s="71" t="n">
        <v>77353.0610239329</v>
      </c>
      <c r="I417" s="72" t="str">
        <f>H417-F417</f>
      </c>
      <c r="J417" s="73" t="str">
        <f>G417-E417</f>
      </c>
    </row>
    <row r="418">
      <c r="A418" t="s">
        <v>195</v>
      </c>
      <c r="B418" t="s">
        <v>197</v>
      </c>
      <c r="C418" s="67" t="n">
        <v>2032</v>
      </c>
      <c r="D418" t="s">
        <v>180</v>
      </c>
      <c r="E418" s="68" t="n">
        <v>360071.32555357</v>
      </c>
      <c r="F418" s="69" t="n">
        <v>337612.189298981</v>
      </c>
      <c r="G418" s="70" t="n">
        <v>389998.376688754</v>
      </c>
      <c r="H418" s="71" t="n">
        <v>359834.546852866</v>
      </c>
      <c r="I418" s="72" t="str">
        <f>H418-F418</f>
      </c>
      <c r="J418" s="73" t="str">
        <f>G418-E418</f>
      </c>
    </row>
    <row r="419">
      <c r="A419" t="s">
        <v>195</v>
      </c>
      <c r="B419" t="s">
        <v>197</v>
      </c>
      <c r="C419" s="67" t="n">
        <v>2032</v>
      </c>
      <c r="D419" t="s">
        <v>183</v>
      </c>
      <c r="E419" s="68" t="n">
        <v>622424.532613687</v>
      </c>
      <c r="F419" s="69" t="n">
        <v>390188.708602333</v>
      </c>
      <c r="G419" s="70" t="n">
        <v>673133.888273266</v>
      </c>
      <c r="H419" s="71" t="n">
        <v>401318.286193472</v>
      </c>
      <c r="I419" s="72" t="str">
        <f>H419-F419</f>
      </c>
      <c r="J419" s="73" t="str">
        <f>G419-E419</f>
      </c>
    </row>
    <row r="420">
      <c r="A420" t="s">
        <v>195</v>
      </c>
      <c r="B420" t="s">
        <v>197</v>
      </c>
      <c r="C420" s="67" t="n">
        <v>2032</v>
      </c>
      <c r="D420" t="s">
        <v>186</v>
      </c>
      <c r="E420" s="68" t="n">
        <v>454102.40514404</v>
      </c>
      <c r="F420" s="69" t="n">
        <v>252030.402326293</v>
      </c>
      <c r="G420" s="70" t="n">
        <v>490904.70344578</v>
      </c>
      <c r="H420" s="71" t="n">
        <v>260346.937343717</v>
      </c>
      <c r="I420" s="72" t="str">
        <f>H420-F420</f>
      </c>
      <c r="J420" s="73" t="str">
        <f>G420-E420</f>
      </c>
    </row>
    <row r="421">
      <c r="A421" t="s">
        <v>195</v>
      </c>
      <c r="B421" t="s">
        <v>197</v>
      </c>
      <c r="C421" s="67" t="n">
        <v>2032</v>
      </c>
      <c r="D421" t="s">
        <v>366</v>
      </c>
      <c r="E421" s="68" t="n">
        <v>44587.4353645208</v>
      </c>
      <c r="F421" s="69" t="n">
        <v>7308.7490369</v>
      </c>
      <c r="G421" s="70" t="n">
        <v>44583.2455015959</v>
      </c>
      <c r="H421" s="71" t="n">
        <v>7308.68956833998</v>
      </c>
      <c r="I421" s="72" t="str">
        <f>H421-F421</f>
      </c>
      <c r="J421" s="73" t="str">
        <f>G421-E421</f>
      </c>
    </row>
    <row r="422">
      <c r="A422" t="s">
        <v>195</v>
      </c>
      <c r="B422" t="s">
        <v>197</v>
      </c>
      <c r="C422" s="67" t="n">
        <v>2033</v>
      </c>
      <c r="D422" t="s">
        <v>169</v>
      </c>
      <c r="E422" s="68" t="n">
        <v>16032.1549302499</v>
      </c>
      <c r="F422" s="69" t="n">
        <v>11597.1609473254</v>
      </c>
      <c r="G422" s="70" t="n">
        <v>15983.7175379286</v>
      </c>
      <c r="H422" s="71" t="n">
        <v>11586.9335708044</v>
      </c>
      <c r="I422" s="72" t="str">
        <f>H422-F422</f>
      </c>
      <c r="J422" s="73" t="str">
        <f>G422-E422</f>
      </c>
    </row>
    <row r="423">
      <c r="A423" t="s">
        <v>195</v>
      </c>
      <c r="B423" t="s">
        <v>197</v>
      </c>
      <c r="C423" s="67" t="n">
        <v>2033</v>
      </c>
      <c r="D423" t="s">
        <v>208</v>
      </c>
      <c r="E423" s="68" t="n">
        <v>1130331.77562412</v>
      </c>
      <c r="F423" s="69" t="n">
        <v>193984.167203927</v>
      </c>
      <c r="G423" s="70" t="n">
        <v>1129233.47845058</v>
      </c>
      <c r="H423" s="71" t="n">
        <v>193953.224223645</v>
      </c>
      <c r="I423" s="72" t="str">
        <f>H423-F423</f>
      </c>
      <c r="J423" s="73" t="str">
        <f>G423-E423</f>
      </c>
    </row>
    <row r="424">
      <c r="A424" t="s">
        <v>195</v>
      </c>
      <c r="B424" t="s">
        <v>197</v>
      </c>
      <c r="C424" s="67" t="n">
        <v>2033</v>
      </c>
      <c r="D424" t="s">
        <v>176</v>
      </c>
      <c r="E424" s="68" t="n">
        <v>109079.514561679</v>
      </c>
      <c r="F424" s="69" t="n">
        <v>75114.5855849863</v>
      </c>
      <c r="G424" s="70" t="n">
        <v>117998.738437442</v>
      </c>
      <c r="H424" s="71" t="n">
        <v>79480.4761690429</v>
      </c>
      <c r="I424" s="72" t="str">
        <f>H424-F424</f>
      </c>
      <c r="J424" s="73" t="str">
        <f>G424-E424</f>
      </c>
    </row>
    <row r="425">
      <c r="A425" t="s">
        <v>195</v>
      </c>
      <c r="B425" t="s">
        <v>197</v>
      </c>
      <c r="C425" s="67" t="n">
        <v>2033</v>
      </c>
      <c r="D425" t="s">
        <v>180</v>
      </c>
      <c r="E425" s="68" t="n">
        <v>367992.326450477</v>
      </c>
      <c r="F425" s="69" t="n">
        <v>344006.761110527</v>
      </c>
      <c r="G425" s="70" t="n">
        <v>398354.344992358</v>
      </c>
      <c r="H425" s="71" t="n">
        <v>368051.624575443</v>
      </c>
      <c r="I425" s="72" t="str">
        <f>H425-F425</f>
      </c>
      <c r="J425" s="73" t="str">
        <f>G425-E425</f>
      </c>
    </row>
    <row r="426">
      <c r="A426" t="s">
        <v>195</v>
      </c>
      <c r="B426" t="s">
        <v>197</v>
      </c>
      <c r="C426" s="67" t="n">
        <v>2033</v>
      </c>
      <c r="D426" t="s">
        <v>183</v>
      </c>
      <c r="E426" s="68" t="n">
        <v>636437.979290077</v>
      </c>
      <c r="F426" s="69" t="n">
        <v>398845.025113702</v>
      </c>
      <c r="G426" s="70" t="n">
        <v>687634.699546926</v>
      </c>
      <c r="H426" s="71" t="n">
        <v>412348.075678578</v>
      </c>
      <c r="I426" s="72" t="str">
        <f>H426-F426</f>
      </c>
      <c r="J426" s="73" t="str">
        <f>G426-E426</f>
      </c>
    </row>
    <row r="427">
      <c r="A427" t="s">
        <v>195</v>
      </c>
      <c r="B427" t="s">
        <v>197</v>
      </c>
      <c r="C427" s="67" t="n">
        <v>2033</v>
      </c>
      <c r="D427" t="s">
        <v>186</v>
      </c>
      <c r="E427" s="68" t="n">
        <v>466492.487948724</v>
      </c>
      <c r="F427" s="69" t="n">
        <v>259993.778880622</v>
      </c>
      <c r="G427" s="70" t="n">
        <v>503751.109420694</v>
      </c>
      <c r="H427" s="71" t="n">
        <v>269883.407599987</v>
      </c>
      <c r="I427" s="72" t="str">
        <f>H427-F427</f>
      </c>
      <c r="J427" s="73" t="str">
        <f>G427-E427</f>
      </c>
    </row>
    <row r="428">
      <c r="A428" t="s">
        <v>195</v>
      </c>
      <c r="B428" t="s">
        <v>197</v>
      </c>
      <c r="C428" s="67" t="n">
        <v>2033</v>
      </c>
      <c r="D428" t="s">
        <v>366</v>
      </c>
      <c r="E428" s="68" t="n">
        <v>44489.8209262313</v>
      </c>
      <c r="F428" s="69" t="n">
        <v>7348.18300311015</v>
      </c>
      <c r="G428" s="70" t="n">
        <v>44483.6835898413</v>
      </c>
      <c r="H428" s="71" t="n">
        <v>7348.07414732206</v>
      </c>
      <c r="I428" s="72" t="str">
        <f>H428-F428</f>
      </c>
      <c r="J428" s="73" t="str">
        <f>G428-E428</f>
      </c>
    </row>
    <row r="429">
      <c r="A429" t="s">
        <v>195</v>
      </c>
      <c r="B429" t="s">
        <v>197</v>
      </c>
      <c r="C429" s="67" t="n">
        <v>2034</v>
      </c>
      <c r="D429" t="s">
        <v>169</v>
      </c>
      <c r="E429" s="68" t="n">
        <v>16503.2387566358</v>
      </c>
      <c r="F429" s="69" t="n">
        <v>11912.7515162997</v>
      </c>
      <c r="G429" s="70" t="n">
        <v>16436.9312806497</v>
      </c>
      <c r="H429" s="71" t="n">
        <v>11896.3823187386</v>
      </c>
      <c r="I429" s="72" t="str">
        <f>H429-F429</f>
      </c>
      <c r="J429" s="73" t="str">
        <f>G429-E429</f>
      </c>
    </row>
    <row r="430">
      <c r="A430" t="s">
        <v>195</v>
      </c>
      <c r="B430" t="s">
        <v>197</v>
      </c>
      <c r="C430" s="67" t="n">
        <v>2034</v>
      </c>
      <c r="D430" t="s">
        <v>208</v>
      </c>
      <c r="E430" s="68" t="n">
        <v>1140838.09911317</v>
      </c>
      <c r="F430" s="69" t="n">
        <v>202198.734272442</v>
      </c>
      <c r="G430" s="70" t="n">
        <v>1139357.01951607</v>
      </c>
      <c r="H430" s="71" t="n">
        <v>202147.27044605</v>
      </c>
      <c r="I430" s="72" t="str">
        <f>H430-F430</f>
      </c>
      <c r="J430" s="73" t="str">
        <f>G430-E430</f>
      </c>
    </row>
    <row r="431">
      <c r="A431" t="s">
        <v>195</v>
      </c>
      <c r="B431" t="s">
        <v>197</v>
      </c>
      <c r="C431" s="67" t="n">
        <v>2034</v>
      </c>
      <c r="D431" t="s">
        <v>176</v>
      </c>
      <c r="E431" s="68" t="n">
        <v>112049.868219875</v>
      </c>
      <c r="F431" s="69" t="n">
        <v>76744.0845411249</v>
      </c>
      <c r="G431" s="70" t="n">
        <v>121105.471839437</v>
      </c>
      <c r="H431" s="71" t="n">
        <v>81594.9482339212</v>
      </c>
      <c r="I431" s="72" t="str">
        <f>H431-F431</f>
      </c>
      <c r="J431" s="73" t="str">
        <f>G431-E431</f>
      </c>
    </row>
    <row r="432">
      <c r="A432" t="s">
        <v>195</v>
      </c>
      <c r="B432" t="s">
        <v>197</v>
      </c>
      <c r="C432" s="67" t="n">
        <v>2034</v>
      </c>
      <c r="D432" t="s">
        <v>180</v>
      </c>
      <c r="E432" s="68" t="n">
        <v>375796.510468674</v>
      </c>
      <c r="F432" s="69" t="n">
        <v>350649.989893544</v>
      </c>
      <c r="G432" s="70" t="n">
        <v>406559.867353788</v>
      </c>
      <c r="H432" s="71" t="n">
        <v>376028.132278335</v>
      </c>
      <c r="I432" s="72" t="str">
        <f>H432-F432</f>
      </c>
      <c r="J432" s="73" t="str">
        <f>G432-E432</f>
      </c>
    </row>
    <row r="433">
      <c r="A433" t="s">
        <v>195</v>
      </c>
      <c r="B433" t="s">
        <v>197</v>
      </c>
      <c r="C433" s="67" t="n">
        <v>2034</v>
      </c>
      <c r="D433" t="s">
        <v>183</v>
      </c>
      <c r="E433" s="68" t="n">
        <v>650073.443458318</v>
      </c>
      <c r="F433" s="69" t="n">
        <v>407550.802935231</v>
      </c>
      <c r="G433" s="70" t="n">
        <v>701691.677358768</v>
      </c>
      <c r="H433" s="71" t="n">
        <v>423259.100590806</v>
      </c>
      <c r="I433" s="72" t="str">
        <f>H433-F433</f>
      </c>
      <c r="J433" s="73" t="str">
        <f>G433-E433</f>
      </c>
    </row>
    <row r="434">
      <c r="A434" t="s">
        <v>195</v>
      </c>
      <c r="B434" t="s">
        <v>197</v>
      </c>
      <c r="C434" s="67" t="n">
        <v>2034</v>
      </c>
      <c r="D434" t="s">
        <v>186</v>
      </c>
      <c r="E434" s="68" t="n">
        <v>478744.22296941</v>
      </c>
      <c r="F434" s="69" t="n">
        <v>268166.44008627</v>
      </c>
      <c r="G434" s="70" t="n">
        <v>516406.53850878</v>
      </c>
      <c r="H434" s="71" t="n">
        <v>279484.980285229</v>
      </c>
      <c r="I434" s="72" t="str">
        <f>H434-F434</f>
      </c>
      <c r="J434" s="73" t="str">
        <f>G434-E434</f>
      </c>
    </row>
    <row r="435">
      <c r="A435" t="s">
        <v>195</v>
      </c>
      <c r="B435" t="s">
        <v>197</v>
      </c>
      <c r="C435" s="67" t="n">
        <v>2034</v>
      </c>
      <c r="D435" t="s">
        <v>366</v>
      </c>
      <c r="E435" s="68" t="n">
        <v>44363.5026636577</v>
      </c>
      <c r="F435" s="69" t="n">
        <v>7385.21819371308</v>
      </c>
      <c r="G435" s="70" t="n">
        <v>44355.184450179</v>
      </c>
      <c r="H435" s="71" t="n">
        <v>7385.04094675217</v>
      </c>
      <c r="I435" s="72" t="str">
        <f>H435-F435</f>
      </c>
      <c r="J435" s="73" t="str">
        <f>G435-E435</f>
      </c>
    </row>
    <row r="436">
      <c r="A436" t="s">
        <v>195</v>
      </c>
      <c r="B436" t="s">
        <v>197</v>
      </c>
      <c r="C436" s="67" t="n">
        <v>2035</v>
      </c>
      <c r="D436" t="s">
        <v>169</v>
      </c>
      <c r="E436" s="68" t="n">
        <v>16978.3066211611</v>
      </c>
      <c r="F436" s="69" t="n">
        <v>12227.0770190446</v>
      </c>
      <c r="G436" s="70" t="n">
        <v>16892.2141390053</v>
      </c>
      <c r="H436" s="71" t="n">
        <v>12203.0577178634</v>
      </c>
      <c r="I436" s="72" t="str">
        <f>H436-F436</f>
      </c>
      <c r="J436" s="73" t="str">
        <f>G436-E436</f>
      </c>
    </row>
    <row r="437">
      <c r="A437" t="s">
        <v>195</v>
      </c>
      <c r="B437" t="s">
        <v>197</v>
      </c>
      <c r="C437" s="67" t="n">
        <v>2035</v>
      </c>
      <c r="D437" t="s">
        <v>208</v>
      </c>
      <c r="E437" s="68" t="n">
        <v>1150864.99263513</v>
      </c>
      <c r="F437" s="69" t="n">
        <v>210369.49351842</v>
      </c>
      <c r="G437" s="70" t="n">
        <v>1148972.16574985</v>
      </c>
      <c r="H437" s="71" t="n">
        <v>210290.980527925</v>
      </c>
      <c r="I437" s="72" t="str">
        <f>H437-F437</f>
      </c>
      <c r="J437" s="73" t="str">
        <f>G437-E437</f>
      </c>
    </row>
    <row r="438">
      <c r="A438" t="s">
        <v>195</v>
      </c>
      <c r="B438" t="s">
        <v>197</v>
      </c>
      <c r="C438" s="67" t="n">
        <v>2035</v>
      </c>
      <c r="D438" t="s">
        <v>176</v>
      </c>
      <c r="E438" s="68" t="n">
        <v>114970.054008334</v>
      </c>
      <c r="F438" s="69" t="n">
        <v>78440.7935523375</v>
      </c>
      <c r="G438" s="70" t="n">
        <v>124148.207195844</v>
      </c>
      <c r="H438" s="71" t="n">
        <v>83695.1178728798</v>
      </c>
      <c r="I438" s="72" t="str">
        <f>H438-F438</f>
      </c>
      <c r="J438" s="73" t="str">
        <f>G438-E438</f>
      </c>
    </row>
    <row r="439">
      <c r="A439" t="s">
        <v>195</v>
      </c>
      <c r="B439" t="s">
        <v>197</v>
      </c>
      <c r="C439" s="67" t="n">
        <v>2035</v>
      </c>
      <c r="D439" t="s">
        <v>180</v>
      </c>
      <c r="E439" s="68" t="n">
        <v>383405.639188477</v>
      </c>
      <c r="F439" s="69" t="n">
        <v>357378.412376413</v>
      </c>
      <c r="G439" s="70" t="n">
        <v>414533.160603145</v>
      </c>
      <c r="H439" s="71" t="n">
        <v>383788.762526672</v>
      </c>
      <c r="I439" s="72" t="str">
        <f>H439-F439</f>
      </c>
      <c r="J439" s="73" t="str">
        <f>G439-E439</f>
      </c>
    </row>
    <row r="440">
      <c r="A440" t="s">
        <v>195</v>
      </c>
      <c r="B440" t="s">
        <v>197</v>
      </c>
      <c r="C440" s="67" t="n">
        <v>2035</v>
      </c>
      <c r="D440" t="s">
        <v>183</v>
      </c>
      <c r="E440" s="68" t="n">
        <v>663347.69986758</v>
      </c>
      <c r="F440" s="69" t="n">
        <v>416319.019221711</v>
      </c>
      <c r="G440" s="70" t="n">
        <v>715331.788822102</v>
      </c>
      <c r="H440" s="71" t="n">
        <v>434082.031551195</v>
      </c>
      <c r="I440" s="72" t="str">
        <f>H440-F440</f>
      </c>
      <c r="J440" s="73" t="str">
        <f>G440-E440</f>
      </c>
    </row>
    <row r="441">
      <c r="A441" t="s">
        <v>195</v>
      </c>
      <c r="B441" t="s">
        <v>197</v>
      </c>
      <c r="C441" s="67" t="n">
        <v>2035</v>
      </c>
      <c r="D441" t="s">
        <v>186</v>
      </c>
      <c r="E441" s="68" t="n">
        <v>490803.270010904</v>
      </c>
      <c r="F441" s="69" t="n">
        <v>276522.231911854</v>
      </c>
      <c r="G441" s="70" t="n">
        <v>528818.371883953</v>
      </c>
      <c r="H441" s="71" t="n">
        <v>289150.802435983</v>
      </c>
      <c r="I441" s="72" t="str">
        <f>H441-F441</f>
      </c>
      <c r="J441" s="73" t="str">
        <f>G441-E441</f>
      </c>
    </row>
    <row r="442">
      <c r="A442" t="s">
        <v>195</v>
      </c>
      <c r="B442" t="s">
        <v>197</v>
      </c>
      <c r="C442" s="67" t="n">
        <v>2035</v>
      </c>
      <c r="D442" t="s">
        <v>366</v>
      </c>
      <c r="E442" s="68" t="n">
        <v>44217.3885675921</v>
      </c>
      <c r="F442" s="69" t="n">
        <v>7420.24324751429</v>
      </c>
      <c r="G442" s="70" t="n">
        <v>44206.7073067121</v>
      </c>
      <c r="H442" s="71" t="n">
        <v>7419.97885519321</v>
      </c>
      <c r="I442" s="72" t="str">
        <f>H442-F442</f>
      </c>
      <c r="J442" s="73" t="str">
        <f>G442-E442</f>
      </c>
    </row>
    <row r="443">
      <c r="A443" t="s">
        <v>195</v>
      </c>
      <c r="B443" t="s">
        <v>197</v>
      </c>
      <c r="C443" s="67" t="n">
        <v>2036</v>
      </c>
      <c r="D443" t="s">
        <v>169</v>
      </c>
      <c r="E443" s="68" t="n">
        <v>17458.266290367</v>
      </c>
      <c r="F443" s="69" t="n">
        <v>12539.9558491803</v>
      </c>
      <c r="G443" s="70" t="n">
        <v>17350.6546269342</v>
      </c>
      <c r="H443" s="71" t="n">
        <v>12506.9021026876</v>
      </c>
      <c r="I443" s="72" t="str">
        <f>H443-F443</f>
      </c>
      <c r="J443" s="73" t="str">
        <f>G443-E443</f>
      </c>
    </row>
    <row r="444">
      <c r="A444" t="s">
        <v>195</v>
      </c>
      <c r="B444" t="s">
        <v>197</v>
      </c>
      <c r="C444" s="67" t="n">
        <v>2036</v>
      </c>
      <c r="D444" t="s">
        <v>208</v>
      </c>
      <c r="E444" s="68" t="n">
        <v>1160592.60638103</v>
      </c>
      <c r="F444" s="69" t="n">
        <v>218482.928464336</v>
      </c>
      <c r="G444" s="70" t="n">
        <v>1158266.13775829</v>
      </c>
      <c r="H444" s="71" t="n">
        <v>218370.687575925</v>
      </c>
      <c r="I444" s="72" t="str">
        <f>H444-F444</f>
      </c>
      <c r="J444" s="73" t="str">
        <f>G444-E444</f>
      </c>
    </row>
    <row r="445">
      <c r="A445" t="s">
        <v>195</v>
      </c>
      <c r="B445" t="s">
        <v>197</v>
      </c>
      <c r="C445" s="67" t="n">
        <v>2036</v>
      </c>
      <c r="D445" t="s">
        <v>176</v>
      </c>
      <c r="E445" s="68" t="n">
        <v>117849.277762308</v>
      </c>
      <c r="F445" s="69" t="n">
        <v>80173.772768321</v>
      </c>
      <c r="G445" s="70" t="n">
        <v>127138.451085333</v>
      </c>
      <c r="H445" s="71" t="n">
        <v>85765.5647353171</v>
      </c>
      <c r="I445" s="72" t="str">
        <f>H445-F445</f>
      </c>
      <c r="J445" s="73" t="str">
        <f>G445-E445</f>
      </c>
    </row>
    <row r="446">
      <c r="A446" t="s">
        <v>195</v>
      </c>
      <c r="B446" t="s">
        <v>197</v>
      </c>
      <c r="C446" s="67" t="n">
        <v>2036</v>
      </c>
      <c r="D446" t="s">
        <v>180</v>
      </c>
      <c r="E446" s="68" t="n">
        <v>390778.832587494</v>
      </c>
      <c r="F446" s="69" t="n">
        <v>364049.098795533</v>
      </c>
      <c r="G446" s="70" t="n">
        <v>422232.659922133</v>
      </c>
      <c r="H446" s="71" t="n">
        <v>391285.955739587</v>
      </c>
      <c r="I446" s="72" t="str">
        <f>H446-F446</f>
      </c>
      <c r="J446" s="73" t="str">
        <f>G446-E446</f>
      </c>
    </row>
    <row r="447">
      <c r="A447" t="s">
        <v>195</v>
      </c>
      <c r="B447" t="s">
        <v>197</v>
      </c>
      <c r="C447" s="67" t="n">
        <v>2036</v>
      </c>
      <c r="D447" t="s">
        <v>183</v>
      </c>
      <c r="E447" s="68" t="n">
        <v>676233.564494098</v>
      </c>
      <c r="F447" s="69" t="n">
        <v>425067.894308072</v>
      </c>
      <c r="G447" s="70" t="n">
        <v>728531.610160843</v>
      </c>
      <c r="H447" s="71" t="n">
        <v>444747.907566169</v>
      </c>
      <c r="I447" s="72" t="str">
        <f>H447-F447</f>
      </c>
      <c r="J447" s="73" t="str">
        <f>G447-E447</f>
      </c>
    </row>
    <row r="448">
      <c r="A448" t="s">
        <v>195</v>
      </c>
      <c r="B448" t="s">
        <v>197</v>
      </c>
      <c r="C448" s="67" t="n">
        <v>2036</v>
      </c>
      <c r="D448" t="s">
        <v>186</v>
      </c>
      <c r="E448" s="68" t="n">
        <v>502726.706391048</v>
      </c>
      <c r="F448" s="69" t="n">
        <v>285043.214216227</v>
      </c>
      <c r="G448" s="70" t="n">
        <v>541052.28077363</v>
      </c>
      <c r="H448" s="71" t="n">
        <v>298879.611309733</v>
      </c>
      <c r="I448" s="72" t="str">
        <f>H448-F448</f>
      </c>
      <c r="J448" s="73" t="str">
        <f>G448-E448</f>
      </c>
    </row>
    <row r="449">
      <c r="A449" t="s">
        <v>195</v>
      </c>
      <c r="B449" t="s">
        <v>197</v>
      </c>
      <c r="C449" s="67" t="n">
        <v>2036</v>
      </c>
      <c r="D449" t="s">
        <v>366</v>
      </c>
      <c r="E449" s="68" t="n">
        <v>44063.186004424</v>
      </c>
      <c r="F449" s="69" t="n">
        <v>7453.70444376716</v>
      </c>
      <c r="G449" s="70" t="n">
        <v>44049.9983782722</v>
      </c>
      <c r="H449" s="71" t="n">
        <v>7453.3351271514</v>
      </c>
      <c r="I449" s="72" t="str">
        <f>H449-F449</f>
      </c>
      <c r="J449" s="73" t="str">
        <f>G449-E449</f>
      </c>
    </row>
    <row r="450">
      <c r="A450" t="s">
        <v>195</v>
      </c>
      <c r="B450" t="s">
        <v>197</v>
      </c>
      <c r="C450" s="67" t="n">
        <v>2037</v>
      </c>
      <c r="D450" t="s">
        <v>169</v>
      </c>
      <c r="E450" s="68" t="n">
        <v>17943.1974291187</v>
      </c>
      <c r="F450" s="69" t="n">
        <v>12850.8400355253</v>
      </c>
      <c r="G450" s="70" t="n">
        <v>17812.5035281772</v>
      </c>
      <c r="H450" s="71" t="n">
        <v>12807.5012683992</v>
      </c>
      <c r="I450" s="72" t="str">
        <f>H450-F450</f>
      </c>
      <c r="J450" s="73" t="str">
        <f>G450-E450</f>
      </c>
    </row>
    <row r="451">
      <c r="A451" t="s">
        <v>195</v>
      </c>
      <c r="B451" t="s">
        <v>197</v>
      </c>
      <c r="C451" s="67" t="n">
        <v>2037</v>
      </c>
      <c r="D451" t="s">
        <v>208</v>
      </c>
      <c r="E451" s="68" t="n">
        <v>1170141.12461581</v>
      </c>
      <c r="F451" s="69" t="n">
        <v>226526.052211891</v>
      </c>
      <c r="G451" s="70" t="n">
        <v>1167364.66541375</v>
      </c>
      <c r="H451" s="71" t="n">
        <v>226373.365626062</v>
      </c>
      <c r="I451" s="72" t="str">
        <f>H451-F451</f>
      </c>
      <c r="J451" s="73" t="str">
        <f>G451-E451</f>
      </c>
    </row>
    <row r="452">
      <c r="A452" t="s">
        <v>195</v>
      </c>
      <c r="B452" t="s">
        <v>197</v>
      </c>
      <c r="C452" s="67" t="n">
        <v>2037</v>
      </c>
      <c r="D452" t="s">
        <v>176</v>
      </c>
      <c r="E452" s="68" t="n">
        <v>120701.184361144</v>
      </c>
      <c r="F452" s="69" t="n">
        <v>81910.7149148249</v>
      </c>
      <c r="G452" s="70" t="n">
        <v>130092.112965313</v>
      </c>
      <c r="H452" s="71" t="n">
        <v>87785.8739142287</v>
      </c>
      <c r="I452" s="72" t="str">
        <f>H452-F452</f>
      </c>
      <c r="J452" s="73" t="str">
        <f>G452-E452</f>
      </c>
    </row>
    <row r="453">
      <c r="A453" t="s">
        <v>195</v>
      </c>
      <c r="B453" t="s">
        <v>197</v>
      </c>
      <c r="C453" s="67" t="n">
        <v>2037</v>
      </c>
      <c r="D453" t="s">
        <v>180</v>
      </c>
      <c r="E453" s="68" t="n">
        <v>397928.73126662</v>
      </c>
      <c r="F453" s="69" t="n">
        <v>370558.365896684</v>
      </c>
      <c r="G453" s="70" t="n">
        <v>429674.679324948</v>
      </c>
      <c r="H453" s="71" t="n">
        <v>398473.813386608</v>
      </c>
      <c r="I453" s="72" t="str">
        <f>H453-F453</f>
      </c>
      <c r="J453" s="73" t="str">
        <f>G453-E453</f>
      </c>
    </row>
    <row r="454">
      <c r="A454" t="s">
        <v>195</v>
      </c>
      <c r="B454" t="s">
        <v>197</v>
      </c>
      <c r="C454" s="67" t="n">
        <v>2037</v>
      </c>
      <c r="D454" t="s">
        <v>183</v>
      </c>
      <c r="E454" s="68" t="n">
        <v>688698.952480142</v>
      </c>
      <c r="F454" s="69" t="n">
        <v>433706.607687293</v>
      </c>
      <c r="G454" s="70" t="n">
        <v>741261.427234993</v>
      </c>
      <c r="H454" s="71" t="n">
        <v>455168.184528758</v>
      </c>
      <c r="I454" s="72" t="str">
        <f>H454-F454</f>
      </c>
      <c r="J454" s="73" t="str">
        <f>G454-E454</f>
      </c>
    </row>
    <row r="455">
      <c r="A455" t="s">
        <v>195</v>
      </c>
      <c r="B455" t="s">
        <v>197</v>
      </c>
      <c r="C455" s="67" t="n">
        <v>2037</v>
      </c>
      <c r="D455" t="s">
        <v>186</v>
      </c>
      <c r="E455" s="68" t="n">
        <v>514650.595427497</v>
      </c>
      <c r="F455" s="69" t="n">
        <v>293710.672276887</v>
      </c>
      <c r="G455" s="70" t="n">
        <v>553258.517761357</v>
      </c>
      <c r="H455" s="71" t="n">
        <v>308666.043562302</v>
      </c>
      <c r="I455" s="72" t="str">
        <f>H455-F455</f>
      </c>
      <c r="J455" s="73" t="str">
        <f>G455-E455</f>
      </c>
    </row>
    <row r="456">
      <c r="A456" t="s">
        <v>195</v>
      </c>
      <c r="B456" t="s">
        <v>197</v>
      </c>
      <c r="C456" s="67" t="n">
        <v>2037</v>
      </c>
      <c r="D456" t="s">
        <v>366</v>
      </c>
      <c r="E456" s="68" t="n">
        <v>43902.303235357</v>
      </c>
      <c r="F456" s="69" t="n">
        <v>7486.13042471357</v>
      </c>
      <c r="G456" s="70" t="n">
        <v>43886.4966397613</v>
      </c>
      <c r="H456" s="71" t="n">
        <v>7485.63945861012</v>
      </c>
      <c r="I456" s="72" t="str">
        <f>H456-F456</f>
      </c>
      <c r="J456" s="73" t="str">
        <f>G456-E456</f>
      </c>
    </row>
    <row r="457">
      <c r="A457" t="s">
        <v>195</v>
      </c>
      <c r="B457" t="s">
        <v>197</v>
      </c>
      <c r="C457" s="67" t="n">
        <v>2038</v>
      </c>
      <c r="D457" t="s">
        <v>169</v>
      </c>
      <c r="E457" s="68" t="n">
        <v>18433.8445986996</v>
      </c>
      <c r="F457" s="69" t="n">
        <v>13163.0176964605</v>
      </c>
      <c r="G457" s="70" t="n">
        <v>18278.6195315823</v>
      </c>
      <c r="H457" s="71" t="n">
        <v>13108.2586821674</v>
      </c>
      <c r="I457" s="72" t="str">
        <f>H457-F457</f>
      </c>
      <c r="J457" s="73" t="str">
        <f>G457-E457</f>
      </c>
    </row>
    <row r="458">
      <c r="A458" t="s">
        <v>195</v>
      </c>
      <c r="B458" t="s">
        <v>197</v>
      </c>
      <c r="C458" s="67" t="n">
        <v>2038</v>
      </c>
      <c r="D458" t="s">
        <v>208</v>
      </c>
      <c r="E458" s="68" t="n">
        <v>1179524.2799976</v>
      </c>
      <c r="F458" s="69" t="n">
        <v>234486.10577241</v>
      </c>
      <c r="G458" s="70" t="n">
        <v>1176286.23006217</v>
      </c>
      <c r="H458" s="71" t="n">
        <v>234286.302403295</v>
      </c>
      <c r="I458" s="72" t="str">
        <f>H458-F458</f>
      </c>
      <c r="J458" s="73" t="str">
        <f>G458-E458</f>
      </c>
    </row>
    <row r="459">
      <c r="A459" t="s">
        <v>195</v>
      </c>
      <c r="B459" t="s">
        <v>197</v>
      </c>
      <c r="C459" s="67" t="n">
        <v>2038</v>
      </c>
      <c r="D459" t="s">
        <v>176</v>
      </c>
      <c r="E459" s="68" t="n">
        <v>123520.773869077</v>
      </c>
      <c r="F459" s="69" t="n">
        <v>83647.8098886474</v>
      </c>
      <c r="G459" s="70" t="n">
        <v>133004.77137127</v>
      </c>
      <c r="H459" s="71" t="n">
        <v>89762.9085046272</v>
      </c>
      <c r="I459" s="72" t="str">
        <f>H459-F459</f>
      </c>
      <c r="J459" s="73" t="str">
        <f>G459-E459</f>
      </c>
    </row>
    <row r="460">
      <c r="A460" t="s">
        <v>195</v>
      </c>
      <c r="B460" t="s">
        <v>197</v>
      </c>
      <c r="C460" s="67" t="n">
        <v>2038</v>
      </c>
      <c r="D460" t="s">
        <v>180</v>
      </c>
      <c r="E460" s="68" t="n">
        <v>404870.929651927</v>
      </c>
      <c r="F460" s="69" t="n">
        <v>376899.633638277</v>
      </c>
      <c r="G460" s="70" t="n">
        <v>436878.359538317</v>
      </c>
      <c r="H460" s="71" t="n">
        <v>405384.957772321</v>
      </c>
      <c r="I460" s="72" t="str">
        <f>H460-F460</f>
      </c>
      <c r="J460" s="73" t="str">
        <f>G460-E460</f>
      </c>
    </row>
    <row r="461">
      <c r="A461" t="s">
        <v>195</v>
      </c>
      <c r="B461" t="s">
        <v>197</v>
      </c>
      <c r="C461" s="67" t="n">
        <v>2038</v>
      </c>
      <c r="D461" t="s">
        <v>183</v>
      </c>
      <c r="E461" s="68" t="n">
        <v>700776.917044717</v>
      </c>
      <c r="F461" s="69" t="n">
        <v>442231.195936407</v>
      </c>
      <c r="G461" s="70" t="n">
        <v>753560.822146793</v>
      </c>
      <c r="H461" s="71" t="n">
        <v>465342.91786371</v>
      </c>
      <c r="I461" s="72" t="str">
        <f>H461-F461</f>
      </c>
      <c r="J461" s="73" t="str">
        <f>G461-E461</f>
      </c>
    </row>
    <row r="462">
      <c r="A462" t="s">
        <v>195</v>
      </c>
      <c r="B462" t="s">
        <v>197</v>
      </c>
      <c r="C462" s="67" t="n">
        <v>2038</v>
      </c>
      <c r="D462" t="s">
        <v>186</v>
      </c>
      <c r="E462" s="68" t="n">
        <v>526541.40276696</v>
      </c>
      <c r="F462" s="69" t="n">
        <v>302467.250915766</v>
      </c>
      <c r="G462" s="70" t="n">
        <v>565403.758799385</v>
      </c>
      <c r="H462" s="71" t="n">
        <v>318461.022248122</v>
      </c>
      <c r="I462" s="72" t="str">
        <f>H462-F462</f>
      </c>
      <c r="J462" s="73" t="str">
        <f>G462-E462</f>
      </c>
    </row>
    <row r="463">
      <c r="A463" t="s">
        <v>195</v>
      </c>
      <c r="B463" t="s">
        <v>197</v>
      </c>
      <c r="C463" s="67" t="n">
        <v>2038</v>
      </c>
      <c r="D463" t="s">
        <v>366</v>
      </c>
      <c r="E463" s="68" t="n">
        <v>43749.2614549144</v>
      </c>
      <c r="F463" s="69" t="n">
        <v>7518.39850259608</v>
      </c>
      <c r="G463" s="70" t="n">
        <v>43730.7448506382</v>
      </c>
      <c r="H463" s="71" t="n">
        <v>7517.77035327065</v>
      </c>
      <c r="I463" s="72" t="str">
        <f>H463-F463</f>
      </c>
      <c r="J463" s="73" t="str">
        <f>G463-E463</f>
      </c>
    </row>
    <row r="464">
      <c r="A464" t="s">
        <v>195</v>
      </c>
      <c r="B464" t="s">
        <v>197</v>
      </c>
      <c r="C464" s="67" t="n">
        <v>2039</v>
      </c>
      <c r="D464" t="s">
        <v>169</v>
      </c>
      <c r="E464" s="68" t="n">
        <v>18933.2610966607</v>
      </c>
      <c r="F464" s="69" t="n">
        <v>13471.8785695592</v>
      </c>
      <c r="G464" s="70" t="n">
        <v>18752.090499403</v>
      </c>
      <c r="H464" s="71" t="n">
        <v>13404.6696202756</v>
      </c>
      <c r="I464" s="72" t="str">
        <f>H464-F464</f>
      </c>
      <c r="J464" s="73" t="str">
        <f>G464-E464</f>
      </c>
    </row>
    <row r="465">
      <c r="A465" t="s">
        <v>195</v>
      </c>
      <c r="B465" t="s">
        <v>197</v>
      </c>
      <c r="C465" s="67" t="n">
        <v>2039</v>
      </c>
      <c r="D465" t="s">
        <v>208</v>
      </c>
      <c r="E465" s="68" t="n">
        <v>1188445.68439961</v>
      </c>
      <c r="F465" s="69" t="n">
        <v>242385.646036187</v>
      </c>
      <c r="G465" s="70" t="n">
        <v>1184738.39184491</v>
      </c>
      <c r="H465" s="71" t="n">
        <v>242132.191153164</v>
      </c>
      <c r="I465" s="72" t="str">
        <f>H465-F465</f>
      </c>
      <c r="J465" s="73" t="str">
        <f>G465-E465</f>
      </c>
    </row>
    <row r="466">
      <c r="A466" t="s">
        <v>195</v>
      </c>
      <c r="B466" t="s">
        <v>197</v>
      </c>
      <c r="C466" s="67" t="n">
        <v>2039</v>
      </c>
      <c r="D466" t="s">
        <v>176</v>
      </c>
      <c r="E466" s="68" t="n">
        <v>126303.331252174</v>
      </c>
      <c r="F466" s="69" t="n">
        <v>85395.6364331077</v>
      </c>
      <c r="G466" s="70" t="n">
        <v>135872.13136763</v>
      </c>
      <c r="H466" s="71" t="n">
        <v>91716.3663536023</v>
      </c>
      <c r="I466" s="72" t="str">
        <f>H466-F466</f>
      </c>
      <c r="J466" s="73" t="str">
        <f>G466-E466</f>
      </c>
    </row>
    <row r="467">
      <c r="A467" t="s">
        <v>195</v>
      </c>
      <c r="B467" t="s">
        <v>197</v>
      </c>
      <c r="C467" s="67" t="n">
        <v>2039</v>
      </c>
      <c r="D467" t="s">
        <v>180</v>
      </c>
      <c r="E467" s="68" t="n">
        <v>411661.198130987</v>
      </c>
      <c r="F467" s="69" t="n">
        <v>383144.755593156</v>
      </c>
      <c r="G467" s="70" t="n">
        <v>443905.980748337</v>
      </c>
      <c r="H467" s="71" t="n">
        <v>412120.21350488</v>
      </c>
      <c r="I467" s="72" t="str">
        <f>H467-F467</f>
      </c>
      <c r="J467" s="73" t="str">
        <f>G467-E467</f>
      </c>
    </row>
    <row r="468">
      <c r="A468" t="s">
        <v>195</v>
      </c>
      <c r="B468" t="s">
        <v>197</v>
      </c>
      <c r="C468" s="67" t="n">
        <v>2039</v>
      </c>
      <c r="D468" t="s">
        <v>183</v>
      </c>
      <c r="E468" s="68" t="n">
        <v>712555.430947521</v>
      </c>
      <c r="F468" s="69" t="n">
        <v>450636.965771648</v>
      </c>
      <c r="G468" s="70" t="n">
        <v>765528.467838857</v>
      </c>
      <c r="H468" s="71" t="n">
        <v>475269.787528918</v>
      </c>
      <c r="I468" s="72" t="str">
        <f>H468-F468</f>
      </c>
      <c r="J468" s="73" t="str">
        <f>G468-E468</f>
      </c>
    </row>
    <row r="469">
      <c r="A469" t="s">
        <v>195</v>
      </c>
      <c r="B469" t="s">
        <v>197</v>
      </c>
      <c r="C469" s="67" t="n">
        <v>2039</v>
      </c>
      <c r="D469" t="s">
        <v>186</v>
      </c>
      <c r="E469" s="68" t="n">
        <v>538328.707177141</v>
      </c>
      <c r="F469" s="69" t="n">
        <v>311288.117893057</v>
      </c>
      <c r="G469" s="70" t="n">
        <v>577414.514396235</v>
      </c>
      <c r="H469" s="71" t="n">
        <v>328246.401276368</v>
      </c>
      <c r="I469" s="72" t="str">
        <f>H469-F469</f>
      </c>
      <c r="J469" s="73" t="str">
        <f>G469-E469</f>
      </c>
    </row>
    <row r="470">
      <c r="A470" t="s">
        <v>195</v>
      </c>
      <c r="B470" t="s">
        <v>197</v>
      </c>
      <c r="C470" s="67" t="n">
        <v>2039</v>
      </c>
      <c r="D470" t="s">
        <v>366</v>
      </c>
      <c r="E470" s="68" t="n">
        <v>43610.1496107338</v>
      </c>
      <c r="F470" s="69" t="n">
        <v>7548.33958408806</v>
      </c>
      <c r="G470" s="70" t="n">
        <v>43588.845456637</v>
      </c>
      <c r="H470" s="71" t="n">
        <v>7547.5598608641</v>
      </c>
      <c r="I470" s="72" t="str">
        <f>H470-F470</f>
      </c>
      <c r="J470" s="73" t="str">
        <f>G470-E470</f>
      </c>
    </row>
    <row r="471">
      <c r="A471" t="s">
        <v>195</v>
      </c>
      <c r="B471" t="s">
        <v>197</v>
      </c>
      <c r="C471" s="67" t="n">
        <v>2040</v>
      </c>
      <c r="D471" t="s">
        <v>169</v>
      </c>
      <c r="E471" s="68" t="n">
        <v>19444.2783183892</v>
      </c>
      <c r="F471" s="69" t="n">
        <v>13779.6064572599</v>
      </c>
      <c r="G471" s="70" t="n">
        <v>19235.7365429273</v>
      </c>
      <c r="H471" s="71" t="n">
        <v>13698.9721681132</v>
      </c>
      <c r="I471" s="72" t="str">
        <f>H471-F471</f>
      </c>
      <c r="J471" s="73" t="str">
        <f>G471-E471</f>
      </c>
    </row>
    <row r="472">
      <c r="A472" t="s">
        <v>195</v>
      </c>
      <c r="B472" t="s">
        <v>197</v>
      </c>
      <c r="C472" s="67" t="n">
        <v>2040</v>
      </c>
      <c r="D472" t="s">
        <v>208</v>
      </c>
      <c r="E472" s="68" t="n">
        <v>1196815.7812176</v>
      </c>
      <c r="F472" s="69" t="n">
        <v>250207.946617372</v>
      </c>
      <c r="G472" s="70" t="n">
        <v>1192634.43006365</v>
      </c>
      <c r="H472" s="71" t="n">
        <v>249894.478827588</v>
      </c>
      <c r="I472" s="72" t="str">
        <f>H472-F472</f>
      </c>
      <c r="J472" s="73" t="str">
        <f>G472-E472</f>
      </c>
    </row>
    <row r="473">
      <c r="A473" t="s">
        <v>195</v>
      </c>
      <c r="B473" t="s">
        <v>197</v>
      </c>
      <c r="C473" s="67" t="n">
        <v>2040</v>
      </c>
      <c r="D473" t="s">
        <v>176</v>
      </c>
      <c r="E473" s="68" t="n">
        <v>129044.180027903</v>
      </c>
      <c r="F473" s="69" t="n">
        <v>87139.1396323627</v>
      </c>
      <c r="G473" s="70" t="n">
        <v>138689.796610277</v>
      </c>
      <c r="H473" s="71" t="n">
        <v>93636.8967600593</v>
      </c>
      <c r="I473" s="72" t="str">
        <f>H473-F473</f>
      </c>
      <c r="J473" s="73" t="str">
        <f>G473-E473</f>
      </c>
    </row>
    <row r="474">
      <c r="A474" t="s">
        <v>195</v>
      </c>
      <c r="B474" t="s">
        <v>197</v>
      </c>
      <c r="C474" s="67" t="n">
        <v>2040</v>
      </c>
      <c r="D474" t="s">
        <v>180</v>
      </c>
      <c r="E474" s="68" t="n">
        <v>418376.021923003</v>
      </c>
      <c r="F474" s="69" t="n">
        <v>389222.711971797</v>
      </c>
      <c r="G474" s="70" t="n">
        <v>450841.764596063</v>
      </c>
      <c r="H474" s="71" t="n">
        <v>418620.908948174</v>
      </c>
      <c r="I474" s="72" t="str">
        <f>H474-F474</f>
      </c>
      <c r="J474" s="73" t="str">
        <f>G474-E474</f>
      </c>
    </row>
    <row r="475">
      <c r="A475" t="s">
        <v>195</v>
      </c>
      <c r="B475" t="s">
        <v>197</v>
      </c>
      <c r="C475" s="67" t="n">
        <v>2040</v>
      </c>
      <c r="D475" t="s">
        <v>183</v>
      </c>
      <c r="E475" s="68" t="n">
        <v>723961.145420169</v>
      </c>
      <c r="F475" s="69" t="n">
        <v>458916.604016103</v>
      </c>
      <c r="G475" s="70" t="n">
        <v>777088.496702091</v>
      </c>
      <c r="H475" s="71" t="n">
        <v>484947.105425179</v>
      </c>
      <c r="I475" s="72" t="str">
        <f>H475-F475</f>
      </c>
      <c r="J475" s="73" t="str">
        <f>G475-E475</f>
      </c>
    </row>
    <row r="476">
      <c r="A476" t="s">
        <v>195</v>
      </c>
      <c r="B476" t="s">
        <v>197</v>
      </c>
      <c r="C476" s="67" t="n">
        <v>2040</v>
      </c>
      <c r="D476" t="s">
        <v>186</v>
      </c>
      <c r="E476" s="68" t="n">
        <v>550075.046969482</v>
      </c>
      <c r="F476" s="69" t="n">
        <v>320184.344174689</v>
      </c>
      <c r="G476" s="70" t="n">
        <v>589359.733832842</v>
      </c>
      <c r="H476" s="71" t="n">
        <v>338039.010430446</v>
      </c>
      <c r="I476" s="72" t="str">
        <f>H476-F476</f>
      </c>
      <c r="J476" s="73" t="str">
        <f>G476-E476</f>
      </c>
    </row>
    <row r="477">
      <c r="A477" t="s">
        <v>195</v>
      </c>
      <c r="B477" t="s">
        <v>197</v>
      </c>
      <c r="C477" s="67" t="n">
        <v>2040</v>
      </c>
      <c r="D477" t="s">
        <v>366</v>
      </c>
      <c r="E477" s="68" t="n">
        <v>43489.0194205098</v>
      </c>
      <c r="F477" s="69" t="n">
        <v>7574.67019117365</v>
      </c>
      <c r="G477" s="70" t="n">
        <v>43464.8596818836</v>
      </c>
      <c r="H477" s="71" t="n">
        <v>7573.72556082699</v>
      </c>
      <c r="I477" s="72" t="str">
        <f>H477-F477</f>
      </c>
      <c r="J477" s="73" t="str">
        <f>G477-E477</f>
      </c>
    </row>
    <row r="478">
      <c r="A478" t="s">
        <v>195</v>
      </c>
      <c r="B478" t="s">
        <v>197</v>
      </c>
      <c r="C478" s="67" t="n">
        <v>2041</v>
      </c>
      <c r="D478" t="s">
        <v>169</v>
      </c>
      <c r="E478" s="68" t="n">
        <v>19964.5824384959</v>
      </c>
      <c r="F478" s="69" t="n">
        <v>14086.6158821401</v>
      </c>
      <c r="G478" s="70" t="n">
        <v>19727.283486384</v>
      </c>
      <c r="H478" s="71" t="n">
        <v>13991.6066902828</v>
      </c>
      <c r="I478" s="72" t="str">
        <f>H478-F478</f>
      </c>
      <c r="J478" s="73" t="str">
        <f>G478-E478</f>
      </c>
    </row>
    <row r="479">
      <c r="A479" t="s">
        <v>195</v>
      </c>
      <c r="B479" t="s">
        <v>197</v>
      </c>
      <c r="C479" s="67" t="n">
        <v>2041</v>
      </c>
      <c r="D479" t="s">
        <v>208</v>
      </c>
      <c r="E479" s="68" t="n">
        <v>1204646.10488123</v>
      </c>
      <c r="F479" s="69" t="n">
        <v>257978.750691417</v>
      </c>
      <c r="G479" s="70" t="n">
        <v>1199988.17586749</v>
      </c>
      <c r="H479" s="71" t="n">
        <v>257599.044002988</v>
      </c>
      <c r="I479" s="72" t="str">
        <f>H479-F479</f>
      </c>
      <c r="J479" s="73" t="str">
        <f>G479-E479</f>
      </c>
    </row>
    <row r="480">
      <c r="A480" t="s">
        <v>195</v>
      </c>
      <c r="B480" t="s">
        <v>197</v>
      </c>
      <c r="C480" s="67" t="n">
        <v>2041</v>
      </c>
      <c r="D480" t="s">
        <v>176</v>
      </c>
      <c r="E480" s="68" t="n">
        <v>131759.558506313</v>
      </c>
      <c r="F480" s="69" t="n">
        <v>88875.6557247486</v>
      </c>
      <c r="G480" s="70" t="n">
        <v>141475.570851386</v>
      </c>
      <c r="H480" s="71" t="n">
        <v>95527.0063786807</v>
      </c>
      <c r="I480" s="72" t="str">
        <f>H480-F480</f>
      </c>
      <c r="J480" s="73" t="str">
        <f>G480-E480</f>
      </c>
    </row>
    <row r="481">
      <c r="A481" t="s">
        <v>195</v>
      </c>
      <c r="B481" t="s">
        <v>197</v>
      </c>
      <c r="C481" s="67" t="n">
        <v>2041</v>
      </c>
      <c r="D481" t="s">
        <v>180</v>
      </c>
      <c r="E481" s="68" t="n">
        <v>425026.106395648</v>
      </c>
      <c r="F481" s="69" t="n">
        <v>395232.350292727</v>
      </c>
      <c r="G481" s="70" t="n">
        <v>457698.128134802</v>
      </c>
      <c r="H481" s="71" t="n">
        <v>425005.77720965</v>
      </c>
      <c r="I481" s="72" t="str">
        <f>H481-F481</f>
      </c>
      <c r="J481" s="73" t="str">
        <f>G481-E481</f>
      </c>
    </row>
    <row r="482">
      <c r="A482" t="s">
        <v>195</v>
      </c>
      <c r="B482" t="s">
        <v>197</v>
      </c>
      <c r="C482" s="67" t="n">
        <v>2041</v>
      </c>
      <c r="D482" t="s">
        <v>183</v>
      </c>
      <c r="E482" s="68" t="n">
        <v>735042.672959704</v>
      </c>
      <c r="F482" s="69" t="n">
        <v>467079.527334825</v>
      </c>
      <c r="G482" s="70" t="n">
        <v>788293.242756689</v>
      </c>
      <c r="H482" s="71" t="n">
        <v>494390.873248259</v>
      </c>
      <c r="I482" s="72" t="str">
        <f>H482-F482</f>
      </c>
      <c r="J482" s="73" t="str">
        <f>G482-E482</f>
      </c>
    </row>
    <row r="483">
      <c r="A483" t="s">
        <v>195</v>
      </c>
      <c r="B483" t="s">
        <v>197</v>
      </c>
      <c r="C483" s="67" t="n">
        <v>2041</v>
      </c>
      <c r="D483" t="s">
        <v>186</v>
      </c>
      <c r="E483" s="68" t="n">
        <v>561700.371975343</v>
      </c>
      <c r="F483" s="69" t="n">
        <v>329232.161459674</v>
      </c>
      <c r="G483" s="70" t="n">
        <v>601155.340946961</v>
      </c>
      <c r="H483" s="71" t="n">
        <v>347924.766327078</v>
      </c>
      <c r="I483" s="72" t="str">
        <f>H483-F483</f>
      </c>
      <c r="J483" s="73" t="str">
        <f>G483-E483</f>
      </c>
    </row>
    <row r="484">
      <c r="A484" t="s">
        <v>195</v>
      </c>
      <c r="B484" t="s">
        <v>197</v>
      </c>
      <c r="C484" s="67" t="n">
        <v>2041</v>
      </c>
      <c r="D484" t="s">
        <v>366</v>
      </c>
      <c r="E484" s="68" t="n">
        <v>43388.0108044738</v>
      </c>
      <c r="F484" s="69" t="n">
        <v>7597.11790920307</v>
      </c>
      <c r="G484" s="70" t="n">
        <v>43360.9356755525</v>
      </c>
      <c r="H484" s="71" t="n">
        <v>7595.99533386821</v>
      </c>
      <c r="I484" s="72" t="str">
        <f>H484-F484</f>
      </c>
      <c r="J484" s="73" t="str">
        <f>G484-E484</f>
      </c>
    </row>
    <row r="485">
      <c r="A485" t="s">
        <v>195</v>
      </c>
      <c r="B485" t="s">
        <v>197</v>
      </c>
      <c r="C485" s="67" t="n">
        <v>2042</v>
      </c>
      <c r="D485" t="s">
        <v>169</v>
      </c>
      <c r="E485" s="68" t="n">
        <v>20489.6910575742</v>
      </c>
      <c r="F485" s="69" t="n">
        <v>14394.9624607248</v>
      </c>
      <c r="G485" s="70" t="n">
        <v>20222.2683991647</v>
      </c>
      <c r="H485" s="71" t="n">
        <v>14284.6169088399</v>
      </c>
      <c r="I485" s="72" t="str">
        <f>H485-F485</f>
      </c>
      <c r="J485" s="73" t="str">
        <f>G485-E485</f>
      </c>
    </row>
    <row r="486">
      <c r="A486" t="s">
        <v>195</v>
      </c>
      <c r="B486" t="s">
        <v>197</v>
      </c>
      <c r="C486" s="67" t="n">
        <v>2042</v>
      </c>
      <c r="D486" t="s">
        <v>208</v>
      </c>
      <c r="E486" s="68" t="n">
        <v>1211934.89818899</v>
      </c>
      <c r="F486" s="69" t="n">
        <v>265741.505518683</v>
      </c>
      <c r="G486" s="70" t="n">
        <v>1206799.58929471</v>
      </c>
      <c r="H486" s="71" t="n">
        <v>265289.409116733</v>
      </c>
      <c r="I486" s="72" t="str">
        <f>H486-F486</f>
      </c>
      <c r="J486" s="73" t="str">
        <f>G486-E486</f>
      </c>
    </row>
    <row r="487">
      <c r="A487" t="s">
        <v>195</v>
      </c>
      <c r="B487" t="s">
        <v>197</v>
      </c>
      <c r="C487" s="67" t="n">
        <v>2042</v>
      </c>
      <c r="D487" t="s">
        <v>176</v>
      </c>
      <c r="E487" s="68" t="n">
        <v>134467.002242604</v>
      </c>
      <c r="F487" s="69" t="n">
        <v>90619.644243649</v>
      </c>
      <c r="G487" s="70" t="n">
        <v>144248.066926011</v>
      </c>
      <c r="H487" s="71" t="n">
        <v>97406.1569770963</v>
      </c>
      <c r="I487" s="72" t="str">
        <f>H487-F487</f>
      </c>
      <c r="J487" s="73" t="str">
        <f>G487-E487</f>
      </c>
    </row>
    <row r="488">
      <c r="A488" t="s">
        <v>195</v>
      </c>
      <c r="B488" t="s">
        <v>197</v>
      </c>
      <c r="C488" s="67" t="n">
        <v>2042</v>
      </c>
      <c r="D488" t="s">
        <v>180</v>
      </c>
      <c r="E488" s="68" t="n">
        <v>431622.148248617</v>
      </c>
      <c r="F488" s="69" t="n">
        <v>401280.378971907</v>
      </c>
      <c r="G488" s="70" t="n">
        <v>464487.038990191</v>
      </c>
      <c r="H488" s="71" t="n">
        <v>431397.042999706</v>
      </c>
      <c r="I488" s="72" t="str">
        <f>H488-F488</f>
      </c>
      <c r="J488" s="73" t="str">
        <f>G488-E488</f>
      </c>
    </row>
    <row r="489">
      <c r="A489" t="s">
        <v>195</v>
      </c>
      <c r="B489" t="s">
        <v>197</v>
      </c>
      <c r="C489" s="67" t="n">
        <v>2042</v>
      </c>
      <c r="D489" t="s">
        <v>183</v>
      </c>
      <c r="E489" s="68" t="n">
        <v>745880.800956801</v>
      </c>
      <c r="F489" s="69" t="n">
        <v>475120.438653661</v>
      </c>
      <c r="G489" s="70" t="n">
        <v>799225.499121645</v>
      </c>
      <c r="H489" s="71" t="n">
        <v>503603.803809569</v>
      </c>
      <c r="I489" s="72" t="str">
        <f>H489-F489</f>
      </c>
      <c r="J489" s="73" t="str">
        <f>G489-E489</f>
      </c>
    </row>
    <row r="490">
      <c r="A490" t="s">
        <v>195</v>
      </c>
      <c r="B490" t="s">
        <v>197</v>
      </c>
      <c r="C490" s="67" t="n">
        <v>2042</v>
      </c>
      <c r="D490" t="s">
        <v>186</v>
      </c>
      <c r="E490" s="68" t="n">
        <v>573074.913695806</v>
      </c>
      <c r="F490" s="69" t="n">
        <v>338451.871054394</v>
      </c>
      <c r="G490" s="70" t="n">
        <v>612664.177038008</v>
      </c>
      <c r="H490" s="71" t="n">
        <v>357930.939504437</v>
      </c>
      <c r="I490" s="72" t="str">
        <f>H490-F490</f>
      </c>
      <c r="J490" s="73" t="str">
        <f>G490-E490</f>
      </c>
    </row>
    <row r="491">
      <c r="A491" t="s">
        <v>195</v>
      </c>
      <c r="B491" t="s">
        <v>197</v>
      </c>
      <c r="C491" s="67" t="n">
        <v>2042</v>
      </c>
      <c r="D491" t="s">
        <v>366</v>
      </c>
      <c r="E491" s="68" t="n">
        <v>43308.7724258291</v>
      </c>
      <c r="F491" s="69" t="n">
        <v>7617.90643387006</v>
      </c>
      <c r="G491" s="70" t="n">
        <v>43278.7284816073</v>
      </c>
      <c r="H491" s="71" t="n">
        <v>7616.59280355029</v>
      </c>
      <c r="I491" s="72" t="str">
        <f>H491-F491</f>
      </c>
      <c r="J491" s="73" t="str">
        <f>G491-E491</f>
      </c>
    </row>
    <row r="492">
      <c r="A492" t="s">
        <v>195</v>
      </c>
      <c r="B492" t="s">
        <v>197</v>
      </c>
      <c r="C492" s="67" t="n">
        <v>2043</v>
      </c>
      <c r="D492" t="s">
        <v>169</v>
      </c>
      <c r="E492" s="68" t="n">
        <v>21019.5294590391</v>
      </c>
      <c r="F492" s="69" t="n">
        <v>14699.5033363844</v>
      </c>
      <c r="G492" s="70" t="n">
        <v>20720.5482054553</v>
      </c>
      <c r="H492" s="71" t="n">
        <v>14572.8831532714</v>
      </c>
      <c r="I492" s="72" t="str">
        <f>H492-F492</f>
      </c>
      <c r="J492" s="73" t="str">
        <f>G492-E492</f>
      </c>
    </row>
    <row r="493">
      <c r="A493" t="s">
        <v>195</v>
      </c>
      <c r="B493" t="s">
        <v>197</v>
      </c>
      <c r="C493" s="67" t="n">
        <v>2043</v>
      </c>
      <c r="D493" t="s">
        <v>208</v>
      </c>
      <c r="E493" s="68" t="n">
        <v>1218661.63726797</v>
      </c>
      <c r="F493" s="69" t="n">
        <v>273480.911959131</v>
      </c>
      <c r="G493" s="70" t="n">
        <v>1213049.26096591</v>
      </c>
      <c r="H493" s="71" t="n">
        <v>272950.435419178</v>
      </c>
      <c r="I493" s="72" t="str">
        <f>H493-F493</f>
      </c>
      <c r="J493" s="73" t="str">
        <f>G493-E493</f>
      </c>
    </row>
    <row r="494">
      <c r="A494" t="s">
        <v>195</v>
      </c>
      <c r="B494" t="s">
        <v>197</v>
      </c>
      <c r="C494" s="67" t="n">
        <v>2043</v>
      </c>
      <c r="D494" t="s">
        <v>176</v>
      </c>
      <c r="E494" s="68" t="n">
        <v>137154.124996866</v>
      </c>
      <c r="F494" s="69" t="n">
        <v>92365.6625661657</v>
      </c>
      <c r="G494" s="70" t="n">
        <v>146993.814208207</v>
      </c>
      <c r="H494" s="71" t="n">
        <v>99271.3911680729</v>
      </c>
      <c r="I494" s="72" t="str">
        <f>H494-F494</f>
      </c>
      <c r="J494" s="73" t="str">
        <f>G494-E494</f>
      </c>
    </row>
    <row r="495">
      <c r="A495" t="s">
        <v>195</v>
      </c>
      <c r="B495" t="s">
        <v>197</v>
      </c>
      <c r="C495" s="67" t="n">
        <v>2043</v>
      </c>
      <c r="D495" t="s">
        <v>180</v>
      </c>
      <c r="E495" s="68" t="n">
        <v>438114.000893335</v>
      </c>
      <c r="F495" s="69" t="n">
        <v>407255.040316395</v>
      </c>
      <c r="G495" s="70" t="n">
        <v>471154.839580669</v>
      </c>
      <c r="H495" s="71" t="n">
        <v>437679.988471842</v>
      </c>
      <c r="I495" s="72" t="str">
        <f>H495-F495</f>
      </c>
      <c r="J495" s="73" t="str">
        <f>G495-E495</f>
      </c>
    </row>
    <row r="496">
      <c r="A496" t="s">
        <v>195</v>
      </c>
      <c r="B496" t="s">
        <v>197</v>
      </c>
      <c r="C496" s="67" t="n">
        <v>2043</v>
      </c>
      <c r="D496" t="s">
        <v>183</v>
      </c>
      <c r="E496" s="68" t="n">
        <v>756597.116594285</v>
      </c>
      <c r="F496" s="69" t="n">
        <v>483055.153102774</v>
      </c>
      <c r="G496" s="70" t="n">
        <v>810014.772834319</v>
      </c>
      <c r="H496" s="71" t="n">
        <v>512610.449179313</v>
      </c>
      <c r="I496" s="72" t="str">
        <f>H496-F496</f>
      </c>
      <c r="J496" s="73" t="str">
        <f>G496-E496</f>
      </c>
    </row>
    <row r="497">
      <c r="A497" t="s">
        <v>195</v>
      </c>
      <c r="B497" t="s">
        <v>197</v>
      </c>
      <c r="C497" s="67" t="n">
        <v>2043</v>
      </c>
      <c r="D497" t="s">
        <v>186</v>
      </c>
      <c r="E497" s="68" t="n">
        <v>584259.501572395</v>
      </c>
      <c r="F497" s="69" t="n">
        <v>347746.992159857</v>
      </c>
      <c r="G497" s="70" t="n">
        <v>623953.356494139</v>
      </c>
      <c r="H497" s="71" t="n">
        <v>367959.059248153</v>
      </c>
      <c r="I497" s="72" t="str">
        <f>H497-F497</f>
      </c>
      <c r="J497" s="73" t="str">
        <f>G497-E497</f>
      </c>
    </row>
    <row r="498">
      <c r="A498" t="s">
        <v>195</v>
      </c>
      <c r="B498" t="s">
        <v>197</v>
      </c>
      <c r="C498" s="67" t="n">
        <v>2043</v>
      </c>
      <c r="D498" t="s">
        <v>366</v>
      </c>
      <c r="E498" s="68" t="n">
        <v>43265.2018351101</v>
      </c>
      <c r="F498" s="69" t="n">
        <v>7636.15591264847</v>
      </c>
      <c r="G498" s="70" t="n">
        <v>43232.1385441846</v>
      </c>
      <c r="H498" s="71" t="n">
        <v>7634.63809790975</v>
      </c>
      <c r="I498" s="72" t="str">
        <f>H498-F498</f>
      </c>
      <c r="J498" s="73" t="str">
        <f>G498-E498</f>
      </c>
    </row>
    <row r="499">
      <c r="A499" t="s">
        <v>195</v>
      </c>
      <c r="B499" t="s">
        <v>197</v>
      </c>
      <c r="C499" s="67" t="n">
        <v>2044</v>
      </c>
      <c r="D499" t="s">
        <v>169</v>
      </c>
      <c r="E499" s="68" t="n">
        <v>21552.2570508368</v>
      </c>
      <c r="F499" s="69" t="n">
        <v>15005.2241511288</v>
      </c>
      <c r="G499" s="70" t="n">
        <v>21220.2473713984</v>
      </c>
      <c r="H499" s="71" t="n">
        <v>14861.4315691186</v>
      </c>
      <c r="I499" s="72" t="str">
        <f>H499-F499</f>
      </c>
      <c r="J499" s="73" t="str">
        <f>G499-E499</f>
      </c>
    </row>
    <row r="500">
      <c r="A500" t="s">
        <v>195</v>
      </c>
      <c r="B500" t="s">
        <v>197</v>
      </c>
      <c r="C500" s="67" t="n">
        <v>2044</v>
      </c>
      <c r="D500" t="s">
        <v>208</v>
      </c>
      <c r="E500" s="68" t="n">
        <v>1225076.69970703</v>
      </c>
      <c r="F500" s="69" t="n">
        <v>281121.079236551</v>
      </c>
      <c r="G500" s="70" t="n">
        <v>1218988.4670045</v>
      </c>
      <c r="H500" s="71" t="n">
        <v>280506.441535508</v>
      </c>
      <c r="I500" s="72" t="str">
        <f>H500-F500</f>
      </c>
      <c r="J500" s="73" t="str">
        <f>G500-E500</f>
      </c>
    </row>
    <row r="501">
      <c r="A501" t="s">
        <v>195</v>
      </c>
      <c r="B501" t="s">
        <v>197</v>
      </c>
      <c r="C501" s="67" t="n">
        <v>2044</v>
      </c>
      <c r="D501" t="s">
        <v>176</v>
      </c>
      <c r="E501" s="68" t="n">
        <v>139805.578888527</v>
      </c>
      <c r="F501" s="69" t="n">
        <v>94101.757106818</v>
      </c>
      <c r="G501" s="70" t="n">
        <v>149696.213967301</v>
      </c>
      <c r="H501" s="71" t="n">
        <v>101112.290089553</v>
      </c>
      <c r="I501" s="72" t="str">
        <f>H501-F501</f>
      </c>
      <c r="J501" s="73" t="str">
        <f>G501-E501</f>
      </c>
    </row>
    <row r="502">
      <c r="A502" t="s">
        <v>195</v>
      </c>
      <c r="B502" t="s">
        <v>197</v>
      </c>
      <c r="C502" s="67" t="n">
        <v>2044</v>
      </c>
      <c r="D502" t="s">
        <v>180</v>
      </c>
      <c r="E502" s="68" t="n">
        <v>444389.279806104</v>
      </c>
      <c r="F502" s="69" t="n">
        <v>413102.151793463</v>
      </c>
      <c r="G502" s="70" t="n">
        <v>477581.314836645</v>
      </c>
      <c r="H502" s="71" t="n">
        <v>443800.637197395</v>
      </c>
      <c r="I502" s="72" t="str">
        <f>H502-F502</f>
      </c>
      <c r="J502" s="73" t="str">
        <f>G502-E502</f>
      </c>
    </row>
    <row r="503">
      <c r="A503" t="s">
        <v>195</v>
      </c>
      <c r="B503" t="s">
        <v>197</v>
      </c>
      <c r="C503" s="67" t="n">
        <v>2044</v>
      </c>
      <c r="D503" t="s">
        <v>183</v>
      </c>
      <c r="E503" s="68" t="n">
        <v>767268.409663689</v>
      </c>
      <c r="F503" s="69" t="n">
        <v>490883.633344066</v>
      </c>
      <c r="G503" s="70" t="n">
        <v>820742.370121934</v>
      </c>
      <c r="H503" s="71" t="n">
        <v>521420.170330997</v>
      </c>
      <c r="I503" s="72" t="str">
        <f>H503-F503</f>
      </c>
      <c r="J503" s="73" t="str">
        <f>G503-E503</f>
      </c>
    </row>
    <row r="504">
      <c r="A504" t="s">
        <v>195</v>
      </c>
      <c r="B504" t="s">
        <v>197</v>
      </c>
      <c r="C504" s="67" t="n">
        <v>2044</v>
      </c>
      <c r="D504" t="s">
        <v>186</v>
      </c>
      <c r="E504" s="68" t="n">
        <v>595253.675294257</v>
      </c>
      <c r="F504" s="69" t="n">
        <v>357027.835582048</v>
      </c>
      <c r="G504" s="70" t="n">
        <v>635024.546467649</v>
      </c>
      <c r="H504" s="71" t="n">
        <v>377918.589898958</v>
      </c>
      <c r="I504" s="72" t="str">
        <f>H504-F504</f>
      </c>
      <c r="J504" s="73" t="str">
        <f>G504-E504</f>
      </c>
    </row>
    <row r="505">
      <c r="A505" t="s">
        <v>195</v>
      </c>
      <c r="B505" t="s">
        <v>197</v>
      </c>
      <c r="C505" s="67" t="n">
        <v>2044</v>
      </c>
      <c r="D505" t="s">
        <v>366</v>
      </c>
      <c r="E505" s="68" t="n">
        <v>43238.7558925004</v>
      </c>
      <c r="F505" s="69" t="n">
        <v>7654.45699314438</v>
      </c>
      <c r="G505" s="70" t="n">
        <v>43202.6300388595</v>
      </c>
      <c r="H505" s="71" t="n">
        <v>7652.72182573668</v>
      </c>
      <c r="I505" s="72" t="str">
        <f>H505-F505</f>
      </c>
      <c r="J505" s="73" t="str">
        <f>G505-E505</f>
      </c>
    </row>
    <row r="506">
      <c r="A506" t="s">
        <v>195</v>
      </c>
      <c r="B506" t="s">
        <v>197</v>
      </c>
      <c r="C506" s="67" t="n">
        <v>2045</v>
      </c>
      <c r="D506" t="s">
        <v>169</v>
      </c>
      <c r="E506" s="68" t="n">
        <v>22084.0496527713</v>
      </c>
      <c r="F506" s="69" t="n">
        <v>15310.1191263691</v>
      </c>
      <c r="G506" s="70" t="n">
        <v>21717.6165215297</v>
      </c>
      <c r="H506" s="71" t="n">
        <v>15148.2979562423</v>
      </c>
      <c r="I506" s="72" t="str">
        <f>H506-F506</f>
      </c>
      <c r="J506" s="73" t="str">
        <f>G506-E506</f>
      </c>
    </row>
    <row r="507">
      <c r="A507" t="s">
        <v>195</v>
      </c>
      <c r="B507" t="s">
        <v>197</v>
      </c>
      <c r="C507" s="67" t="n">
        <v>2045</v>
      </c>
      <c r="D507" t="s">
        <v>208</v>
      </c>
      <c r="E507" s="68" t="n">
        <v>1231230.08781602</v>
      </c>
      <c r="F507" s="69" t="n">
        <v>288629.414748705</v>
      </c>
      <c r="G507" s="70" t="n">
        <v>1224668.96644768</v>
      </c>
      <c r="H507" s="71" t="n">
        <v>287925.043222784</v>
      </c>
      <c r="I507" s="72" t="str">
        <f>H507-F507</f>
      </c>
      <c r="J507" s="73" t="str">
        <f>G507-E507</f>
      </c>
    </row>
    <row r="508">
      <c r="A508" t="s">
        <v>195</v>
      </c>
      <c r="B508" t="s">
        <v>197</v>
      </c>
      <c r="C508" s="67" t="n">
        <v>2045</v>
      </c>
      <c r="D508" t="s">
        <v>176</v>
      </c>
      <c r="E508" s="68" t="n">
        <v>142405.198639618</v>
      </c>
      <c r="F508" s="69" t="n">
        <v>95832.1054346754</v>
      </c>
      <c r="G508" s="70" t="n">
        <v>152338.052815886</v>
      </c>
      <c r="H508" s="71" t="n">
        <v>102935.314985138</v>
      </c>
      <c r="I508" s="72" t="str">
        <f>H508-F508</f>
      </c>
      <c r="J508" s="73" t="str">
        <f>G508-E508</f>
      </c>
    </row>
    <row r="509">
      <c r="A509" t="s">
        <v>195</v>
      </c>
      <c r="B509" t="s">
        <v>197</v>
      </c>
      <c r="C509" s="67" t="n">
        <v>2045</v>
      </c>
      <c r="D509" t="s">
        <v>180</v>
      </c>
      <c r="E509" s="68" t="n">
        <v>450406.731496478</v>
      </c>
      <c r="F509" s="69" t="n">
        <v>418780.086315726</v>
      </c>
      <c r="G509" s="70" t="n">
        <v>483723.516122198</v>
      </c>
      <c r="H509" s="71" t="n">
        <v>449717.558047709</v>
      </c>
      <c r="I509" s="72" t="str">
        <f>H509-F509</f>
      </c>
      <c r="J509" s="73" t="str">
        <f>G509-E509</f>
      </c>
    </row>
    <row r="510">
      <c r="A510" t="s">
        <v>195</v>
      </c>
      <c r="B510" t="s">
        <v>197</v>
      </c>
      <c r="C510" s="67" t="n">
        <v>2045</v>
      </c>
      <c r="D510" t="s">
        <v>183</v>
      </c>
      <c r="E510" s="68" t="n">
        <v>777954.244250146</v>
      </c>
      <c r="F510" s="69" t="n">
        <v>498563.844274592</v>
      </c>
      <c r="G510" s="70" t="n">
        <v>831470.210098177</v>
      </c>
      <c r="H510" s="71" t="n">
        <v>529994.226959208</v>
      </c>
      <c r="I510" s="72" t="str">
        <f>H510-F510</f>
      </c>
      <c r="J510" s="73" t="str">
        <f>G510-E510</f>
      </c>
    </row>
    <row r="511">
      <c r="A511" t="s">
        <v>195</v>
      </c>
      <c r="B511" t="s">
        <v>197</v>
      </c>
      <c r="C511" s="67" t="n">
        <v>2045</v>
      </c>
      <c r="D511" t="s">
        <v>186</v>
      </c>
      <c r="E511" s="68" t="n">
        <v>605917.695485146</v>
      </c>
      <c r="F511" s="69" t="n">
        <v>366235.819246952</v>
      </c>
      <c r="G511" s="70" t="n">
        <v>645730.44769896</v>
      </c>
      <c r="H511" s="71" t="n">
        <v>387750.678781898</v>
      </c>
      <c r="I511" s="72" t="str">
        <f>H511-F511</f>
      </c>
      <c r="J511" s="73" t="str">
        <f>G511-E511</f>
      </c>
    </row>
    <row r="512">
      <c r="A512" t="s">
        <v>195</v>
      </c>
      <c r="B512" t="s">
        <v>197</v>
      </c>
      <c r="C512" s="67" t="n">
        <v>2045</v>
      </c>
      <c r="D512" t="s">
        <v>366</v>
      </c>
      <c r="E512" s="68" t="n">
        <v>43229.8286276161</v>
      </c>
      <c r="F512" s="69" t="n">
        <v>7674.0337895098</v>
      </c>
      <c r="G512" s="70" t="n">
        <v>43190.6037513161</v>
      </c>
      <c r="H512" s="71" t="n">
        <v>7672.06822678464</v>
      </c>
      <c r="I512" s="72" t="str">
        <f>H512-F512</f>
      </c>
      <c r="J512" s="73" t="str">
        <f>G512-E512</f>
      </c>
    </row>
    <row r="513">
      <c r="A513" t="s">
        <v>195</v>
      </c>
      <c r="B513" t="s">
        <v>197</v>
      </c>
      <c r="C513" s="67" t="n">
        <v>2046</v>
      </c>
      <c r="D513" t="s">
        <v>169</v>
      </c>
      <c r="E513" s="68" t="n">
        <v>22613.1698177585</v>
      </c>
      <c r="F513" s="69" t="n">
        <v>15617.6779075559</v>
      </c>
      <c r="G513" s="70" t="n">
        <v>22210.9745219107</v>
      </c>
      <c r="H513" s="71" t="n">
        <v>15436.8918612077</v>
      </c>
      <c r="I513" s="72" t="str">
        <f>H513-F513</f>
      </c>
      <c r="J513" s="73" t="str">
        <f>G513-E513</f>
      </c>
    </row>
    <row r="514">
      <c r="A514" t="s">
        <v>195</v>
      </c>
      <c r="B514" t="s">
        <v>197</v>
      </c>
      <c r="C514" s="67" t="n">
        <v>2046</v>
      </c>
      <c r="D514" t="s">
        <v>208</v>
      </c>
      <c r="E514" s="68" t="n">
        <v>1237154.48255562</v>
      </c>
      <c r="F514" s="69" t="n">
        <v>295965.43767968</v>
      </c>
      <c r="G514" s="70" t="n">
        <v>1230125.0687767</v>
      </c>
      <c r="H514" s="71" t="n">
        <v>295165.877208802</v>
      </c>
      <c r="I514" s="72" t="str">
        <f>H514-F514</f>
      </c>
      <c r="J514" s="73" t="str">
        <f>G514-E514</f>
      </c>
    </row>
    <row r="515">
      <c r="A515" t="s">
        <v>195</v>
      </c>
      <c r="B515" t="s">
        <v>197</v>
      </c>
      <c r="C515" s="67" t="n">
        <v>2046</v>
      </c>
      <c r="D515" t="s">
        <v>176</v>
      </c>
      <c r="E515" s="68" t="n">
        <v>144952.79921612</v>
      </c>
      <c r="F515" s="69" t="n">
        <v>97546.6672858758</v>
      </c>
      <c r="G515" s="70" t="n">
        <v>154919.185199882</v>
      </c>
      <c r="H515" s="71" t="n">
        <v>104731.133984312</v>
      </c>
      <c r="I515" s="72" t="str">
        <f>H515-F515</f>
      </c>
      <c r="J515" s="73" t="str">
        <f>G515-E515</f>
      </c>
    </row>
    <row r="516">
      <c r="A516" t="s">
        <v>195</v>
      </c>
      <c r="B516" t="s">
        <v>197</v>
      </c>
      <c r="C516" s="67" t="n">
        <v>2046</v>
      </c>
      <c r="D516" t="s">
        <v>180</v>
      </c>
      <c r="E516" s="68" t="n">
        <v>456145.298801767</v>
      </c>
      <c r="F516" s="69" t="n">
        <v>424173.509870351</v>
      </c>
      <c r="G516" s="70" t="n">
        <v>489559.569488497</v>
      </c>
      <c r="H516" s="71" t="n">
        <v>455310.080020589</v>
      </c>
      <c r="I516" s="72" t="str">
        <f>H516-F516</f>
      </c>
      <c r="J516" s="73" t="str">
        <f>G516-E516</f>
      </c>
    </row>
    <row r="517">
      <c r="A517" t="s">
        <v>195</v>
      </c>
      <c r="B517" t="s">
        <v>197</v>
      </c>
      <c r="C517" s="67" t="n">
        <v>2046</v>
      </c>
      <c r="D517" t="s">
        <v>183</v>
      </c>
      <c r="E517" s="68" t="n">
        <v>788489.416312918</v>
      </c>
      <c r="F517" s="69" t="n">
        <v>506194.764824832</v>
      </c>
      <c r="G517" s="70" t="n">
        <v>842022.211146035</v>
      </c>
      <c r="H517" s="71" t="n">
        <v>538440.168228285</v>
      </c>
      <c r="I517" s="72" t="str">
        <f>H517-F517</f>
      </c>
      <c r="J517" s="73" t="str">
        <f>G517-E517</f>
      </c>
    </row>
    <row r="518">
      <c r="A518" t="s">
        <v>195</v>
      </c>
      <c r="B518" t="s">
        <v>197</v>
      </c>
      <c r="C518" s="67" t="n">
        <v>2046</v>
      </c>
      <c r="D518" t="s">
        <v>186</v>
      </c>
      <c r="E518" s="68" t="n">
        <v>616206.540381346</v>
      </c>
      <c r="F518" s="69" t="n">
        <v>375346.318633062</v>
      </c>
      <c r="G518" s="70" t="n">
        <v>656023.203848247</v>
      </c>
      <c r="H518" s="71" t="n">
        <v>397431.950602612</v>
      </c>
      <c r="I518" s="72" t="str">
        <f>H518-F518</f>
      </c>
      <c r="J518" s="73" t="str">
        <f>G518-E518</f>
      </c>
    </row>
    <row r="519">
      <c r="A519" t="s">
        <v>195</v>
      </c>
      <c r="B519" t="s">
        <v>197</v>
      </c>
      <c r="C519" s="67" t="n">
        <v>2046</v>
      </c>
      <c r="D519" t="s">
        <v>366</v>
      </c>
      <c r="E519" s="68" t="n">
        <v>43238.6727318503</v>
      </c>
      <c r="F519" s="69" t="n">
        <v>7695.7653556023</v>
      </c>
      <c r="G519" s="70" t="n">
        <v>43196.3103231123</v>
      </c>
      <c r="H519" s="71" t="n">
        <v>7693.55704865625</v>
      </c>
      <c r="I519" s="72" t="str">
        <f>H519-F519</f>
      </c>
      <c r="J519" s="73" t="str">
        <f>G519-E519</f>
      </c>
    </row>
    <row r="520">
      <c r="A520" t="s">
        <v>195</v>
      </c>
      <c r="B520" t="s">
        <v>197</v>
      </c>
      <c r="C520" s="67" t="n">
        <v>2047</v>
      </c>
      <c r="D520" t="s">
        <v>169</v>
      </c>
      <c r="E520" s="68" t="n">
        <v>23138.9067427533</v>
      </c>
      <c r="F520" s="69" t="n">
        <v>15929.2396889457</v>
      </c>
      <c r="G520" s="70" t="n">
        <v>22699.6629629007</v>
      </c>
      <c r="H520" s="71" t="n">
        <v>15728.4854947303</v>
      </c>
      <c r="I520" s="72" t="str">
        <f>H520-F520</f>
      </c>
      <c r="J520" s="73" t="str">
        <f>G520-E520</f>
      </c>
    </row>
    <row r="521">
      <c r="A521" t="s">
        <v>195</v>
      </c>
      <c r="B521" t="s">
        <v>197</v>
      </c>
      <c r="C521" s="67" t="n">
        <v>2047</v>
      </c>
      <c r="D521" t="s">
        <v>208</v>
      </c>
      <c r="E521" s="68" t="n">
        <v>1242766.1512686</v>
      </c>
      <c r="F521" s="69" t="n">
        <v>303080.707259924</v>
      </c>
      <c r="G521" s="70" t="n">
        <v>1235274.66521773</v>
      </c>
      <c r="H521" s="71" t="n">
        <v>302180.550312501</v>
      </c>
      <c r="I521" s="72" t="str">
        <f>H521-F521</f>
      </c>
      <c r="J521" s="73" t="str">
        <f>G521-E521</f>
      </c>
    </row>
    <row r="522">
      <c r="A522" t="s">
        <v>195</v>
      </c>
      <c r="B522" t="s">
        <v>197</v>
      </c>
      <c r="C522" s="67" t="n">
        <v>2047</v>
      </c>
      <c r="D522" t="s">
        <v>176</v>
      </c>
      <c r="E522" s="68" t="n">
        <v>147444.890098948</v>
      </c>
      <c r="F522" s="69" t="n">
        <v>99232.9021223047</v>
      </c>
      <c r="G522" s="70" t="n">
        <v>157435.937342911</v>
      </c>
      <c r="H522" s="71" t="n">
        <v>106487.677760342</v>
      </c>
      <c r="I522" s="72" t="str">
        <f>H522-F522</f>
      </c>
      <c r="J522" s="73" t="str">
        <f>G522-E522</f>
      </c>
    </row>
    <row r="523">
      <c r="A523" t="s">
        <v>195</v>
      </c>
      <c r="B523" t="s">
        <v>197</v>
      </c>
      <c r="C523" s="67" t="n">
        <v>2047</v>
      </c>
      <c r="D523" t="s">
        <v>180</v>
      </c>
      <c r="E523" s="68" t="n">
        <v>461565.315974914</v>
      </c>
      <c r="F523" s="69" t="n">
        <v>429243.527534754</v>
      </c>
      <c r="G523" s="70" t="n">
        <v>495047.331680699</v>
      </c>
      <c r="H523" s="71" t="n">
        <v>460539.427749469</v>
      </c>
      <c r="I523" s="72" t="str">
        <f>H523-F523</f>
      </c>
      <c r="J523" s="73" t="str">
        <f>G523-E523</f>
      </c>
    </row>
    <row r="524">
      <c r="A524" t="s">
        <v>195</v>
      </c>
      <c r="B524" t="s">
        <v>197</v>
      </c>
      <c r="C524" s="67" t="n">
        <v>2047</v>
      </c>
      <c r="D524" t="s">
        <v>183</v>
      </c>
      <c r="E524" s="68" t="n">
        <v>798830.715482187</v>
      </c>
      <c r="F524" s="69" t="n">
        <v>513900.891983741</v>
      </c>
      <c r="G524" s="70" t="n">
        <v>852357.036896631</v>
      </c>
      <c r="H524" s="71" t="n">
        <v>546892.884748123</v>
      </c>
      <c r="I524" s="72" t="str">
        <f>H524-F524</f>
      </c>
      <c r="J524" s="73" t="str">
        <f>G524-E524</f>
      </c>
    </row>
    <row r="525">
      <c r="A525" t="s">
        <v>195</v>
      </c>
      <c r="B525" t="s">
        <v>197</v>
      </c>
      <c r="C525" s="67" t="n">
        <v>2047</v>
      </c>
      <c r="D525" t="s">
        <v>186</v>
      </c>
      <c r="E525" s="68" t="n">
        <v>626174.367883528</v>
      </c>
      <c r="F525" s="69" t="n">
        <v>384336.518152167</v>
      </c>
      <c r="G525" s="70" t="n">
        <v>665960.530537607</v>
      </c>
      <c r="H525" s="71" t="n">
        <v>406938.309858621</v>
      </c>
      <c r="I525" s="72" t="str">
        <f>H525-F525</f>
      </c>
      <c r="J525" s="73" t="str">
        <f>G525-E525</f>
      </c>
    </row>
    <row r="526">
      <c r="A526" t="s">
        <v>195</v>
      </c>
      <c r="B526" t="s">
        <v>197</v>
      </c>
      <c r="C526" s="67" t="n">
        <v>2047</v>
      </c>
      <c r="D526" t="s">
        <v>366</v>
      </c>
      <c r="E526" s="68" t="n">
        <v>43263.1763231578</v>
      </c>
      <c r="F526" s="69" t="n">
        <v>7718.7274079597</v>
      </c>
      <c r="G526" s="70" t="n">
        <v>43217.6341923504</v>
      </c>
      <c r="H526" s="71" t="n">
        <v>7716.26452507886</v>
      </c>
      <c r="I526" s="72" t="str">
        <f>H526-F526</f>
      </c>
      <c r="J526" s="73" t="str">
        <f>G526-E526</f>
      </c>
    </row>
    <row r="527">
      <c r="A527" t="s">
        <v>195</v>
      </c>
      <c r="B527" t="s">
        <v>197</v>
      </c>
      <c r="C527" s="67" t="n">
        <v>2048</v>
      </c>
      <c r="D527" t="s">
        <v>169</v>
      </c>
      <c r="E527" s="68" t="n">
        <v>23657.2148578366</v>
      </c>
      <c r="F527" s="69" t="n">
        <v>16246.8054572764</v>
      </c>
      <c r="G527" s="70" t="n">
        <v>23179.7775298232</v>
      </c>
      <c r="H527" s="71" t="n">
        <v>16025.2187605858</v>
      </c>
      <c r="I527" s="72" t="str">
        <f>H527-F527</f>
      </c>
      <c r="J527" s="73" t="str">
        <f>G527-E527</f>
      </c>
    </row>
    <row r="528">
      <c r="A528" t="s">
        <v>195</v>
      </c>
      <c r="B528" t="s">
        <v>197</v>
      </c>
      <c r="C528" s="67" t="n">
        <v>2048</v>
      </c>
      <c r="D528" t="s">
        <v>208</v>
      </c>
      <c r="E528" s="68" t="n">
        <v>1248155.43809223</v>
      </c>
      <c r="F528" s="69" t="n">
        <v>309970.135970883</v>
      </c>
      <c r="G528" s="70" t="n">
        <v>1240209.10376068</v>
      </c>
      <c r="H528" s="71" t="n">
        <v>308964.310377282</v>
      </c>
      <c r="I528" s="72" t="str">
        <f>H528-F528</f>
      </c>
      <c r="J528" s="73" t="str">
        <f>G528-E528</f>
      </c>
    </row>
    <row r="529">
      <c r="A529" t="s">
        <v>195</v>
      </c>
      <c r="B529" t="s">
        <v>197</v>
      </c>
      <c r="C529" s="67" t="n">
        <v>2048</v>
      </c>
      <c r="D529" t="s">
        <v>176</v>
      </c>
      <c r="E529" s="68" t="n">
        <v>149870.464696272</v>
      </c>
      <c r="F529" s="69" t="n">
        <v>100889.813774021</v>
      </c>
      <c r="G529" s="70" t="n">
        <v>159877.069557409</v>
      </c>
      <c r="H529" s="71" t="n">
        <v>108205.309376064</v>
      </c>
      <c r="I529" s="72" t="str">
        <f>H529-F529</f>
      </c>
      <c r="J529" s="73" t="str">
        <f>G529-E529</f>
      </c>
    </row>
    <row r="530">
      <c r="A530" t="s">
        <v>195</v>
      </c>
      <c r="B530" t="s">
        <v>197</v>
      </c>
      <c r="C530" s="67" t="n">
        <v>2048</v>
      </c>
      <c r="D530" t="s">
        <v>180</v>
      </c>
      <c r="E530" s="68" t="n">
        <v>466725.652198128</v>
      </c>
      <c r="F530" s="69" t="n">
        <v>434129.395089971</v>
      </c>
      <c r="G530" s="70" t="n">
        <v>500251.963676638</v>
      </c>
      <c r="H530" s="71" t="n">
        <v>465558.478994868</v>
      </c>
      <c r="I530" s="72" t="str">
        <f>H530-F530</f>
      </c>
      <c r="J530" s="73" t="str">
        <f>G530-E530</f>
      </c>
    </row>
    <row r="531">
      <c r="A531" t="s">
        <v>195</v>
      </c>
      <c r="B531" t="s">
        <v>197</v>
      </c>
      <c r="C531" s="67" t="n">
        <v>2048</v>
      </c>
      <c r="D531" t="s">
        <v>183</v>
      </c>
      <c r="E531" s="68" t="n">
        <v>808926.964629948</v>
      </c>
      <c r="F531" s="69" t="n">
        <v>521551.422643293</v>
      </c>
      <c r="G531" s="70" t="n">
        <v>862421.197666068</v>
      </c>
      <c r="H531" s="71" t="n">
        <v>555219.254274076</v>
      </c>
      <c r="I531" s="72" t="str">
        <f>H531-F531</f>
      </c>
      <c r="J531" s="73" t="str">
        <f>G531-E531</f>
      </c>
    </row>
    <row r="532">
      <c r="A532" t="s">
        <v>195</v>
      </c>
      <c r="B532" t="s">
        <v>197</v>
      </c>
      <c r="C532" s="67" t="n">
        <v>2048</v>
      </c>
      <c r="D532" t="s">
        <v>186</v>
      </c>
      <c r="E532" s="68" t="n">
        <v>635814.283035063</v>
      </c>
      <c r="F532" s="69" t="n">
        <v>393159.61383037</v>
      </c>
      <c r="G532" s="70" t="n">
        <v>675538.067131439</v>
      </c>
      <c r="H532" s="71" t="n">
        <v>416221.145643516</v>
      </c>
      <c r="I532" s="72" t="str">
        <f>H532-F532</f>
      </c>
      <c r="J532" s="73" t="str">
        <f>G532-E532</f>
      </c>
    </row>
    <row r="533">
      <c r="A533" t="s">
        <v>195</v>
      </c>
      <c r="B533" t="s">
        <v>197</v>
      </c>
      <c r="C533" s="67" t="n">
        <v>2048</v>
      </c>
      <c r="D533" t="s">
        <v>366</v>
      </c>
      <c r="E533" s="68" t="n">
        <v>43295.8693648406</v>
      </c>
      <c r="F533" s="69" t="n">
        <v>7743.69764412069</v>
      </c>
      <c r="G533" s="70" t="n">
        <v>43247.1165682685</v>
      </c>
      <c r="H533" s="71" t="n">
        <v>7740.96823230914</v>
      </c>
      <c r="I533" s="72" t="str">
        <f>H533-F533</f>
      </c>
      <c r="J533" s="73" t="str">
        <f>G533-E533</f>
      </c>
    </row>
    <row r="534">
      <c r="A534" t="s">
        <v>195</v>
      </c>
      <c r="B534" t="s">
        <v>197</v>
      </c>
      <c r="C534" s="67" t="n">
        <v>2049</v>
      </c>
      <c r="D534" t="s">
        <v>169</v>
      </c>
      <c r="E534" s="68" t="n">
        <v>24166.9433614039</v>
      </c>
      <c r="F534" s="69" t="n">
        <v>16565.8293903135</v>
      </c>
      <c r="G534" s="70" t="n">
        <v>23650.3614840449</v>
      </c>
      <c r="H534" s="71" t="n">
        <v>16322.61151708</v>
      </c>
      <c r="I534" s="72" t="str">
        <f>H534-F534</f>
      </c>
      <c r="J534" s="73" t="str">
        <f>G534-E534</f>
      </c>
    </row>
    <row r="535">
      <c r="A535" t="s">
        <v>195</v>
      </c>
      <c r="B535" t="s">
        <v>197</v>
      </c>
      <c r="C535" s="67" t="n">
        <v>2049</v>
      </c>
      <c r="D535" t="s">
        <v>208</v>
      </c>
      <c r="E535" s="68" t="n">
        <v>1253352.15192837</v>
      </c>
      <c r="F535" s="69" t="n">
        <v>316644.849972912</v>
      </c>
      <c r="G535" s="70" t="n">
        <v>1244958.37630862</v>
      </c>
      <c r="H535" s="71" t="n">
        <v>315528.654574656</v>
      </c>
      <c r="I535" s="72" t="str">
        <f>H535-F535</f>
      </c>
      <c r="J535" s="73" t="str">
        <f>G535-E535</f>
      </c>
    </row>
    <row r="536">
      <c r="A536" t="s">
        <v>195</v>
      </c>
      <c r="B536" t="s">
        <v>197</v>
      </c>
      <c r="C536" s="67" t="n">
        <v>2049</v>
      </c>
      <c r="D536" t="s">
        <v>176</v>
      </c>
      <c r="E536" s="68" t="n">
        <v>152224.747050256</v>
      </c>
      <c r="F536" s="69" t="n">
        <v>102514.675310621</v>
      </c>
      <c r="G536" s="70" t="n">
        <v>162238.134685625</v>
      </c>
      <c r="H536" s="71" t="n">
        <v>109882.371148655</v>
      </c>
      <c r="I536" s="72" t="str">
        <f>H536-F536</f>
      </c>
      <c r="J536" s="73" t="str">
        <f>G536-E536</f>
      </c>
    </row>
    <row r="537">
      <c r="A537" t="s">
        <v>195</v>
      </c>
      <c r="B537" t="s">
        <v>197</v>
      </c>
      <c r="C537" s="67" t="n">
        <v>2049</v>
      </c>
      <c r="D537" t="s">
        <v>180</v>
      </c>
      <c r="E537" s="68" t="n">
        <v>471664.337257452</v>
      </c>
      <c r="F537" s="69" t="n">
        <v>438843.587163211</v>
      </c>
      <c r="G537" s="70" t="n">
        <v>505215.900508139</v>
      </c>
      <c r="H537" s="71" t="n">
        <v>470383.880162835</v>
      </c>
      <c r="I537" s="72" t="str">
        <f>H537-F537</f>
      </c>
      <c r="J537" s="73" t="str">
        <f>G537-E537</f>
      </c>
    </row>
    <row r="538">
      <c r="A538" t="s">
        <v>195</v>
      </c>
      <c r="B538" t="s">
        <v>197</v>
      </c>
      <c r="C538" s="67" t="n">
        <v>2049</v>
      </c>
      <c r="D538" t="s">
        <v>183</v>
      </c>
      <c r="E538" s="68" t="n">
        <v>818613.491681601</v>
      </c>
      <c r="F538" s="69" t="n">
        <v>529066.233515096</v>
      </c>
      <c r="G538" s="70" t="n">
        <v>872039.412561908</v>
      </c>
      <c r="H538" s="71" t="n">
        <v>563337.765593671</v>
      </c>
      <c r="I538" s="72" t="str">
        <f>H538-F538</f>
      </c>
      <c r="J538" s="73" t="str">
        <f>G538-E538</f>
      </c>
    </row>
    <row r="539">
      <c r="A539" t="s">
        <v>195</v>
      </c>
      <c r="B539" t="s">
        <v>197</v>
      </c>
      <c r="C539" s="67" t="n">
        <v>2049</v>
      </c>
      <c r="D539" t="s">
        <v>186</v>
      </c>
      <c r="E539" s="68" t="n">
        <v>645164.369614623</v>
      </c>
      <c r="F539" s="69" t="n">
        <v>401748.132241918</v>
      </c>
      <c r="G539" s="70" t="n">
        <v>684799.519243418</v>
      </c>
      <c r="H539" s="71" t="n">
        <v>425211.294806661</v>
      </c>
      <c r="I539" s="72" t="str">
        <f>H539-F539</f>
      </c>
      <c r="J539" s="73" t="str">
        <f>G539-E539</f>
      </c>
    </row>
    <row r="540">
      <c r="A540" t="s">
        <v>195</v>
      </c>
      <c r="B540" t="s">
        <v>197</v>
      </c>
      <c r="C540" s="67" t="n">
        <v>2049</v>
      </c>
      <c r="D540" t="s">
        <v>366</v>
      </c>
      <c r="E540" s="68" t="n">
        <v>43339.6728810864</v>
      </c>
      <c r="F540" s="69" t="n">
        <v>7767.43281922754</v>
      </c>
      <c r="G540" s="70" t="n">
        <v>43287.6941181752</v>
      </c>
      <c r="H540" s="71" t="n">
        <v>7764.42505773382</v>
      </c>
      <c r="I540" s="72" t="str">
        <f>H540-F540</f>
      </c>
      <c r="J540" s="73" t="str">
        <f>G540-E540</f>
      </c>
    </row>
    <row r="541">
      <c r="A541" t="s">
        <v>195</v>
      </c>
      <c r="B541" t="s">
        <v>197</v>
      </c>
      <c r="C541" s="67" t="n">
        <v>2050</v>
      </c>
      <c r="D541" t="s">
        <v>169</v>
      </c>
      <c r="E541" s="68" t="n">
        <v>24666.9409994376</v>
      </c>
      <c r="F541" s="69" t="n">
        <v>16884.4768804762</v>
      </c>
      <c r="G541" s="70" t="n">
        <v>24110.4306261692</v>
      </c>
      <c r="H541" s="71" t="n">
        <v>16618.9237091261</v>
      </c>
      <c r="I541" s="72" t="str">
        <f>H541-F541</f>
      </c>
      <c r="J541" s="73" t="str">
        <f>G541-E541</f>
      </c>
    </row>
    <row r="542">
      <c r="A542" t="s">
        <v>195</v>
      </c>
      <c r="B542" t="s">
        <v>197</v>
      </c>
      <c r="C542" s="67" t="n">
        <v>2050</v>
      </c>
      <c r="D542" t="s">
        <v>208</v>
      </c>
      <c r="E542" s="68" t="n">
        <v>1258408.51837412</v>
      </c>
      <c r="F542" s="69" t="n">
        <v>323097.031807758</v>
      </c>
      <c r="G542" s="70" t="n">
        <v>1249574.98129843</v>
      </c>
      <c r="H542" s="71" t="n">
        <v>321866.145423905</v>
      </c>
      <c r="I542" s="72" t="str">
        <f>H542-F542</f>
      </c>
      <c r="J542" s="73" t="str">
        <f>G542-E542</f>
      </c>
    </row>
    <row r="543">
      <c r="A543" t="s">
        <v>195</v>
      </c>
      <c r="B543" t="s">
        <v>197</v>
      </c>
      <c r="C543" s="67" t="n">
        <v>2050</v>
      </c>
      <c r="D543" t="s">
        <v>176</v>
      </c>
      <c r="E543" s="68" t="n">
        <v>154514.48767576</v>
      </c>
      <c r="F543" s="69" t="n">
        <v>104085.448436633</v>
      </c>
      <c r="G543" s="70" t="n">
        <v>164526.94959842</v>
      </c>
      <c r="H543" s="71" t="n">
        <v>111496.260054028</v>
      </c>
      <c r="I543" s="72" t="str">
        <f>H543-F543</f>
      </c>
      <c r="J543" s="73" t="str">
        <f>G543-E543</f>
      </c>
    </row>
    <row r="544">
      <c r="A544" t="s">
        <v>195</v>
      </c>
      <c r="B544" t="s">
        <v>197</v>
      </c>
      <c r="C544" s="67" t="n">
        <v>2050</v>
      </c>
      <c r="D544" t="s">
        <v>180</v>
      </c>
      <c r="E544" s="68" t="n">
        <v>476366.190071457</v>
      </c>
      <c r="F544" s="69" t="n">
        <v>443270.384873574</v>
      </c>
      <c r="G544" s="70" t="n">
        <v>509923.794653266</v>
      </c>
      <c r="H544" s="71" t="n">
        <v>474893.254554943</v>
      </c>
      <c r="I544" s="72" t="str">
        <f>H544-F544</f>
      </c>
      <c r="J544" s="73" t="str">
        <f>G544-E544</f>
      </c>
    </row>
    <row r="545">
      <c r="A545" t="s">
        <v>195</v>
      </c>
      <c r="B545" t="s">
        <v>197</v>
      </c>
      <c r="C545" s="67" t="n">
        <v>2050</v>
      </c>
      <c r="D545" t="s">
        <v>183</v>
      </c>
      <c r="E545" s="68" t="n">
        <v>827894.996329938</v>
      </c>
      <c r="F545" s="69" t="n">
        <v>536493.158644646</v>
      </c>
      <c r="G545" s="70" t="n">
        <v>881220.210178615</v>
      </c>
      <c r="H545" s="71" t="n">
        <v>571305.130665456</v>
      </c>
      <c r="I545" s="72" t="str">
        <f>H545-F545</f>
      </c>
      <c r="J545" s="73" t="str">
        <f>G545-E545</f>
      </c>
    </row>
    <row r="546">
      <c r="A546" t="s">
        <v>195</v>
      </c>
      <c r="B546" t="s">
        <v>197</v>
      </c>
      <c r="C546" s="67" t="n">
        <v>2050</v>
      </c>
      <c r="D546" t="s">
        <v>186</v>
      </c>
      <c r="E546" s="68" t="n">
        <v>654304.817912582</v>
      </c>
      <c r="F546" s="69" t="n">
        <v>410117.685850475</v>
      </c>
      <c r="G546" s="70" t="n">
        <v>693833.375810026</v>
      </c>
      <c r="H546" s="71" t="n">
        <v>433928.116842437</v>
      </c>
      <c r="I546" s="72" t="str">
        <f>H546-F546</f>
      </c>
      <c r="J546" s="73" t="str">
        <f>G546-E546</f>
      </c>
    </row>
    <row r="547">
      <c r="A547" t="s">
        <v>195</v>
      </c>
      <c r="B547" t="s">
        <v>197</v>
      </c>
      <c r="C547" s="67" t="n">
        <v>2050</v>
      </c>
      <c r="D547" t="s">
        <v>366</v>
      </c>
      <c r="E547" s="68" t="n">
        <v>43392.5421286739</v>
      </c>
      <c r="F547" s="69" t="n">
        <v>7788.88984781248</v>
      </c>
      <c r="G547" s="70" t="n">
        <v>43337.3340718481</v>
      </c>
      <c r="H547" s="71" t="n">
        <v>7785.59251624651</v>
      </c>
      <c r="I547" s="72" t="str">
        <f>H547-F547</f>
      </c>
      <c r="J547" s="73" t="str">
        <f>G547-E547</f>
      </c>
    </row>
    <row r="548">
      <c r="A548" t="s">
        <v>203</v>
      </c>
      <c r="B548" t="s">
        <v>205</v>
      </c>
      <c r="C548" s="67" t="n">
        <v>2025</v>
      </c>
      <c r="D548" t="s">
        <v>169</v>
      </c>
      <c r="E548" s="68" t="n">
        <v>12347.3896757033</v>
      </c>
      <c r="F548" s="69" t="n">
        <v>8975.30849722876</v>
      </c>
      <c r="G548" s="70" t="n">
        <v>12347.3896757033</v>
      </c>
      <c r="H548" s="71" t="n">
        <v>8975.30849722876</v>
      </c>
      <c r="I548" s="72" t="str">
        <f>H548-F548</f>
      </c>
      <c r="J548" s="73" t="str">
        <f>G548-E548</f>
      </c>
    </row>
    <row r="549">
      <c r="A549" t="s">
        <v>203</v>
      </c>
      <c r="B549" t="s">
        <v>205</v>
      </c>
      <c r="C549" s="67" t="n">
        <v>2025</v>
      </c>
      <c r="D549" t="s">
        <v>208</v>
      </c>
      <c r="E549" s="68" t="n">
        <v>1026043.97207164</v>
      </c>
      <c r="F549" s="69" t="n">
        <v>129403.022830672</v>
      </c>
      <c r="G549" s="70" t="n">
        <v>1026043.97207164</v>
      </c>
      <c r="H549" s="71" t="n">
        <v>129403.022830672</v>
      </c>
      <c r="I549" s="72" t="str">
        <f>H549-F549</f>
      </c>
      <c r="J549" s="73" t="str">
        <f>G549-E549</f>
      </c>
    </row>
    <row r="550">
      <c r="A550" t="s">
        <v>203</v>
      </c>
      <c r="B550" t="s">
        <v>205</v>
      </c>
      <c r="C550" s="67" t="n">
        <v>2025</v>
      </c>
      <c r="D550" t="s">
        <v>176</v>
      </c>
      <c r="E550" s="68" t="n">
        <v>91684.5090142746</v>
      </c>
      <c r="F550" s="69" t="n">
        <v>63318.7518252021</v>
      </c>
      <c r="G550" s="70" t="n">
        <v>91684.5090142746</v>
      </c>
      <c r="H550" s="71" t="n">
        <v>63318.7518252021</v>
      </c>
      <c r="I550" s="72" t="str">
        <f>H550-F550</f>
      </c>
      <c r="J550" s="73" t="str">
        <f>G550-E550</f>
      </c>
    </row>
    <row r="551">
      <c r="A551" t="s">
        <v>203</v>
      </c>
      <c r="B551" t="s">
        <v>205</v>
      </c>
      <c r="C551" s="67" t="n">
        <v>2025</v>
      </c>
      <c r="D551" t="s">
        <v>180</v>
      </c>
      <c r="E551" s="68" t="n">
        <v>327817.992111529</v>
      </c>
      <c r="F551" s="69" t="n">
        <v>300216.82861998</v>
      </c>
      <c r="G551" s="70" t="n">
        <v>327817.992111529</v>
      </c>
      <c r="H551" s="71" t="n">
        <v>300216.82861998</v>
      </c>
      <c r="I551" s="72" t="str">
        <f>H551-F551</f>
      </c>
      <c r="J551" s="73" t="str">
        <f>G551-E551</f>
      </c>
    </row>
    <row r="552">
      <c r="A552" t="s">
        <v>203</v>
      </c>
      <c r="B552" t="s">
        <v>205</v>
      </c>
      <c r="C552" s="67" t="n">
        <v>2025</v>
      </c>
      <c r="D552" t="s">
        <v>183</v>
      </c>
      <c r="E552" s="68" t="n">
        <v>563964.128928848</v>
      </c>
      <c r="F552" s="69" t="n">
        <v>321188.162987932</v>
      </c>
      <c r="G552" s="70" t="n">
        <v>563964.128928848</v>
      </c>
      <c r="H552" s="71" t="n">
        <v>321188.162987932</v>
      </c>
      <c r="I552" s="72" t="str">
        <f>H552-F552</f>
      </c>
      <c r="J552" s="73" t="str">
        <f>G552-E552</f>
      </c>
    </row>
    <row r="553">
      <c r="A553" t="s">
        <v>203</v>
      </c>
      <c r="B553" t="s">
        <v>205</v>
      </c>
      <c r="C553" s="67" t="n">
        <v>2025</v>
      </c>
      <c r="D553" t="s">
        <v>186</v>
      </c>
      <c r="E553" s="68" t="n">
        <v>396205.912797568</v>
      </c>
      <c r="F553" s="69" t="n">
        <v>191954.713579597</v>
      </c>
      <c r="G553" s="70" t="n">
        <v>396205.912797568</v>
      </c>
      <c r="H553" s="71" t="n">
        <v>191954.713579597</v>
      </c>
      <c r="I553" s="72" t="str">
        <f>H553-F553</f>
      </c>
      <c r="J553" s="73" t="str">
        <f>G553-E553</f>
      </c>
    </row>
    <row r="554">
      <c r="A554" t="s">
        <v>203</v>
      </c>
      <c r="B554" t="s">
        <v>205</v>
      </c>
      <c r="C554" s="67" t="n">
        <v>2025</v>
      </c>
      <c r="D554" t="s">
        <v>366</v>
      </c>
      <c r="E554" s="68" t="n">
        <v>44024.8557845561</v>
      </c>
      <c r="F554" s="69" t="n">
        <v>6961.02866951274</v>
      </c>
      <c r="G554" s="70" t="n">
        <v>44024.8557845561</v>
      </c>
      <c r="H554" s="71" t="n">
        <v>6961.02866951274</v>
      </c>
      <c r="I554" s="72" t="str">
        <f>H554-F554</f>
      </c>
      <c r="J554" s="73" t="str">
        <f>G554-E554</f>
      </c>
    </row>
    <row r="555">
      <c r="A555" t="s">
        <v>203</v>
      </c>
      <c r="B555" t="s">
        <v>205</v>
      </c>
      <c r="C555" s="67" t="n">
        <v>2026</v>
      </c>
      <c r="D555" t="s">
        <v>169</v>
      </c>
      <c r="E555" s="68" t="n">
        <v>12812.507871628</v>
      </c>
      <c r="F555" s="69" t="n">
        <v>9308.26420910955</v>
      </c>
      <c r="G555" s="70" t="n">
        <v>12812.507871628</v>
      </c>
      <c r="H555" s="71" t="n">
        <v>9308.26420910955</v>
      </c>
      <c r="I555" s="72" t="str">
        <f>H555-F555</f>
      </c>
      <c r="J555" s="73" t="str">
        <f>G555-E555</f>
      </c>
    </row>
    <row r="556">
      <c r="A556" t="s">
        <v>203</v>
      </c>
      <c r="B556" t="s">
        <v>205</v>
      </c>
      <c r="C556" s="67" t="n">
        <v>2026</v>
      </c>
      <c r="D556" t="s">
        <v>208</v>
      </c>
      <c r="E556" s="68" t="n">
        <v>1040293.93432531</v>
      </c>
      <c r="F556" s="69" t="n">
        <v>137191.896136923</v>
      </c>
      <c r="G556" s="70" t="n">
        <v>1040956.74283153</v>
      </c>
      <c r="H556" s="71" t="n">
        <v>137191.896136923</v>
      </c>
      <c r="I556" s="72" t="str">
        <f>H556-F556</f>
      </c>
      <c r="J556" s="73" t="str">
        <f>G556-E556</f>
      </c>
    </row>
    <row r="557">
      <c r="A557" t="s">
        <v>203</v>
      </c>
      <c r="B557" t="s">
        <v>205</v>
      </c>
      <c r="C557" s="67" t="n">
        <v>2026</v>
      </c>
      <c r="D557" t="s">
        <v>176</v>
      </c>
      <c r="E557" s="68" t="n">
        <v>95041.0294978378</v>
      </c>
      <c r="F557" s="69" t="n">
        <v>65164.4704134017</v>
      </c>
      <c r="G557" s="70" t="n">
        <v>95077.1833035265</v>
      </c>
      <c r="H557" s="71" t="n">
        <v>65164.4704134017</v>
      </c>
      <c r="I557" s="72" t="str">
        <f>H557-F557</f>
      </c>
      <c r="J557" s="73" t="str">
        <f>G557-E557</f>
      </c>
    </row>
    <row r="558">
      <c r="A558" t="s">
        <v>203</v>
      </c>
      <c r="B558" t="s">
        <v>205</v>
      </c>
      <c r="C558" s="67" t="n">
        <v>2026</v>
      </c>
      <c r="D558" t="s">
        <v>180</v>
      </c>
      <c r="E558" s="68" t="n">
        <v>336773.503057466</v>
      </c>
      <c r="F558" s="69" t="n">
        <v>308606.943045308</v>
      </c>
      <c r="G558" s="70" t="n">
        <v>336875.423495605</v>
      </c>
      <c r="H558" s="71" t="n">
        <v>308606.943045308</v>
      </c>
      <c r="I558" s="72" t="str">
        <f>H558-F558</f>
      </c>
      <c r="J558" s="73" t="str">
        <f>G558-E558</f>
      </c>
    </row>
    <row r="559">
      <c r="A559" t="s">
        <v>203</v>
      </c>
      <c r="B559" t="s">
        <v>205</v>
      </c>
      <c r="C559" s="67" t="n">
        <v>2026</v>
      </c>
      <c r="D559" t="s">
        <v>183</v>
      </c>
      <c r="E559" s="68" t="n">
        <v>579811.917247786</v>
      </c>
      <c r="F559" s="69" t="n">
        <v>332896.185768311</v>
      </c>
      <c r="G559" s="70" t="n">
        <v>580111.541957649</v>
      </c>
      <c r="H559" s="71" t="n">
        <v>332896.185768311</v>
      </c>
      <c r="I559" s="72" t="str">
        <f>H559-F559</f>
      </c>
      <c r="J559" s="73" t="str">
        <f>G559-E559</f>
      </c>
    </row>
    <row r="560">
      <c r="A560" t="s">
        <v>203</v>
      </c>
      <c r="B560" t="s">
        <v>205</v>
      </c>
      <c r="C560" s="67" t="n">
        <v>2026</v>
      </c>
      <c r="D560" t="s">
        <v>186</v>
      </c>
      <c r="E560" s="68" t="n">
        <v>409720.955077964</v>
      </c>
      <c r="F560" s="69" t="n">
        <v>202008.199783237</v>
      </c>
      <c r="G560" s="70" t="n">
        <v>409829.87281699</v>
      </c>
      <c r="H560" s="71" t="n">
        <v>202008.199783237</v>
      </c>
      <c r="I560" s="72" t="str">
        <f>H560-F560</f>
      </c>
      <c r="J560" s="73" t="str">
        <f>G560-E560</f>
      </c>
    </row>
    <row r="561">
      <c r="A561" t="s">
        <v>203</v>
      </c>
      <c r="B561" t="s">
        <v>205</v>
      </c>
      <c r="C561" s="67" t="n">
        <v>2026</v>
      </c>
      <c r="D561" t="s">
        <v>366</v>
      </c>
      <c r="E561" s="68" t="n">
        <v>44219.1707517653</v>
      </c>
      <c r="F561" s="69" t="n">
        <v>7023.77126872287</v>
      </c>
      <c r="G561" s="70" t="n">
        <v>44219.1707517653</v>
      </c>
      <c r="H561" s="71" t="n">
        <v>7023.77126872287</v>
      </c>
      <c r="I561" s="72" t="str">
        <f>H561-F561</f>
      </c>
      <c r="J561" s="73" t="str">
        <f>G561-E561</f>
      </c>
    </row>
    <row r="562">
      <c r="A562" t="s">
        <v>203</v>
      </c>
      <c r="B562" t="s">
        <v>205</v>
      </c>
      <c r="C562" s="67" t="n">
        <v>2027</v>
      </c>
      <c r="D562" t="s">
        <v>169</v>
      </c>
      <c r="E562" s="68" t="n">
        <v>13273.481772584</v>
      </c>
      <c r="F562" s="69" t="n">
        <v>9640.71530777017</v>
      </c>
      <c r="G562" s="70" t="n">
        <v>13273.481772584</v>
      </c>
      <c r="H562" s="71" t="n">
        <v>9640.71530777017</v>
      </c>
      <c r="I562" s="72" t="str">
        <f>H562-F562</f>
      </c>
      <c r="J562" s="73" t="str">
        <f>G562-E562</f>
      </c>
    </row>
    <row r="563">
      <c r="A563" t="s">
        <v>203</v>
      </c>
      <c r="B563" t="s">
        <v>205</v>
      </c>
      <c r="C563" s="67" t="n">
        <v>2027</v>
      </c>
      <c r="D563" t="s">
        <v>208</v>
      </c>
      <c r="E563" s="68" t="n">
        <v>1053916.58136586</v>
      </c>
      <c r="F563" s="69" t="n">
        <v>145082.704176156</v>
      </c>
      <c r="G563" s="70" t="n">
        <v>1055255.40879996</v>
      </c>
      <c r="H563" s="71" t="n">
        <v>145087.130776418</v>
      </c>
      <c r="I563" s="72" t="str">
        <f>H563-F563</f>
      </c>
      <c r="J563" s="73" t="str">
        <f>G563-E563</f>
      </c>
    </row>
    <row r="564">
      <c r="A564" t="s">
        <v>203</v>
      </c>
      <c r="B564" t="s">
        <v>205</v>
      </c>
      <c r="C564" s="67" t="n">
        <v>2027</v>
      </c>
      <c r="D564" t="s">
        <v>176</v>
      </c>
      <c r="E564" s="68" t="n">
        <v>98374.0318111807</v>
      </c>
      <c r="F564" s="69" t="n">
        <v>67061.8841456432</v>
      </c>
      <c r="G564" s="70" t="n">
        <v>98448.8278839669</v>
      </c>
      <c r="H564" s="71" t="n">
        <v>67068.0169086102</v>
      </c>
      <c r="I564" s="72" t="str">
        <f>H564-F564</f>
      </c>
      <c r="J564" s="73" t="str">
        <f>G564-E564</f>
      </c>
    </row>
    <row r="565">
      <c r="A565" t="s">
        <v>203</v>
      </c>
      <c r="B565" t="s">
        <v>205</v>
      </c>
      <c r="C565" s="67" t="n">
        <v>2027</v>
      </c>
      <c r="D565" t="s">
        <v>180</v>
      </c>
      <c r="E565" s="68" t="n">
        <v>345727.710028621</v>
      </c>
      <c r="F565" s="69" t="n">
        <v>317074.653901247</v>
      </c>
      <c r="G565" s="70" t="n">
        <v>345936.706716403</v>
      </c>
      <c r="H565" s="71" t="n">
        <v>317119.553552555</v>
      </c>
      <c r="I565" s="72" t="str">
        <f>H565-F565</f>
      </c>
      <c r="J565" s="73" t="str">
        <f>G565-E565</f>
      </c>
    </row>
    <row r="566">
      <c r="A566" t="s">
        <v>203</v>
      </c>
      <c r="B566" t="s">
        <v>205</v>
      </c>
      <c r="C566" s="67" t="n">
        <v>2027</v>
      </c>
      <c r="D566" t="s">
        <v>183</v>
      </c>
      <c r="E566" s="68" t="n">
        <v>595535.227050924</v>
      </c>
      <c r="F566" s="69" t="n">
        <v>344497.930917647</v>
      </c>
      <c r="G566" s="70" t="n">
        <v>596148.832334676</v>
      </c>
      <c r="H566" s="71" t="n">
        <v>344517.274659827</v>
      </c>
      <c r="I566" s="72" t="str">
        <f>H566-F566</f>
      </c>
      <c r="J566" s="73" t="str">
        <f>G566-E566</f>
      </c>
    </row>
    <row r="567">
      <c r="A567" t="s">
        <v>203</v>
      </c>
      <c r="B567" t="s">
        <v>205</v>
      </c>
      <c r="C567" s="67" t="n">
        <v>2027</v>
      </c>
      <c r="D567" t="s">
        <v>186</v>
      </c>
      <c r="E567" s="68" t="n">
        <v>423260.792543057</v>
      </c>
      <c r="F567" s="69" t="n">
        <v>211987.085155345</v>
      </c>
      <c r="G567" s="70" t="n">
        <v>423485.101321999</v>
      </c>
      <c r="H567" s="71" t="n">
        <v>211995.488024171</v>
      </c>
      <c r="I567" s="72" t="str">
        <f>H567-F567</f>
      </c>
      <c r="J567" s="73" t="str">
        <f>G567-E567</f>
      </c>
    </row>
    <row r="568">
      <c r="A568" t="s">
        <v>203</v>
      </c>
      <c r="B568" t="s">
        <v>205</v>
      </c>
      <c r="C568" s="67" t="n">
        <v>2027</v>
      </c>
      <c r="D568" t="s">
        <v>366</v>
      </c>
      <c r="E568" s="68" t="n">
        <v>44384.2018393689</v>
      </c>
      <c r="F568" s="69" t="n">
        <v>7080.05700568168</v>
      </c>
      <c r="G568" s="70" t="n">
        <v>44384.2018393689</v>
      </c>
      <c r="H568" s="71" t="n">
        <v>7080.05700568168</v>
      </c>
      <c r="I568" s="72" t="str">
        <f>H568-F568</f>
      </c>
      <c r="J568" s="73" t="str">
        <f>G568-E568</f>
      </c>
    </row>
    <row r="569">
      <c r="A569" t="s">
        <v>203</v>
      </c>
      <c r="B569" t="s">
        <v>205</v>
      </c>
      <c r="C569" s="67" t="n">
        <v>2028</v>
      </c>
      <c r="D569" t="s">
        <v>169</v>
      </c>
      <c r="E569" s="68" t="n">
        <v>13729.5274318709</v>
      </c>
      <c r="F569" s="69" t="n">
        <v>9971.45472163389</v>
      </c>
      <c r="G569" s="70" t="n">
        <v>13729.5005000864</v>
      </c>
      <c r="H569" s="71" t="n">
        <v>9971.45472163389</v>
      </c>
      <c r="I569" s="72" t="str">
        <f>H569-F569</f>
      </c>
      <c r="J569" s="73" t="str">
        <f>G569-E569</f>
      </c>
    </row>
    <row r="570">
      <c r="A570" t="s">
        <v>203</v>
      </c>
      <c r="B570" t="s">
        <v>205</v>
      </c>
      <c r="C570" s="67" t="n">
        <v>2028</v>
      </c>
      <c r="D570" t="s">
        <v>208</v>
      </c>
      <c r="E570" s="68" t="n">
        <v>1066978.68171432</v>
      </c>
      <c r="F570" s="69" t="n">
        <v>153064.309521376</v>
      </c>
      <c r="G570" s="70" t="n">
        <v>1069005.07088018</v>
      </c>
      <c r="H570" s="71" t="n">
        <v>153077.867387244</v>
      </c>
      <c r="I570" s="72" t="str">
        <f>H570-F570</f>
      </c>
      <c r="J570" s="73" t="str">
        <f>G570-E570</f>
      </c>
    </row>
    <row r="571">
      <c r="A571" t="s">
        <v>203</v>
      </c>
      <c r="B571" t="s">
        <v>205</v>
      </c>
      <c r="C571" s="67" t="n">
        <v>2028</v>
      </c>
      <c r="D571" t="s">
        <v>176</v>
      </c>
      <c r="E571" s="68" t="n">
        <v>101682.228497105</v>
      </c>
      <c r="F571" s="69" t="n">
        <v>69002.6519435965</v>
      </c>
      <c r="G571" s="70" t="n">
        <v>101797.96761407</v>
      </c>
      <c r="H571" s="71" t="n">
        <v>69019.933123165</v>
      </c>
      <c r="I571" s="72" t="str">
        <f>H571-F571</f>
      </c>
      <c r="J571" s="73" t="str">
        <f>G571-E571</f>
      </c>
    </row>
    <row r="572">
      <c r="A572" t="s">
        <v>203</v>
      </c>
      <c r="B572" t="s">
        <v>205</v>
      </c>
      <c r="C572" s="67" t="n">
        <v>2028</v>
      </c>
      <c r="D572" t="s">
        <v>180</v>
      </c>
      <c r="E572" s="68" t="n">
        <v>354644.549084088</v>
      </c>
      <c r="F572" s="69" t="n">
        <v>325579.686420782</v>
      </c>
      <c r="G572" s="70" t="n">
        <v>354965.535819133</v>
      </c>
      <c r="H572" s="71" t="n">
        <v>325690.683016893</v>
      </c>
      <c r="I572" s="72" t="str">
        <f>H572-F572</f>
      </c>
      <c r="J572" s="73" t="str">
        <f>G572-E572</f>
      </c>
    </row>
    <row r="573">
      <c r="A573" t="s">
        <v>203</v>
      </c>
      <c r="B573" t="s">
        <v>205</v>
      </c>
      <c r="C573" s="67" t="n">
        <v>2028</v>
      </c>
      <c r="D573" t="s">
        <v>183</v>
      </c>
      <c r="E573" s="68" t="n">
        <v>611090.692883752</v>
      </c>
      <c r="F573" s="69" t="n">
        <v>356015.961989417</v>
      </c>
      <c r="G573" s="70" t="n">
        <v>612031.659444751</v>
      </c>
      <c r="H573" s="71" t="n">
        <v>356073.571438059</v>
      </c>
      <c r="I573" s="72" t="str">
        <f>H573-F573</f>
      </c>
      <c r="J573" s="73" t="str">
        <f>G573-E573</f>
      </c>
    </row>
    <row r="574">
      <c r="A574" t="s">
        <v>203</v>
      </c>
      <c r="B574" t="s">
        <v>205</v>
      </c>
      <c r="C574" s="67" t="n">
        <v>2028</v>
      </c>
      <c r="D574" t="s">
        <v>186</v>
      </c>
      <c r="E574" s="68" t="n">
        <v>436814.243814261</v>
      </c>
      <c r="F574" s="69" t="n">
        <v>221884.667220637</v>
      </c>
      <c r="G574" s="70" t="n">
        <v>437159.755191958</v>
      </c>
      <c r="H574" s="71" t="n">
        <v>221908.958563303</v>
      </c>
      <c r="I574" s="72" t="str">
        <f>H574-F574</f>
      </c>
      <c r="J574" s="73" t="str">
        <f>G574-E574</f>
      </c>
    </row>
    <row r="575">
      <c r="A575" t="s">
        <v>203</v>
      </c>
      <c r="B575" t="s">
        <v>205</v>
      </c>
      <c r="C575" s="67" t="n">
        <v>2028</v>
      </c>
      <c r="D575" t="s">
        <v>366</v>
      </c>
      <c r="E575" s="68" t="n">
        <v>44510.0685364727</v>
      </c>
      <c r="F575" s="69" t="n">
        <v>7131.07016356498</v>
      </c>
      <c r="G575" s="70" t="n">
        <v>44510.0649629929</v>
      </c>
      <c r="H575" s="71" t="n">
        <v>7131.07016356498</v>
      </c>
      <c r="I575" s="72" t="str">
        <f>H575-F575</f>
      </c>
      <c r="J575" s="73" t="str">
        <f>G575-E575</f>
      </c>
    </row>
    <row r="576">
      <c r="A576" t="s">
        <v>203</v>
      </c>
      <c r="B576" t="s">
        <v>205</v>
      </c>
      <c r="C576" s="67" t="n">
        <v>2029</v>
      </c>
      <c r="D576" t="s">
        <v>169</v>
      </c>
      <c r="E576" s="68" t="n">
        <v>14181.5227651922</v>
      </c>
      <c r="F576" s="69" t="n">
        <v>10301.2347672851</v>
      </c>
      <c r="G576" s="70" t="n">
        <v>14181.4236375467</v>
      </c>
      <c r="H576" s="71" t="n">
        <v>10301.2295792609</v>
      </c>
      <c r="I576" s="72" t="str">
        <f>H576-F576</f>
      </c>
      <c r="J576" s="73" t="str">
        <f>G576-E576</f>
      </c>
    </row>
    <row r="577">
      <c r="A577" t="s">
        <v>203</v>
      </c>
      <c r="B577" t="s">
        <v>205</v>
      </c>
      <c r="C577" s="67" t="n">
        <v>2029</v>
      </c>
      <c r="D577" t="s">
        <v>208</v>
      </c>
      <c r="E577" s="68" t="n">
        <v>1079528.27060812</v>
      </c>
      <c r="F577" s="69" t="n">
        <v>161133.42705213</v>
      </c>
      <c r="G577" s="70" t="n">
        <v>1082252.39423074</v>
      </c>
      <c r="H577" s="71" t="n">
        <v>161161.062132093</v>
      </c>
      <c r="I577" s="72" t="str">
        <f>H577-F577</f>
      </c>
      <c r="J577" s="73" t="str">
        <f>G577-E577</f>
      </c>
    </row>
    <row r="578">
      <c r="A578" t="s">
        <v>203</v>
      </c>
      <c r="B578" t="s">
        <v>205</v>
      </c>
      <c r="C578" s="67" t="n">
        <v>2029</v>
      </c>
      <c r="D578" t="s">
        <v>176</v>
      </c>
      <c r="E578" s="68" t="n">
        <v>104955.864990842</v>
      </c>
      <c r="F578" s="69" t="n">
        <v>71009.4272728166</v>
      </c>
      <c r="G578" s="70" t="n">
        <v>105114.693344183</v>
      </c>
      <c r="H578" s="71" t="n">
        <v>71042.0544294395</v>
      </c>
      <c r="I578" s="72" t="str">
        <f>H578-F578</f>
      </c>
      <c r="J578" s="73" t="str">
        <f>G578-E578</f>
      </c>
    </row>
    <row r="579">
      <c r="A579" t="s">
        <v>203</v>
      </c>
      <c r="B579" t="s">
        <v>205</v>
      </c>
      <c r="C579" s="67" t="n">
        <v>2029</v>
      </c>
      <c r="D579" t="s">
        <v>180</v>
      </c>
      <c r="E579" s="68" t="n">
        <v>363458.62852851</v>
      </c>
      <c r="F579" s="69" t="n">
        <v>334101.540469676</v>
      </c>
      <c r="G579" s="70" t="n">
        <v>363896.204247168</v>
      </c>
      <c r="H579" s="71" t="n">
        <v>334292.677138926</v>
      </c>
      <c r="I579" s="72" t="str">
        <f>H579-F579</f>
      </c>
      <c r="J579" s="73" t="str">
        <f>G579-E579</f>
      </c>
    </row>
    <row r="580">
      <c r="A580" t="s">
        <v>203</v>
      </c>
      <c r="B580" t="s">
        <v>205</v>
      </c>
      <c r="C580" s="67" t="n">
        <v>2029</v>
      </c>
      <c r="D580" t="s">
        <v>183</v>
      </c>
      <c r="E580" s="68" t="n">
        <v>626445.424394446</v>
      </c>
      <c r="F580" s="69" t="n">
        <v>367460.936496799</v>
      </c>
      <c r="G580" s="70" t="n">
        <v>627726.336898794</v>
      </c>
      <c r="H580" s="71" t="n">
        <v>367575.22274735</v>
      </c>
      <c r="I580" s="72" t="str">
        <f>H580-F580</f>
      </c>
      <c r="J580" s="73" t="str">
        <f>G580-E580</f>
      </c>
    </row>
    <row r="581">
      <c r="A581" t="s">
        <v>203</v>
      </c>
      <c r="B581" t="s">
        <v>205</v>
      </c>
      <c r="C581" s="67" t="n">
        <v>2029</v>
      </c>
      <c r="D581" t="s">
        <v>186</v>
      </c>
      <c r="E581" s="68" t="n">
        <v>450314.108373879</v>
      </c>
      <c r="F581" s="69" t="n">
        <v>231660.921341808</v>
      </c>
      <c r="G581" s="70" t="n">
        <v>450786.134013569</v>
      </c>
      <c r="H581" s="71" t="n">
        <v>231708.01887569</v>
      </c>
      <c r="I581" s="72" t="str">
        <f>H581-F581</f>
      </c>
      <c r="J581" s="73" t="str">
        <f>G581-E581</f>
      </c>
    </row>
    <row r="582">
      <c r="A582" t="s">
        <v>203</v>
      </c>
      <c r="B582" t="s">
        <v>205</v>
      </c>
      <c r="C582" s="67" t="n">
        <v>2029</v>
      </c>
      <c r="D582" t="s">
        <v>366</v>
      </c>
      <c r="E582" s="68" t="n">
        <v>44600.2745757068</v>
      </c>
      <c r="F582" s="69" t="n">
        <v>7178.21936533277</v>
      </c>
      <c r="G582" s="70" t="n">
        <v>44600.2614435955</v>
      </c>
      <c r="H582" s="71" t="n">
        <v>7178.21931597252</v>
      </c>
      <c r="I582" s="72" t="str">
        <f>H582-F582</f>
      </c>
      <c r="J582" s="73" t="str">
        <f>G582-E582</f>
      </c>
    </row>
    <row r="583">
      <c r="A583" t="s">
        <v>203</v>
      </c>
      <c r="B583" t="s">
        <v>205</v>
      </c>
      <c r="C583" s="67" t="n">
        <v>2030</v>
      </c>
      <c r="D583" t="s">
        <v>169</v>
      </c>
      <c r="E583" s="68" t="n">
        <v>14631.1593844587</v>
      </c>
      <c r="F583" s="69" t="n">
        <v>10630.2930535877</v>
      </c>
      <c r="G583" s="70" t="n">
        <v>14630.9263575645</v>
      </c>
      <c r="H583" s="71" t="n">
        <v>10630.2702680602</v>
      </c>
      <c r="I583" s="72" t="str">
        <f>H583-F583</f>
      </c>
      <c r="J583" s="73" t="str">
        <f>G583-E583</f>
      </c>
    </row>
    <row r="584">
      <c r="A584" t="s">
        <v>203</v>
      </c>
      <c r="B584" t="s">
        <v>205</v>
      </c>
      <c r="C584" s="67" t="n">
        <v>2030</v>
      </c>
      <c r="D584" t="s">
        <v>208</v>
      </c>
      <c r="E584" s="68" t="n">
        <v>1091526.18415569</v>
      </c>
      <c r="F584" s="69" t="n">
        <v>169267.970678634</v>
      </c>
      <c r="G584" s="70" t="n">
        <v>1094956.84444967</v>
      </c>
      <c r="H584" s="71" t="n">
        <v>169314.834038038</v>
      </c>
      <c r="I584" s="72" t="str">
        <f>H584-F584</f>
      </c>
      <c r="J584" s="73" t="str">
        <f>G584-E584</f>
      </c>
    </row>
    <row r="585">
      <c r="A585" t="s">
        <v>203</v>
      </c>
      <c r="B585" t="s">
        <v>205</v>
      </c>
      <c r="C585" s="67" t="n">
        <v>2030</v>
      </c>
      <c r="D585" t="s">
        <v>176</v>
      </c>
      <c r="E585" s="68" t="n">
        <v>108189.856885953</v>
      </c>
      <c r="F585" s="69" t="n">
        <v>73069.2438739437</v>
      </c>
      <c r="G585" s="70" t="n">
        <v>108393.77376612</v>
      </c>
      <c r="H585" s="71" t="n">
        <v>73120.8011068864</v>
      </c>
      <c r="I585" s="72" t="str">
        <f>H585-F585</f>
      </c>
      <c r="J585" s="73" t="str">
        <f>G585-E585</f>
      </c>
    </row>
    <row r="586">
      <c r="A586" t="s">
        <v>203</v>
      </c>
      <c r="B586" t="s">
        <v>205</v>
      </c>
      <c r="C586" s="67" t="n">
        <v>2030</v>
      </c>
      <c r="D586" t="s">
        <v>180</v>
      </c>
      <c r="E586" s="68" t="n">
        <v>372183.299509542</v>
      </c>
      <c r="F586" s="69" t="n">
        <v>342607.933401959</v>
      </c>
      <c r="G586" s="70" t="n">
        <v>372741.795461264</v>
      </c>
      <c r="H586" s="71" t="n">
        <v>342889.635366394</v>
      </c>
      <c r="I586" s="72" t="str">
        <f>H586-F586</f>
      </c>
      <c r="J586" s="73" t="str">
        <f>G586-E586</f>
      </c>
    </row>
    <row r="587">
      <c r="A587" t="s">
        <v>203</v>
      </c>
      <c r="B587" t="s">
        <v>205</v>
      </c>
      <c r="C587" s="67" t="n">
        <v>2030</v>
      </c>
      <c r="D587" t="s">
        <v>183</v>
      </c>
      <c r="E587" s="68" t="n">
        <v>641521.653454348</v>
      </c>
      <c r="F587" s="69" t="n">
        <v>378751.457336747</v>
      </c>
      <c r="G587" s="70" t="n">
        <v>643154.211305628</v>
      </c>
      <c r="H587" s="71" t="n">
        <v>378940.231267445</v>
      </c>
      <c r="I587" s="72" t="str">
        <f>H587-F587</f>
      </c>
      <c r="J587" s="73" t="str">
        <f>G587-E587</f>
      </c>
    </row>
    <row r="588">
      <c r="A588" t="s">
        <v>203</v>
      </c>
      <c r="B588" t="s">
        <v>205</v>
      </c>
      <c r="C588" s="67" t="n">
        <v>2030</v>
      </c>
      <c r="D588" t="s">
        <v>186</v>
      </c>
      <c r="E588" s="68" t="n">
        <v>463757.102940471</v>
      </c>
      <c r="F588" s="69" t="n">
        <v>241233.973328087</v>
      </c>
      <c r="G588" s="70" t="n">
        <v>464360.518103772</v>
      </c>
      <c r="H588" s="71" t="n">
        <v>241310.309903655</v>
      </c>
      <c r="I588" s="72" t="str">
        <f>H588-F588</f>
      </c>
      <c r="J588" s="73" t="str">
        <f>G588-E588</f>
      </c>
    </row>
    <row r="589">
      <c r="A589" t="s">
        <v>203</v>
      </c>
      <c r="B589" t="s">
        <v>205</v>
      </c>
      <c r="C589" s="67" t="n">
        <v>2030</v>
      </c>
      <c r="D589" t="s">
        <v>366</v>
      </c>
      <c r="E589" s="68" t="n">
        <v>44647.2995885267</v>
      </c>
      <c r="F589" s="69" t="n">
        <v>7223.11053844016</v>
      </c>
      <c r="G589" s="70" t="n">
        <v>44647.268915283</v>
      </c>
      <c r="H589" s="71" t="n">
        <v>7223.11031474236</v>
      </c>
      <c r="I589" s="72" t="str">
        <f>H589-F589</f>
      </c>
      <c r="J589" s="73" t="str">
        <f>G589-E589</f>
      </c>
    </row>
    <row r="590">
      <c r="A590" t="s">
        <v>203</v>
      </c>
      <c r="B590" t="s">
        <v>205</v>
      </c>
      <c r="C590" s="67" t="n">
        <v>2031</v>
      </c>
      <c r="D590" t="s">
        <v>169</v>
      </c>
      <c r="E590" s="68" t="n">
        <v>15080.8264303594</v>
      </c>
      <c r="F590" s="69" t="n">
        <v>10955.4865853249</v>
      </c>
      <c r="G590" s="70" t="n">
        <v>15080.3825495532</v>
      </c>
      <c r="H590" s="71" t="n">
        <v>10955.4255331558</v>
      </c>
      <c r="I590" s="72" t="str">
        <f>H590-F590</f>
      </c>
      <c r="J590" s="73" t="str">
        <f>G590-E590</f>
      </c>
    </row>
    <row r="591">
      <c r="A591" t="s">
        <v>203</v>
      </c>
      <c r="B591" t="s">
        <v>205</v>
      </c>
      <c r="C591" s="67" t="n">
        <v>2031</v>
      </c>
      <c r="D591" t="s">
        <v>208</v>
      </c>
      <c r="E591" s="68" t="n">
        <v>1103586.21964829</v>
      </c>
      <c r="F591" s="69" t="n">
        <v>177439.496737404</v>
      </c>
      <c r="G591" s="70" t="n">
        <v>1107027.69162894</v>
      </c>
      <c r="H591" s="71" t="n">
        <v>177510.906196669</v>
      </c>
      <c r="I591" s="72" t="str">
        <f>H591-F591</f>
      </c>
      <c r="J591" s="73" t="str">
        <f>G591-E591</f>
      </c>
    </row>
    <row r="592">
      <c r="A592" t="s">
        <v>203</v>
      </c>
      <c r="B592" t="s">
        <v>205</v>
      </c>
      <c r="C592" s="67" t="n">
        <v>2031</v>
      </c>
      <c r="D592" t="s">
        <v>176</v>
      </c>
      <c r="E592" s="68" t="n">
        <v>111424.462941226</v>
      </c>
      <c r="F592" s="69" t="n">
        <v>75156.6215695134</v>
      </c>
      <c r="G592" s="70" t="n">
        <v>111632.947554352</v>
      </c>
      <c r="H592" s="71" t="n">
        <v>75230.219664338</v>
      </c>
      <c r="I592" s="72" t="str">
        <f>H592-F592</f>
      </c>
      <c r="J592" s="73" t="str">
        <f>G592-E592</f>
      </c>
    </row>
    <row r="593">
      <c r="A593" t="s">
        <v>203</v>
      </c>
      <c r="B593" t="s">
        <v>205</v>
      </c>
      <c r="C593" s="67" t="n">
        <v>2031</v>
      </c>
      <c r="D593" t="s">
        <v>180</v>
      </c>
      <c r="E593" s="68" t="n">
        <v>380902.335194565</v>
      </c>
      <c r="F593" s="69" t="n">
        <v>351051.949438466</v>
      </c>
      <c r="G593" s="70" t="n">
        <v>381470.266781021</v>
      </c>
      <c r="H593" s="71" t="n">
        <v>351432.518672951</v>
      </c>
      <c r="I593" s="72" t="str">
        <f>H593-F593</f>
      </c>
      <c r="J593" s="73" t="str">
        <f>G593-E593</f>
      </c>
    </row>
    <row r="594">
      <c r="A594" t="s">
        <v>203</v>
      </c>
      <c r="B594" t="s">
        <v>205</v>
      </c>
      <c r="C594" s="67" t="n">
        <v>2031</v>
      </c>
      <c r="D594" t="s">
        <v>183</v>
      </c>
      <c r="E594" s="68" t="n">
        <v>656626.578595797</v>
      </c>
      <c r="F594" s="69" t="n">
        <v>389900.582086454</v>
      </c>
      <c r="G594" s="70" t="n">
        <v>658282.149268814</v>
      </c>
      <c r="H594" s="71" t="n">
        <v>390181.003020302</v>
      </c>
      <c r="I594" s="72" t="str">
        <f>H594-F594</f>
      </c>
      <c r="J594" s="73" t="str">
        <f>G594-E594</f>
      </c>
    </row>
    <row r="595">
      <c r="A595" t="s">
        <v>203</v>
      </c>
      <c r="B595" t="s">
        <v>205</v>
      </c>
      <c r="C595" s="67" t="n">
        <v>2031</v>
      </c>
      <c r="D595" t="s">
        <v>186</v>
      </c>
      <c r="E595" s="68" t="n">
        <v>477166.176894627</v>
      </c>
      <c r="F595" s="69" t="n">
        <v>250704.190705986</v>
      </c>
      <c r="G595" s="70" t="n">
        <v>477778.146047482</v>
      </c>
      <c r="H595" s="71" t="n">
        <v>250815.782662592</v>
      </c>
      <c r="I595" s="72" t="str">
        <f>H595-F595</f>
      </c>
      <c r="J595" s="73" t="str">
        <f>G595-E595</f>
      </c>
    </row>
    <row r="596">
      <c r="A596" t="s">
        <v>203</v>
      </c>
      <c r="B596" t="s">
        <v>205</v>
      </c>
      <c r="C596" s="67" t="n">
        <v>2031</v>
      </c>
      <c r="D596" t="s">
        <v>366</v>
      </c>
      <c r="E596" s="68" t="n">
        <v>44640.4052191919</v>
      </c>
      <c r="F596" s="69" t="n">
        <v>7266.76661514884</v>
      </c>
      <c r="G596" s="70" t="n">
        <v>44640.3472954778</v>
      </c>
      <c r="H596" s="71" t="n">
        <v>7266.76600020754</v>
      </c>
      <c r="I596" s="72" t="str">
        <f>H596-F596</f>
      </c>
      <c r="J596" s="73" t="str">
        <f>G596-E596</f>
      </c>
    </row>
    <row r="597">
      <c r="A597" t="s">
        <v>203</v>
      </c>
      <c r="B597" t="s">
        <v>205</v>
      </c>
      <c r="C597" s="67" t="n">
        <v>2032</v>
      </c>
      <c r="D597" t="s">
        <v>169</v>
      </c>
      <c r="E597" s="68" t="n">
        <v>15532.0066568008</v>
      </c>
      <c r="F597" s="69" t="n">
        <v>11274.6239397786</v>
      </c>
      <c r="G597" s="70" t="n">
        <v>15531.2601955666</v>
      </c>
      <c r="H597" s="71" t="n">
        <v>11274.4954497352</v>
      </c>
      <c r="I597" s="72" t="str">
        <f>H597-F597</f>
      </c>
      <c r="J597" s="73" t="str">
        <f>G597-E597</f>
      </c>
    </row>
    <row r="598">
      <c r="A598" t="s">
        <v>203</v>
      </c>
      <c r="B598" t="s">
        <v>205</v>
      </c>
      <c r="C598" s="67" t="n">
        <v>2032</v>
      </c>
      <c r="D598" t="s">
        <v>208</v>
      </c>
      <c r="E598" s="68" t="n">
        <v>1115027.67061681</v>
      </c>
      <c r="F598" s="69" t="n">
        <v>185629.642010459</v>
      </c>
      <c r="G598" s="70" t="n">
        <v>1118477.32749824</v>
      </c>
      <c r="H598" s="71" t="n">
        <v>185725.999058801</v>
      </c>
      <c r="I598" s="72" t="str">
        <f>H598-F598</f>
      </c>
      <c r="J598" s="73" t="str">
        <f>G598-E598</f>
      </c>
    </row>
    <row r="599">
      <c r="A599" t="s">
        <v>203</v>
      </c>
      <c r="B599" t="s">
        <v>205</v>
      </c>
      <c r="C599" s="67" t="n">
        <v>2032</v>
      </c>
      <c r="D599" t="s">
        <v>176</v>
      </c>
      <c r="E599" s="68" t="n">
        <v>114622.763734304</v>
      </c>
      <c r="F599" s="69" t="n">
        <v>77261.7924921682</v>
      </c>
      <c r="G599" s="70" t="n">
        <v>114835.221802653</v>
      </c>
      <c r="H599" s="71" t="n">
        <v>77353.0610239329</v>
      </c>
      <c r="I599" s="72" t="str">
        <f>H599-F599</f>
      </c>
      <c r="J599" s="73" t="str">
        <f>G599-E599</f>
      </c>
    </row>
    <row r="600">
      <c r="A600" t="s">
        <v>203</v>
      </c>
      <c r="B600" t="s">
        <v>205</v>
      </c>
      <c r="C600" s="67" t="n">
        <v>2032</v>
      </c>
      <c r="D600" t="s">
        <v>180</v>
      </c>
      <c r="E600" s="68" t="n">
        <v>389422.20113678</v>
      </c>
      <c r="F600" s="69" t="n">
        <v>359400.916993883</v>
      </c>
      <c r="G600" s="70" t="n">
        <v>389998.376688754</v>
      </c>
      <c r="H600" s="71" t="n">
        <v>359834.546852866</v>
      </c>
      <c r="I600" s="72" t="str">
        <f>H600-F600</f>
      </c>
      <c r="J600" s="73" t="str">
        <f>G600-E600</f>
      </c>
    </row>
    <row r="601">
      <c r="A601" t="s">
        <v>203</v>
      </c>
      <c r="B601" t="s">
        <v>205</v>
      </c>
      <c r="C601" s="67" t="n">
        <v>2032</v>
      </c>
      <c r="D601" t="s">
        <v>183</v>
      </c>
      <c r="E601" s="68" t="n">
        <v>671457.580914786</v>
      </c>
      <c r="F601" s="69" t="n">
        <v>400952.847238898</v>
      </c>
      <c r="G601" s="70" t="n">
        <v>673133.888273266</v>
      </c>
      <c r="H601" s="71" t="n">
        <v>401318.286193472</v>
      </c>
      <c r="I601" s="72" t="str">
        <f>H601-F601</f>
      </c>
      <c r="J601" s="73" t="str">
        <f>G601-E601</f>
      </c>
    </row>
    <row r="602">
      <c r="A602" t="s">
        <v>203</v>
      </c>
      <c r="B602" t="s">
        <v>205</v>
      </c>
      <c r="C602" s="67" t="n">
        <v>2032</v>
      </c>
      <c r="D602" t="s">
        <v>186</v>
      </c>
      <c r="E602" s="68" t="n">
        <v>490286.526760811</v>
      </c>
      <c r="F602" s="69" t="n">
        <v>260205.39852271</v>
      </c>
      <c r="G602" s="70" t="n">
        <v>490904.70344578</v>
      </c>
      <c r="H602" s="71" t="n">
        <v>260346.937343717</v>
      </c>
      <c r="I602" s="72" t="str">
        <f>H602-F602</f>
      </c>
      <c r="J602" s="73" t="str">
        <f>G602-E602</f>
      </c>
    </row>
    <row r="603">
      <c r="A603" t="s">
        <v>203</v>
      </c>
      <c r="B603" t="s">
        <v>205</v>
      </c>
      <c r="C603" s="67" t="n">
        <v>2032</v>
      </c>
      <c r="D603" t="s">
        <v>366</v>
      </c>
      <c r="E603" s="68" t="n">
        <v>44583.3419141673</v>
      </c>
      <c r="F603" s="69" t="n">
        <v>7308.69089172427</v>
      </c>
      <c r="G603" s="70" t="n">
        <v>44583.2455015959</v>
      </c>
      <c r="H603" s="71" t="n">
        <v>7308.68956833998</v>
      </c>
      <c r="I603" s="72" t="str">
        <f>H603-F603</f>
      </c>
      <c r="J603" s="73" t="str">
        <f>G603-E603</f>
      </c>
    </row>
    <row r="604">
      <c r="A604" t="s">
        <v>203</v>
      </c>
      <c r="B604" t="s">
        <v>205</v>
      </c>
      <c r="C604" s="67" t="n">
        <v>2033</v>
      </c>
      <c r="D604" t="s">
        <v>169</v>
      </c>
      <c r="E604" s="68" t="n">
        <v>15984.835628456</v>
      </c>
      <c r="F604" s="69" t="n">
        <v>11587.1674012231</v>
      </c>
      <c r="G604" s="70" t="n">
        <v>15983.7175379286</v>
      </c>
      <c r="H604" s="71" t="n">
        <v>11586.9335708044</v>
      </c>
      <c r="I604" s="72" t="str">
        <f>H604-F604</f>
      </c>
      <c r="J604" s="73" t="str">
        <f>G604-E604</f>
      </c>
    </row>
    <row r="605">
      <c r="A605" t="s">
        <v>203</v>
      </c>
      <c r="B605" t="s">
        <v>205</v>
      </c>
      <c r="C605" s="67" t="n">
        <v>2033</v>
      </c>
      <c r="D605" t="s">
        <v>208</v>
      </c>
      <c r="E605" s="68" t="n">
        <v>1125777.89036169</v>
      </c>
      <c r="F605" s="69" t="n">
        <v>193831.609301128</v>
      </c>
      <c r="G605" s="70" t="n">
        <v>1129233.47845058</v>
      </c>
      <c r="H605" s="71" t="n">
        <v>193953.224223645</v>
      </c>
      <c r="I605" s="72" t="str">
        <f>H605-F605</f>
      </c>
      <c r="J605" s="73" t="str">
        <f>G605-E605</f>
      </c>
    </row>
    <row r="606">
      <c r="A606" t="s">
        <v>203</v>
      </c>
      <c r="B606" t="s">
        <v>205</v>
      </c>
      <c r="C606" s="67" t="n">
        <v>2033</v>
      </c>
      <c r="D606" t="s">
        <v>176</v>
      </c>
      <c r="E606" s="68" t="n">
        <v>117782.771926493</v>
      </c>
      <c r="F606" s="69" t="n">
        <v>79374.8531191035</v>
      </c>
      <c r="G606" s="70" t="n">
        <v>117998.738437442</v>
      </c>
      <c r="H606" s="71" t="n">
        <v>79480.4761690429</v>
      </c>
      <c r="I606" s="72" t="str">
        <f>H606-F606</f>
      </c>
      <c r="J606" s="73" t="str">
        <f>G606-E606</f>
      </c>
    </row>
    <row r="607">
      <c r="A607" t="s">
        <v>203</v>
      </c>
      <c r="B607" t="s">
        <v>205</v>
      </c>
      <c r="C607" s="67" t="n">
        <v>2033</v>
      </c>
      <c r="D607" t="s">
        <v>180</v>
      </c>
      <c r="E607" s="68" t="n">
        <v>397770.972920676</v>
      </c>
      <c r="F607" s="69" t="n">
        <v>367582.870277275</v>
      </c>
      <c r="G607" s="70" t="n">
        <v>398354.344992358</v>
      </c>
      <c r="H607" s="71" t="n">
        <v>368051.624575443</v>
      </c>
      <c r="I607" s="72" t="str">
        <f>H607-F607</f>
      </c>
      <c r="J607" s="73" t="str">
        <f>G607-E607</f>
      </c>
    </row>
    <row r="608">
      <c r="A608" t="s">
        <v>203</v>
      </c>
      <c r="B608" t="s">
        <v>205</v>
      </c>
      <c r="C608" s="67" t="n">
        <v>2033</v>
      </c>
      <c r="D608" t="s">
        <v>183</v>
      </c>
      <c r="E608" s="68" t="n">
        <v>685939.531206948</v>
      </c>
      <c r="F608" s="69" t="n">
        <v>411903.603348153</v>
      </c>
      <c r="G608" s="70" t="n">
        <v>687634.699546926</v>
      </c>
      <c r="H608" s="71" t="n">
        <v>412348.075678578</v>
      </c>
      <c r="I608" s="72" t="str">
        <f>H608-F608</f>
      </c>
      <c r="J608" s="73" t="str">
        <f>G608-E608</f>
      </c>
    </row>
    <row r="609">
      <c r="A609" t="s">
        <v>203</v>
      </c>
      <c r="B609" t="s">
        <v>205</v>
      </c>
      <c r="C609" s="67" t="n">
        <v>2033</v>
      </c>
      <c r="D609" t="s">
        <v>186</v>
      </c>
      <c r="E609" s="68" t="n">
        <v>503128.541138</v>
      </c>
      <c r="F609" s="69" t="n">
        <v>269715.526625698</v>
      </c>
      <c r="G609" s="70" t="n">
        <v>503751.109420694</v>
      </c>
      <c r="H609" s="71" t="n">
        <v>269883.407599987</v>
      </c>
      <c r="I609" s="72" t="str">
        <f>H609-F609</f>
      </c>
      <c r="J609" s="73" t="str">
        <f>G609-E609</f>
      </c>
    </row>
    <row r="610">
      <c r="A610" t="s">
        <v>203</v>
      </c>
      <c r="B610" t="s">
        <v>205</v>
      </c>
      <c r="C610" s="67" t="n">
        <v>2033</v>
      </c>
      <c r="D610" t="s">
        <v>366</v>
      </c>
      <c r="E610" s="68" t="n">
        <v>44483.8266490385</v>
      </c>
      <c r="F610" s="69" t="n">
        <v>7348.0765994259</v>
      </c>
      <c r="G610" s="70" t="n">
        <v>44483.6835898413</v>
      </c>
      <c r="H610" s="71" t="n">
        <v>7348.07414732206</v>
      </c>
      <c r="I610" s="72" t="str">
        <f>H610-F610</f>
      </c>
      <c r="J610" s="73" t="str">
        <f>G610-E610</f>
      </c>
    </row>
    <row r="611">
      <c r="A611" t="s">
        <v>203</v>
      </c>
      <c r="B611" t="s">
        <v>205</v>
      </c>
      <c r="C611" s="67" t="n">
        <v>2034</v>
      </c>
      <c r="D611" t="s">
        <v>169</v>
      </c>
      <c r="E611" s="68" t="n">
        <v>16438.4801339635</v>
      </c>
      <c r="F611" s="69" t="n">
        <v>11896.76059623</v>
      </c>
      <c r="G611" s="70" t="n">
        <v>16436.9312806497</v>
      </c>
      <c r="H611" s="71" t="n">
        <v>11896.3823187386</v>
      </c>
      <c r="I611" s="72" t="str">
        <f>H611-F611</f>
      </c>
      <c r="J611" s="73" t="str">
        <f>G611-E611</f>
      </c>
    </row>
    <row r="612">
      <c r="A612" t="s">
        <v>203</v>
      </c>
      <c r="B612" t="s">
        <v>205</v>
      </c>
      <c r="C612" s="67" t="n">
        <v>2034</v>
      </c>
      <c r="D612" t="s">
        <v>208</v>
      </c>
      <c r="E612" s="68" t="n">
        <v>1135898.14950227</v>
      </c>
      <c r="F612" s="69" t="n">
        <v>202000.151576263</v>
      </c>
      <c r="G612" s="70" t="n">
        <v>1139357.01951607</v>
      </c>
      <c r="H612" s="71" t="n">
        <v>202147.27044605</v>
      </c>
      <c r="I612" s="72" t="str">
        <f>H612-F612</f>
      </c>
      <c r="J612" s="73" t="str">
        <f>G612-E612</f>
      </c>
    </row>
    <row r="613">
      <c r="A613" t="s">
        <v>203</v>
      </c>
      <c r="B613" t="s">
        <v>205</v>
      </c>
      <c r="C613" s="67" t="n">
        <v>2034</v>
      </c>
      <c r="D613" t="s">
        <v>176</v>
      </c>
      <c r="E613" s="68" t="n">
        <v>120886.430987105</v>
      </c>
      <c r="F613" s="69" t="n">
        <v>81477.5367095906</v>
      </c>
      <c r="G613" s="70" t="n">
        <v>121105.471839437</v>
      </c>
      <c r="H613" s="71" t="n">
        <v>81594.9482339212</v>
      </c>
      <c r="I613" s="72" t="str">
        <f>H613-F613</f>
      </c>
      <c r="J613" s="73" t="str">
        <f>G613-E613</f>
      </c>
    </row>
    <row r="614">
      <c r="A614" t="s">
        <v>203</v>
      </c>
      <c r="B614" t="s">
        <v>205</v>
      </c>
      <c r="C614" s="67" t="n">
        <v>2034</v>
      </c>
      <c r="D614" t="s">
        <v>180</v>
      </c>
      <c r="E614" s="68" t="n">
        <v>405970.245664035</v>
      </c>
      <c r="F614" s="69" t="n">
        <v>375534.278658301</v>
      </c>
      <c r="G614" s="70" t="n">
        <v>406559.867353788</v>
      </c>
      <c r="H614" s="71" t="n">
        <v>376028.132278335</v>
      </c>
      <c r="I614" s="72" t="str">
        <f>H614-F614</f>
      </c>
      <c r="J614" s="73" t="str">
        <f>G614-E614</f>
      </c>
    </row>
    <row r="615">
      <c r="A615" t="s">
        <v>203</v>
      </c>
      <c r="B615" t="s">
        <v>205</v>
      </c>
      <c r="C615" s="67" t="n">
        <v>2034</v>
      </c>
      <c r="D615" t="s">
        <v>183</v>
      </c>
      <c r="E615" s="68" t="n">
        <v>699979.639342393</v>
      </c>
      <c r="F615" s="69" t="n">
        <v>422741.003036226</v>
      </c>
      <c r="G615" s="70" t="n">
        <v>701691.677358768</v>
      </c>
      <c r="H615" s="71" t="n">
        <v>423259.100590806</v>
      </c>
      <c r="I615" s="72" t="str">
        <f>H615-F615</f>
      </c>
      <c r="J615" s="73" t="str">
        <f>G615-E615</f>
      </c>
    </row>
    <row r="616">
      <c r="A616" t="s">
        <v>203</v>
      </c>
      <c r="B616" t="s">
        <v>205</v>
      </c>
      <c r="C616" s="67" t="n">
        <v>2034</v>
      </c>
      <c r="D616" t="s">
        <v>186</v>
      </c>
      <c r="E616" s="68" t="n">
        <v>515781.108014119</v>
      </c>
      <c r="F616" s="69" t="n">
        <v>279293.572208699</v>
      </c>
      <c r="G616" s="70" t="n">
        <v>516406.53850878</v>
      </c>
      <c r="H616" s="71" t="n">
        <v>279484.980285229</v>
      </c>
      <c r="I616" s="72" t="str">
        <f>H616-F616</f>
      </c>
      <c r="J616" s="73" t="str">
        <f>G616-E616</f>
      </c>
    </row>
    <row r="617">
      <c r="A617" t="s">
        <v>203</v>
      </c>
      <c r="B617" t="s">
        <v>205</v>
      </c>
      <c r="C617" s="67" t="n">
        <v>2034</v>
      </c>
      <c r="D617" t="s">
        <v>366</v>
      </c>
      <c r="E617" s="68" t="n">
        <v>44355.3806880776</v>
      </c>
      <c r="F617" s="69" t="n">
        <v>7385.04498429039</v>
      </c>
      <c r="G617" s="70" t="n">
        <v>44355.184450179</v>
      </c>
      <c r="H617" s="71" t="n">
        <v>7385.04094675217</v>
      </c>
      <c r="I617" s="72" t="str">
        <f>H617-F617</f>
      </c>
      <c r="J617" s="73" t="str">
        <f>G617-E617</f>
      </c>
    </row>
    <row r="618">
      <c r="A618" t="s">
        <v>203</v>
      </c>
      <c r="B618" t="s">
        <v>205</v>
      </c>
      <c r="C618" s="67" t="n">
        <v>2035</v>
      </c>
      <c r="D618" t="s">
        <v>169</v>
      </c>
      <c r="E618" s="68" t="n">
        <v>16894.2467633857</v>
      </c>
      <c r="F618" s="69" t="n">
        <v>12203.6182783561</v>
      </c>
      <c r="G618" s="70" t="n">
        <v>16892.2141390053</v>
      </c>
      <c r="H618" s="71" t="n">
        <v>12203.0577178634</v>
      </c>
      <c r="I618" s="72" t="str">
        <f>H618-F618</f>
      </c>
      <c r="J618" s="73" t="str">
        <f>G618-E618</f>
      </c>
    </row>
    <row r="619">
      <c r="A619" t="s">
        <v>203</v>
      </c>
      <c r="B619" t="s">
        <v>205</v>
      </c>
      <c r="C619" s="67" t="n">
        <v>2035</v>
      </c>
      <c r="D619" t="s">
        <v>208</v>
      </c>
      <c r="E619" s="68" t="n">
        <v>1145512.42462048</v>
      </c>
      <c r="F619" s="69" t="n">
        <v>210118.16993857</v>
      </c>
      <c r="G619" s="70" t="n">
        <v>1148972.16574985</v>
      </c>
      <c r="H619" s="71" t="n">
        <v>210290.980527925</v>
      </c>
      <c r="I619" s="72" t="str">
        <f>H619-F619</f>
      </c>
      <c r="J619" s="73" t="str">
        <f>G619-E619</f>
      </c>
    </row>
    <row r="620">
      <c r="A620" t="s">
        <v>203</v>
      </c>
      <c r="B620" t="s">
        <v>205</v>
      </c>
      <c r="C620" s="67" t="n">
        <v>2035</v>
      </c>
      <c r="D620" t="s">
        <v>176</v>
      </c>
      <c r="E620" s="68" t="n">
        <v>123926.492767835</v>
      </c>
      <c r="F620" s="69" t="n">
        <v>83567.9385180195</v>
      </c>
      <c r="G620" s="70" t="n">
        <v>124148.207195844</v>
      </c>
      <c r="H620" s="71" t="n">
        <v>83695.1178728798</v>
      </c>
      <c r="I620" s="72" t="str">
        <f>H620-F620</f>
      </c>
      <c r="J620" s="73" t="str">
        <f>G620-E620</f>
      </c>
    </row>
    <row r="621">
      <c r="A621" t="s">
        <v>203</v>
      </c>
      <c r="B621" t="s">
        <v>205</v>
      </c>
      <c r="C621" s="67" t="n">
        <v>2035</v>
      </c>
      <c r="D621" t="s">
        <v>180</v>
      </c>
      <c r="E621" s="68" t="n">
        <v>413938.291679472</v>
      </c>
      <c r="F621" s="69" t="n">
        <v>383276.07106327</v>
      </c>
      <c r="G621" s="70" t="n">
        <v>414533.160603145</v>
      </c>
      <c r="H621" s="71" t="n">
        <v>383788.762526672</v>
      </c>
      <c r="I621" s="72" t="str">
        <f>H621-F621</f>
      </c>
      <c r="J621" s="73" t="str">
        <f>G621-E621</f>
      </c>
    </row>
    <row r="622">
      <c r="A622" t="s">
        <v>203</v>
      </c>
      <c r="B622" t="s">
        <v>205</v>
      </c>
      <c r="C622" s="67" t="n">
        <v>2035</v>
      </c>
      <c r="D622" t="s">
        <v>183</v>
      </c>
      <c r="E622" s="68" t="n">
        <v>713604.701717531</v>
      </c>
      <c r="F622" s="69" t="n">
        <v>433495.165009288</v>
      </c>
      <c r="G622" s="70" t="n">
        <v>715331.788822102</v>
      </c>
      <c r="H622" s="71" t="n">
        <v>434082.031551195</v>
      </c>
      <c r="I622" s="72" t="str">
        <f>H622-F622</f>
      </c>
      <c r="J622" s="73" t="str">
        <f>G622-E622</f>
      </c>
    </row>
    <row r="623">
      <c r="A623" t="s">
        <v>203</v>
      </c>
      <c r="B623" t="s">
        <v>205</v>
      </c>
      <c r="C623" s="67" t="n">
        <v>2035</v>
      </c>
      <c r="D623" t="s">
        <v>186</v>
      </c>
      <c r="E623" s="68" t="n">
        <v>528191.538489106</v>
      </c>
      <c r="F623" s="69" t="n">
        <v>288938.239594325</v>
      </c>
      <c r="G623" s="70" t="n">
        <v>528818.371883953</v>
      </c>
      <c r="H623" s="71" t="n">
        <v>289150.802435983</v>
      </c>
      <c r="I623" s="72" t="str">
        <f>H623-F623</f>
      </c>
      <c r="J623" s="73" t="str">
        <f>G623-E623</f>
      </c>
    </row>
    <row r="624">
      <c r="A624" t="s">
        <v>203</v>
      </c>
      <c r="B624" t="s">
        <v>205</v>
      </c>
      <c r="C624" s="67" t="n">
        <v>2035</v>
      </c>
      <c r="D624" t="s">
        <v>366</v>
      </c>
      <c r="E624" s="68" t="n">
        <v>44206.9621323201</v>
      </c>
      <c r="F624" s="69" t="n">
        <v>7419.98493915222</v>
      </c>
      <c r="G624" s="70" t="n">
        <v>44206.7073067121</v>
      </c>
      <c r="H624" s="71" t="n">
        <v>7419.97885519321</v>
      </c>
      <c r="I624" s="72" t="str">
        <f>H624-F624</f>
      </c>
      <c r="J624" s="73" t="str">
        <f>G624-E624</f>
      </c>
    </row>
    <row r="625">
      <c r="A625" t="s">
        <v>203</v>
      </c>
      <c r="B625" t="s">
        <v>205</v>
      </c>
      <c r="C625" s="67" t="n">
        <v>2036</v>
      </c>
      <c r="D625" t="s">
        <v>169</v>
      </c>
      <c r="E625" s="68" t="n">
        <v>17353.2201468699</v>
      </c>
      <c r="F625" s="69" t="n">
        <v>12507.6805784598</v>
      </c>
      <c r="G625" s="70" t="n">
        <v>17350.6546269342</v>
      </c>
      <c r="H625" s="71" t="n">
        <v>12506.9021026876</v>
      </c>
      <c r="I625" s="72" t="str">
        <f>H625-F625</f>
      </c>
      <c r="J625" s="73" t="str">
        <f>G625-E625</f>
      </c>
    </row>
    <row r="626">
      <c r="A626" t="s">
        <v>203</v>
      </c>
      <c r="B626" t="s">
        <v>205</v>
      </c>
      <c r="C626" s="67" t="n">
        <v>2036</v>
      </c>
      <c r="D626" t="s">
        <v>208</v>
      </c>
      <c r="E626" s="68" t="n">
        <v>1154807.22305262</v>
      </c>
      <c r="F626" s="69" t="n">
        <v>218172.049147448</v>
      </c>
      <c r="G626" s="70" t="n">
        <v>1158266.13775829</v>
      </c>
      <c r="H626" s="71" t="n">
        <v>218370.687575925</v>
      </c>
      <c r="I626" s="72" t="str">
        <f>H626-F626</f>
      </c>
      <c r="J626" s="73" t="str">
        <f>G626-E626</f>
      </c>
    </row>
    <row r="627">
      <c r="A627" t="s">
        <v>203</v>
      </c>
      <c r="B627" t="s">
        <v>205</v>
      </c>
      <c r="C627" s="67" t="n">
        <v>2036</v>
      </c>
      <c r="D627" t="s">
        <v>176</v>
      </c>
      <c r="E627" s="68" t="n">
        <v>126914.407026261</v>
      </c>
      <c r="F627" s="69" t="n">
        <v>85630.2613282778</v>
      </c>
      <c r="G627" s="70" t="n">
        <v>127138.451085333</v>
      </c>
      <c r="H627" s="71" t="n">
        <v>85765.5647353171</v>
      </c>
      <c r="I627" s="72" t="str">
        <f>H627-F627</f>
      </c>
      <c r="J627" s="73" t="str">
        <f>G627-E627</f>
      </c>
    </row>
    <row r="628">
      <c r="A628" t="s">
        <v>203</v>
      </c>
      <c r="B628" t="s">
        <v>205</v>
      </c>
      <c r="C628" s="67" t="n">
        <v>2036</v>
      </c>
      <c r="D628" t="s">
        <v>180</v>
      </c>
      <c r="E628" s="68" t="n">
        <v>421633.536719004</v>
      </c>
      <c r="F628" s="69" t="n">
        <v>390758.77229306</v>
      </c>
      <c r="G628" s="70" t="n">
        <v>422232.659922133</v>
      </c>
      <c r="H628" s="71" t="n">
        <v>391285.955739587</v>
      </c>
      <c r="I628" s="72" t="str">
        <f>H628-F628</f>
      </c>
      <c r="J628" s="73" t="str">
        <f>G628-E628</f>
      </c>
    </row>
    <row r="629">
      <c r="A629" t="s">
        <v>203</v>
      </c>
      <c r="B629" t="s">
        <v>205</v>
      </c>
      <c r="C629" s="67" t="n">
        <v>2036</v>
      </c>
      <c r="D629" t="s">
        <v>183</v>
      </c>
      <c r="E629" s="68" t="n">
        <v>726791.252906367</v>
      </c>
      <c r="F629" s="69" t="n">
        <v>444096.745328134</v>
      </c>
      <c r="G629" s="70" t="n">
        <v>728531.610160843</v>
      </c>
      <c r="H629" s="71" t="n">
        <v>444747.907566169</v>
      </c>
      <c r="I629" s="72" t="str">
        <f>H629-F629</f>
      </c>
      <c r="J629" s="73" t="str">
        <f>G629-E629</f>
      </c>
    </row>
    <row r="630">
      <c r="A630" t="s">
        <v>203</v>
      </c>
      <c r="B630" t="s">
        <v>205</v>
      </c>
      <c r="C630" s="67" t="n">
        <v>2036</v>
      </c>
      <c r="D630" t="s">
        <v>186</v>
      </c>
      <c r="E630" s="68" t="n">
        <v>540425.314967079</v>
      </c>
      <c r="F630" s="69" t="n">
        <v>298647.96986488</v>
      </c>
      <c r="G630" s="70" t="n">
        <v>541052.28077363</v>
      </c>
      <c r="H630" s="71" t="n">
        <v>298879.611309733</v>
      </c>
      <c r="I630" s="72" t="str">
        <f>H630-F630</f>
      </c>
      <c r="J630" s="73" t="str">
        <f>G630-E630</f>
      </c>
    </row>
    <row r="631">
      <c r="A631" t="s">
        <v>203</v>
      </c>
      <c r="B631" t="s">
        <v>205</v>
      </c>
      <c r="C631" s="67" t="n">
        <v>2036</v>
      </c>
      <c r="D631" t="s">
        <v>366</v>
      </c>
      <c r="E631" s="68" t="n">
        <v>44050.3163406196</v>
      </c>
      <c r="F631" s="69" t="n">
        <v>7453.34370398725</v>
      </c>
      <c r="G631" s="70" t="n">
        <v>44049.9983782722</v>
      </c>
      <c r="H631" s="71" t="n">
        <v>7453.3351271514</v>
      </c>
      <c r="I631" s="72" t="str">
        <f>H631-F631</f>
      </c>
      <c r="J631" s="73" t="str">
        <f>G631-E631</f>
      </c>
    </row>
    <row r="632">
      <c r="A632" t="s">
        <v>203</v>
      </c>
      <c r="B632" t="s">
        <v>205</v>
      </c>
      <c r="C632" s="67" t="n">
        <v>2037</v>
      </c>
      <c r="D632" t="s">
        <v>169</v>
      </c>
      <c r="E632" s="68" t="n">
        <v>17815.6474800804</v>
      </c>
      <c r="F632" s="69" t="n">
        <v>12808.5307987666</v>
      </c>
      <c r="G632" s="70" t="n">
        <v>17812.5035281772</v>
      </c>
      <c r="H632" s="71" t="n">
        <v>12807.5012683992</v>
      </c>
      <c r="I632" s="72" t="str">
        <f>H632-F632</f>
      </c>
      <c r="J632" s="73" t="str">
        <f>G632-E632</f>
      </c>
    </row>
    <row r="633">
      <c r="A633" t="s">
        <v>203</v>
      </c>
      <c r="B633" t="s">
        <v>205</v>
      </c>
      <c r="C633" s="67" t="n">
        <v>2037</v>
      </c>
      <c r="D633" t="s">
        <v>208</v>
      </c>
      <c r="E633" s="68" t="n">
        <v>1163907.72153822</v>
      </c>
      <c r="F633" s="69" t="n">
        <v>226148.775781436</v>
      </c>
      <c r="G633" s="70" t="n">
        <v>1167364.66541375</v>
      </c>
      <c r="H633" s="71" t="n">
        <v>226373.365626062</v>
      </c>
      <c r="I633" s="72" t="str">
        <f>H633-F633</f>
      </c>
      <c r="J633" s="73" t="str">
        <f>G633-E633</f>
      </c>
    </row>
    <row r="634">
      <c r="A634" t="s">
        <v>203</v>
      </c>
      <c r="B634" t="s">
        <v>205</v>
      </c>
      <c r="C634" s="67" t="n">
        <v>2037</v>
      </c>
      <c r="D634" t="s">
        <v>176</v>
      </c>
      <c r="E634" s="68" t="n">
        <v>129866.027938778</v>
      </c>
      <c r="F634" s="69" t="n">
        <v>87643.8013580627</v>
      </c>
      <c r="G634" s="70" t="n">
        <v>130092.112965313</v>
      </c>
      <c r="H634" s="71" t="n">
        <v>87785.8739142287</v>
      </c>
      <c r="I634" s="72" t="str">
        <f>H634-F634</f>
      </c>
      <c r="J634" s="73" t="str">
        <f>G634-E634</f>
      </c>
    </row>
    <row r="635">
      <c r="A635" t="s">
        <v>203</v>
      </c>
      <c r="B635" t="s">
        <v>205</v>
      </c>
      <c r="C635" s="67" t="n">
        <v>2037</v>
      </c>
      <c r="D635" t="s">
        <v>180</v>
      </c>
      <c r="E635" s="68" t="n">
        <v>429072.205660597</v>
      </c>
      <c r="F635" s="69" t="n">
        <v>397935.311389045</v>
      </c>
      <c r="G635" s="70" t="n">
        <v>429674.679324948</v>
      </c>
      <c r="H635" s="71" t="n">
        <v>398473.813386608</v>
      </c>
      <c r="I635" s="72" t="str">
        <f>H635-F635</f>
      </c>
      <c r="J635" s="73" t="str">
        <f>G635-E635</f>
      </c>
    </row>
    <row r="636">
      <c r="A636" t="s">
        <v>203</v>
      </c>
      <c r="B636" t="s">
        <v>205</v>
      </c>
      <c r="C636" s="67" t="n">
        <v>2037</v>
      </c>
      <c r="D636" t="s">
        <v>183</v>
      </c>
      <c r="E636" s="68" t="n">
        <v>739509.531007824</v>
      </c>
      <c r="F636" s="69" t="n">
        <v>454457.143319175</v>
      </c>
      <c r="G636" s="70" t="n">
        <v>741261.427234993</v>
      </c>
      <c r="H636" s="71" t="n">
        <v>455168.184528758</v>
      </c>
      <c r="I636" s="72" t="str">
        <f>H636-F636</f>
      </c>
      <c r="J636" s="73" t="str">
        <f>G636-E636</f>
      </c>
    </row>
    <row r="637">
      <c r="A637" t="s">
        <v>203</v>
      </c>
      <c r="B637" t="s">
        <v>205</v>
      </c>
      <c r="C637" s="67" t="n">
        <v>2037</v>
      </c>
      <c r="D637" t="s">
        <v>186</v>
      </c>
      <c r="E637" s="68" t="n">
        <v>552632.417557619</v>
      </c>
      <c r="F637" s="69" t="n">
        <v>308417.167714371</v>
      </c>
      <c r="G637" s="70" t="n">
        <v>553258.517761357</v>
      </c>
      <c r="H637" s="71" t="n">
        <v>308666.043562302</v>
      </c>
      <c r="I637" s="72" t="str">
        <f>H637-F637</f>
      </c>
      <c r="J637" s="73" t="str">
        <f>G637-E637</f>
      </c>
    </row>
    <row r="638">
      <c r="A638" t="s">
        <v>203</v>
      </c>
      <c r="B638" t="s">
        <v>205</v>
      </c>
      <c r="C638" s="67" t="n">
        <v>2037</v>
      </c>
      <c r="D638" t="s">
        <v>366</v>
      </c>
      <c r="E638" s="68" t="n">
        <v>43886.8815577609</v>
      </c>
      <c r="F638" s="69" t="n">
        <v>7485.65095624212</v>
      </c>
      <c r="G638" s="70" t="n">
        <v>43886.4966397613</v>
      </c>
      <c r="H638" s="71" t="n">
        <v>7485.63945861012</v>
      </c>
      <c r="I638" s="72" t="str">
        <f>H638-F638</f>
      </c>
      <c r="J638" s="73" t="str">
        <f>G638-E638</f>
      </c>
    </row>
    <row r="639">
      <c r="A639" t="s">
        <v>203</v>
      </c>
      <c r="B639" t="s">
        <v>205</v>
      </c>
      <c r="C639" s="67" t="n">
        <v>2038</v>
      </c>
      <c r="D639" t="s">
        <v>169</v>
      </c>
      <c r="E639" s="68" t="n">
        <v>18282.3852382858</v>
      </c>
      <c r="F639" s="69" t="n">
        <v>13109.5702039983</v>
      </c>
      <c r="G639" s="70" t="n">
        <v>18278.6195315823</v>
      </c>
      <c r="H639" s="71" t="n">
        <v>13108.2586821674</v>
      </c>
      <c r="I639" s="72" t="str">
        <f>H639-F639</f>
      </c>
      <c r="J639" s="73" t="str">
        <f>G639-E639</f>
      </c>
    </row>
    <row r="640">
      <c r="A640" t="s">
        <v>203</v>
      </c>
      <c r="B640" t="s">
        <v>205</v>
      </c>
      <c r="C640" s="67" t="n">
        <v>2038</v>
      </c>
      <c r="D640" t="s">
        <v>208</v>
      </c>
      <c r="E640" s="68" t="n">
        <v>1172833.46751294</v>
      </c>
      <c r="F640" s="69" t="n">
        <v>234035.6541383</v>
      </c>
      <c r="G640" s="70" t="n">
        <v>1176286.23006217</v>
      </c>
      <c r="H640" s="71" t="n">
        <v>234286.302403295</v>
      </c>
      <c r="I640" s="72" t="str">
        <f>H640-F640</f>
      </c>
      <c r="J640" s="73" t="str">
        <f>G640-E640</f>
      </c>
    </row>
    <row r="641">
      <c r="A641" t="s">
        <v>203</v>
      </c>
      <c r="B641" t="s">
        <v>205</v>
      </c>
      <c r="C641" s="67" t="n">
        <v>2038</v>
      </c>
      <c r="D641" t="s">
        <v>176</v>
      </c>
      <c r="E641" s="68" t="n">
        <v>132776.923415362</v>
      </c>
      <c r="F641" s="69" t="n">
        <v>89615.1624477338</v>
      </c>
      <c r="G641" s="70" t="n">
        <v>133004.77137127</v>
      </c>
      <c r="H641" s="71" t="n">
        <v>89762.9085046272</v>
      </c>
      <c r="I641" s="72" t="str">
        <f>H641-F641</f>
      </c>
      <c r="J641" s="73" t="str">
        <f>G641-E641</f>
      </c>
    </row>
    <row r="642">
      <c r="A642" t="s">
        <v>203</v>
      </c>
      <c r="B642" t="s">
        <v>205</v>
      </c>
      <c r="C642" s="67" t="n">
        <v>2038</v>
      </c>
      <c r="D642" t="s">
        <v>180</v>
      </c>
      <c r="E642" s="68" t="n">
        <v>436273.379198329</v>
      </c>
      <c r="F642" s="69" t="n">
        <v>404837.513035424</v>
      </c>
      <c r="G642" s="70" t="n">
        <v>436878.359538317</v>
      </c>
      <c r="H642" s="71" t="n">
        <v>405384.957772321</v>
      </c>
      <c r="I642" s="72" t="str">
        <f>H642-F642</f>
      </c>
      <c r="J642" s="73" t="str">
        <f>G642-E642</f>
      </c>
    </row>
    <row r="643">
      <c r="A643" t="s">
        <v>203</v>
      </c>
      <c r="B643" t="s">
        <v>205</v>
      </c>
      <c r="C643" s="67" t="n">
        <v>2038</v>
      </c>
      <c r="D643" t="s">
        <v>183</v>
      </c>
      <c r="E643" s="68" t="n">
        <v>751799.12442864</v>
      </c>
      <c r="F643" s="69" t="n">
        <v>464576.305023807</v>
      </c>
      <c r="G643" s="70" t="n">
        <v>753560.822146793</v>
      </c>
      <c r="H643" s="71" t="n">
        <v>465342.91786371</v>
      </c>
      <c r="I643" s="72" t="str">
        <f>H643-F643</f>
      </c>
      <c r="J643" s="73" t="str">
        <f>G643-E643</f>
      </c>
    </row>
    <row r="644">
      <c r="A644" t="s">
        <v>203</v>
      </c>
      <c r="B644" t="s">
        <v>205</v>
      </c>
      <c r="C644" s="67" t="n">
        <v>2038</v>
      </c>
      <c r="D644" t="s">
        <v>186</v>
      </c>
      <c r="E644" s="68" t="n">
        <v>564779.535034673</v>
      </c>
      <c r="F644" s="69" t="n">
        <v>318196.615180833</v>
      </c>
      <c r="G644" s="70" t="n">
        <v>565403.758799385</v>
      </c>
      <c r="H644" s="71" t="n">
        <v>318461.022248122</v>
      </c>
      <c r="I644" s="72" t="str">
        <f>H644-F644</f>
      </c>
      <c r="J644" s="73" t="str">
        <f>G644-E644</f>
      </c>
    </row>
    <row r="645">
      <c r="A645" t="s">
        <v>203</v>
      </c>
      <c r="B645" t="s">
        <v>205</v>
      </c>
      <c r="C645" s="67" t="n">
        <v>2038</v>
      </c>
      <c r="D645" t="s">
        <v>366</v>
      </c>
      <c r="E645" s="68" t="n">
        <v>43731.2000141195</v>
      </c>
      <c r="F645" s="69" t="n">
        <v>7517.78517709087</v>
      </c>
      <c r="G645" s="70" t="n">
        <v>43730.7448506382</v>
      </c>
      <c r="H645" s="71" t="n">
        <v>7517.77035327065</v>
      </c>
      <c r="I645" s="72" t="str">
        <f>H645-F645</f>
      </c>
      <c r="J645" s="73" t="str">
        <f>G645-E645</f>
      </c>
    </row>
    <row r="646">
      <c r="A646" t="s">
        <v>203</v>
      </c>
      <c r="B646" t="s">
        <v>205</v>
      </c>
      <c r="C646" s="67" t="n">
        <v>2039</v>
      </c>
      <c r="D646" t="s">
        <v>169</v>
      </c>
      <c r="E646" s="68" t="n">
        <v>18756.5211089967</v>
      </c>
      <c r="F646" s="69" t="n">
        <v>13406.2919878577</v>
      </c>
      <c r="G646" s="70" t="n">
        <v>18752.090499403</v>
      </c>
      <c r="H646" s="71" t="n">
        <v>13404.6696202756</v>
      </c>
      <c r="I646" s="72" t="str">
        <f>H646-F646</f>
      </c>
      <c r="J646" s="73" t="str">
        <f>G646-E646</f>
      </c>
    </row>
    <row r="647">
      <c r="A647" t="s">
        <v>203</v>
      </c>
      <c r="B647" t="s">
        <v>205</v>
      </c>
      <c r="C647" s="67" t="n">
        <v>2039</v>
      </c>
      <c r="D647" t="s">
        <v>208</v>
      </c>
      <c r="E647" s="68" t="n">
        <v>1181291.71173989</v>
      </c>
      <c r="F647" s="69" t="n">
        <v>241855.404440293</v>
      </c>
      <c r="G647" s="70" t="n">
        <v>1184738.39184491</v>
      </c>
      <c r="H647" s="71" t="n">
        <v>242132.191153164</v>
      </c>
      <c r="I647" s="72" t="str">
        <f>H647-F647</f>
      </c>
      <c r="J647" s="73" t="str">
        <f>G647-E647</f>
      </c>
    </row>
    <row r="648">
      <c r="A648" t="s">
        <v>203</v>
      </c>
      <c r="B648" t="s">
        <v>205</v>
      </c>
      <c r="C648" s="67" t="n">
        <v>2039</v>
      </c>
      <c r="D648" t="s">
        <v>176</v>
      </c>
      <c r="E648" s="68" t="n">
        <v>135642.785150861</v>
      </c>
      <c r="F648" s="69" t="n">
        <v>91563.8211009912</v>
      </c>
      <c r="G648" s="70" t="n">
        <v>135872.13136763</v>
      </c>
      <c r="H648" s="71" t="n">
        <v>91716.3663536023</v>
      </c>
      <c r="I648" s="72" t="str">
        <f>H648-F648</f>
      </c>
      <c r="J648" s="73" t="str">
        <f>G648-E648</f>
      </c>
    </row>
    <row r="649">
      <c r="A649" t="s">
        <v>203</v>
      </c>
      <c r="B649" t="s">
        <v>205</v>
      </c>
      <c r="C649" s="67" t="n">
        <v>2039</v>
      </c>
      <c r="D649" t="s">
        <v>180</v>
      </c>
      <c r="E649" s="68" t="n">
        <v>443299.178150638</v>
      </c>
      <c r="F649" s="69" t="n">
        <v>411565.611995301</v>
      </c>
      <c r="G649" s="70" t="n">
        <v>443905.980748337</v>
      </c>
      <c r="H649" s="71" t="n">
        <v>412120.21350488</v>
      </c>
      <c r="I649" s="72" t="str">
        <f>H649-F649</f>
      </c>
      <c r="J649" s="73" t="str">
        <f>G649-E649</f>
      </c>
    </row>
    <row r="650">
      <c r="A650" t="s">
        <v>203</v>
      </c>
      <c r="B650" t="s">
        <v>205</v>
      </c>
      <c r="C650" s="67" t="n">
        <v>2039</v>
      </c>
      <c r="D650" t="s">
        <v>183</v>
      </c>
      <c r="E650" s="68" t="n">
        <v>763758.190734216</v>
      </c>
      <c r="F650" s="69" t="n">
        <v>474451.833506862</v>
      </c>
      <c r="G650" s="70" t="n">
        <v>765528.467838857</v>
      </c>
      <c r="H650" s="71" t="n">
        <v>475269.787528918</v>
      </c>
      <c r="I650" s="72" t="str">
        <f>H650-F650</f>
      </c>
      <c r="J650" s="73" t="str">
        <f>G650-E650</f>
      </c>
    </row>
    <row r="651">
      <c r="A651" t="s">
        <v>203</v>
      </c>
      <c r="B651" t="s">
        <v>205</v>
      </c>
      <c r="C651" s="67" t="n">
        <v>2039</v>
      </c>
      <c r="D651" t="s">
        <v>186</v>
      </c>
      <c r="E651" s="68" t="n">
        <v>576793.168506518</v>
      </c>
      <c r="F651" s="69" t="n">
        <v>327968.054984773</v>
      </c>
      <c r="G651" s="70" t="n">
        <v>577414.514396235</v>
      </c>
      <c r="H651" s="71" t="n">
        <v>328246.401276368</v>
      </c>
      <c r="I651" s="72" t="str">
        <f>H651-F651</f>
      </c>
      <c r="J651" s="73" t="str">
        <f>G651-E651</f>
      </c>
    </row>
    <row r="652">
      <c r="A652" t="s">
        <v>203</v>
      </c>
      <c r="B652" t="s">
        <v>205</v>
      </c>
      <c r="C652" s="67" t="n">
        <v>2039</v>
      </c>
      <c r="D652" t="s">
        <v>366</v>
      </c>
      <c r="E652" s="68" t="n">
        <v>43589.3738191071</v>
      </c>
      <c r="F652" s="69" t="n">
        <v>7547.57839466417</v>
      </c>
      <c r="G652" s="70" t="n">
        <v>43588.845456637</v>
      </c>
      <c r="H652" s="71" t="n">
        <v>7547.5598608641</v>
      </c>
      <c r="I652" s="72" t="str">
        <f>H652-F652</f>
      </c>
      <c r="J652" s="73" t="str">
        <f>G652-E652</f>
      </c>
    </row>
    <row r="653">
      <c r="A653" t="s">
        <v>203</v>
      </c>
      <c r="B653" t="s">
        <v>205</v>
      </c>
      <c r="C653" s="67" t="n">
        <v>2040</v>
      </c>
      <c r="D653" t="s">
        <v>169</v>
      </c>
      <c r="E653" s="68" t="n">
        <v>19240.8761169497</v>
      </c>
      <c r="F653" s="69" t="n">
        <v>13700.9333558884</v>
      </c>
      <c r="G653" s="70" t="n">
        <v>19235.7365429273</v>
      </c>
      <c r="H653" s="71" t="n">
        <v>13698.9721681132</v>
      </c>
      <c r="I653" s="72" t="str">
        <f>H653-F653</f>
      </c>
      <c r="J653" s="73" t="str">
        <f>G653-E653</f>
      </c>
    </row>
    <row r="654">
      <c r="A654" t="s">
        <v>203</v>
      </c>
      <c r="B654" t="s">
        <v>205</v>
      </c>
      <c r="C654" s="67" t="n">
        <v>2040</v>
      </c>
      <c r="D654" t="s">
        <v>208</v>
      </c>
      <c r="E654" s="68" t="n">
        <v>1189195.71003919</v>
      </c>
      <c r="F654" s="69" t="n">
        <v>249591.492071509</v>
      </c>
      <c r="G654" s="70" t="n">
        <v>1192634.43006365</v>
      </c>
      <c r="H654" s="71" t="n">
        <v>249894.478827588</v>
      </c>
      <c r="I654" s="72" t="str">
        <f>H654-F654</f>
      </c>
      <c r="J654" s="73" t="str">
        <f>G654-E654</f>
      </c>
    </row>
    <row r="655">
      <c r="A655" t="s">
        <v>203</v>
      </c>
      <c r="B655" t="s">
        <v>205</v>
      </c>
      <c r="C655" s="67" t="n">
        <v>2040</v>
      </c>
      <c r="D655" t="s">
        <v>176</v>
      </c>
      <c r="E655" s="68" t="n">
        <v>138459.209538499</v>
      </c>
      <c r="F655" s="69" t="n">
        <v>93480.2874786353</v>
      </c>
      <c r="G655" s="70" t="n">
        <v>138689.796610277</v>
      </c>
      <c r="H655" s="71" t="n">
        <v>93636.8967600593</v>
      </c>
      <c r="I655" s="72" t="str">
        <f>H655-F655</f>
      </c>
      <c r="J655" s="73" t="str">
        <f>G655-E655</f>
      </c>
    </row>
    <row r="656">
      <c r="A656" t="s">
        <v>203</v>
      </c>
      <c r="B656" t="s">
        <v>205</v>
      </c>
      <c r="C656" s="67" t="n">
        <v>2040</v>
      </c>
      <c r="D656" t="s">
        <v>180</v>
      </c>
      <c r="E656" s="68" t="n">
        <v>450233.662268798</v>
      </c>
      <c r="F656" s="69" t="n">
        <v>418060.674900862</v>
      </c>
      <c r="G656" s="70" t="n">
        <v>450841.764596063</v>
      </c>
      <c r="H656" s="71" t="n">
        <v>418620.908948174</v>
      </c>
      <c r="I656" s="72" t="str">
        <f>H656-F656</f>
      </c>
      <c r="J656" s="73" t="str">
        <f>G656-E656</f>
      </c>
    </row>
    <row r="657">
      <c r="A657" t="s">
        <v>203</v>
      </c>
      <c r="B657" t="s">
        <v>205</v>
      </c>
      <c r="C657" s="67" t="n">
        <v>2040</v>
      </c>
      <c r="D657" t="s">
        <v>183</v>
      </c>
      <c r="E657" s="68" t="n">
        <v>775310.928315296</v>
      </c>
      <c r="F657" s="69" t="n">
        <v>484081.860588576</v>
      </c>
      <c r="G657" s="70" t="n">
        <v>777088.496702091</v>
      </c>
      <c r="H657" s="71" t="n">
        <v>484947.105425179</v>
      </c>
      <c r="I657" s="72" t="str">
        <f>H657-F657</f>
      </c>
      <c r="J657" s="73" t="str">
        <f>G657-E657</f>
      </c>
    </row>
    <row r="658">
      <c r="A658" t="s">
        <v>203</v>
      </c>
      <c r="B658" t="s">
        <v>205</v>
      </c>
      <c r="C658" s="67" t="n">
        <v>2040</v>
      </c>
      <c r="D658" t="s">
        <v>186</v>
      </c>
      <c r="E658" s="68" t="n">
        <v>588742.139511933</v>
      </c>
      <c r="F658" s="69" t="n">
        <v>337748.225410538</v>
      </c>
      <c r="G658" s="70" t="n">
        <v>589359.733832842</v>
      </c>
      <c r="H658" s="71" t="n">
        <v>338039.010430446</v>
      </c>
      <c r="I658" s="72" t="str">
        <f>H658-F658</f>
      </c>
      <c r="J658" s="73" t="str">
        <f>G658-E658</f>
      </c>
    </row>
    <row r="659">
      <c r="A659" t="s">
        <v>203</v>
      </c>
      <c r="B659" t="s">
        <v>205</v>
      </c>
      <c r="C659" s="67" t="n">
        <v>2040</v>
      </c>
      <c r="D659" t="s">
        <v>366</v>
      </c>
      <c r="E659" s="68" t="n">
        <v>43465.4639404003</v>
      </c>
      <c r="F659" s="69" t="n">
        <v>7573.74816843058</v>
      </c>
      <c r="G659" s="70" t="n">
        <v>43464.8596818836</v>
      </c>
      <c r="H659" s="71" t="n">
        <v>7573.72556082699</v>
      </c>
      <c r="I659" s="72" t="str">
        <f>H659-F659</f>
      </c>
      <c r="J659" s="73" t="str">
        <f>G659-E659</f>
      </c>
    </row>
    <row r="660">
      <c r="A660" t="s">
        <v>203</v>
      </c>
      <c r="B660" t="s">
        <v>205</v>
      </c>
      <c r="C660" s="67" t="n">
        <v>2041</v>
      </c>
      <c r="D660" t="s">
        <v>169</v>
      </c>
      <c r="E660" s="68" t="n">
        <v>19733.1758623203</v>
      </c>
      <c r="F660" s="69" t="n">
        <v>13993.9344071136</v>
      </c>
      <c r="G660" s="70" t="n">
        <v>19727.283486384</v>
      </c>
      <c r="H660" s="71" t="n">
        <v>13991.6066902828</v>
      </c>
      <c r="I660" s="72" t="str">
        <f>H660-F660</f>
      </c>
      <c r="J660" s="73" t="str">
        <f>G660-E660</f>
      </c>
    </row>
    <row r="661">
      <c r="A661" t="s">
        <v>203</v>
      </c>
      <c r="B661" t="s">
        <v>205</v>
      </c>
      <c r="C661" s="67" t="n">
        <v>2041</v>
      </c>
      <c r="D661" t="s">
        <v>208</v>
      </c>
      <c r="E661" s="68" t="n">
        <v>1196558.88539346</v>
      </c>
      <c r="F661" s="69" t="n">
        <v>257269.775507477</v>
      </c>
      <c r="G661" s="70" t="n">
        <v>1199988.17586749</v>
      </c>
      <c r="H661" s="71" t="n">
        <v>257599.044002988</v>
      </c>
      <c r="I661" s="72" t="str">
        <f>H661-F661</f>
      </c>
      <c r="J661" s="73" t="str">
        <f>G661-E661</f>
      </c>
    </row>
    <row r="662">
      <c r="A662" t="s">
        <v>203</v>
      </c>
      <c r="B662" t="s">
        <v>205</v>
      </c>
      <c r="C662" s="67" t="n">
        <v>2041</v>
      </c>
      <c r="D662" t="s">
        <v>176</v>
      </c>
      <c r="E662" s="68" t="n">
        <v>141243.962009021</v>
      </c>
      <c r="F662" s="69" t="n">
        <v>95366.9416760838</v>
      </c>
      <c r="G662" s="70" t="n">
        <v>141475.570851386</v>
      </c>
      <c r="H662" s="71" t="n">
        <v>95527.0063786807</v>
      </c>
      <c r="I662" s="72" t="str">
        <f>H662-F662</f>
      </c>
      <c r="J662" s="73" t="str">
        <f>G662-E662</f>
      </c>
    </row>
    <row r="663">
      <c r="A663" t="s">
        <v>203</v>
      </c>
      <c r="B663" t="s">
        <v>205</v>
      </c>
      <c r="C663" s="67" t="n">
        <v>2041</v>
      </c>
      <c r="D663" t="s">
        <v>180</v>
      </c>
      <c r="E663" s="68" t="n">
        <v>457089.204151894</v>
      </c>
      <c r="F663" s="69" t="n">
        <v>424441.035831886</v>
      </c>
      <c r="G663" s="70" t="n">
        <v>457698.128134802</v>
      </c>
      <c r="H663" s="71" t="n">
        <v>425005.77720965</v>
      </c>
      <c r="I663" s="72" t="str">
        <f>H663-F663</f>
      </c>
      <c r="J663" s="73" t="str">
        <f>G663-E663</f>
      </c>
    </row>
    <row r="664">
      <c r="A664" t="s">
        <v>203</v>
      </c>
      <c r="B664" t="s">
        <v>205</v>
      </c>
      <c r="C664" s="67" t="n">
        <v>2041</v>
      </c>
      <c r="D664" t="s">
        <v>183</v>
      </c>
      <c r="E664" s="68" t="n">
        <v>786509.486811679</v>
      </c>
      <c r="F664" s="69" t="n">
        <v>493482.170418019</v>
      </c>
      <c r="G664" s="70" t="n">
        <v>788293.242756689</v>
      </c>
      <c r="H664" s="71" t="n">
        <v>494390.873248259</v>
      </c>
      <c r="I664" s="72" t="str">
        <f>H664-F664</f>
      </c>
      <c r="J664" s="73" t="str">
        <f>G664-E664</f>
      </c>
    </row>
    <row r="665">
      <c r="A665" t="s">
        <v>203</v>
      </c>
      <c r="B665" t="s">
        <v>205</v>
      </c>
      <c r="C665" s="67" t="n">
        <v>2041</v>
      </c>
      <c r="D665" t="s">
        <v>186</v>
      </c>
      <c r="E665" s="68" t="n">
        <v>600542.412070037</v>
      </c>
      <c r="F665" s="69" t="n">
        <v>347622.892384435</v>
      </c>
      <c r="G665" s="70" t="n">
        <v>601155.340946961</v>
      </c>
      <c r="H665" s="71" t="n">
        <v>347924.766327078</v>
      </c>
      <c r="I665" s="72" t="str">
        <f>H665-F665</f>
      </c>
      <c r="J665" s="73" t="str">
        <f>G665-E665</f>
      </c>
    </row>
    <row r="666">
      <c r="A666" t="s">
        <v>203</v>
      </c>
      <c r="B666" t="s">
        <v>205</v>
      </c>
      <c r="C666" s="67" t="n">
        <v>2041</v>
      </c>
      <c r="D666" t="s">
        <v>366</v>
      </c>
      <c r="E666" s="68" t="n">
        <v>43361.6183044044</v>
      </c>
      <c r="F666" s="69" t="n">
        <v>7596.02237639275</v>
      </c>
      <c r="G666" s="70" t="n">
        <v>43360.9356755525</v>
      </c>
      <c r="H666" s="71" t="n">
        <v>7595.99533386821</v>
      </c>
      <c r="I666" s="72" t="str">
        <f>H666-F666</f>
      </c>
      <c r="J666" s="73" t="str">
        <f>G666-E666</f>
      </c>
    </row>
    <row r="667">
      <c r="A667" t="s">
        <v>203</v>
      </c>
      <c r="B667" t="s">
        <v>205</v>
      </c>
      <c r="C667" s="67" t="n">
        <v>2042</v>
      </c>
      <c r="D667" t="s">
        <v>169</v>
      </c>
      <c r="E667" s="68" t="n">
        <v>20228.9574885484</v>
      </c>
      <c r="F667" s="69" t="n">
        <v>14287.3396095363</v>
      </c>
      <c r="G667" s="70" t="n">
        <v>20222.2683991647</v>
      </c>
      <c r="H667" s="71" t="n">
        <v>14284.6169088399</v>
      </c>
      <c r="I667" s="72" t="str">
        <f>H667-F667</f>
      </c>
      <c r="J667" s="73" t="str">
        <f>G667-E667</f>
      </c>
    </row>
    <row r="668">
      <c r="A668" t="s">
        <v>203</v>
      </c>
      <c r="B668" t="s">
        <v>205</v>
      </c>
      <c r="C668" s="67" t="n">
        <v>2042</v>
      </c>
      <c r="D668" t="s">
        <v>208</v>
      </c>
      <c r="E668" s="68" t="n">
        <v>1203381.11133451</v>
      </c>
      <c r="F668" s="69" t="n">
        <v>264933.799790903</v>
      </c>
      <c r="G668" s="70" t="n">
        <v>1206799.58929471</v>
      </c>
      <c r="H668" s="71" t="n">
        <v>265289.409116733</v>
      </c>
      <c r="I668" s="72" t="str">
        <f>H668-F668</f>
      </c>
      <c r="J668" s="73" t="str">
        <f>G668-E668</f>
      </c>
    </row>
    <row r="669">
      <c r="A669" t="s">
        <v>203</v>
      </c>
      <c r="B669" t="s">
        <v>205</v>
      </c>
      <c r="C669" s="67" t="n">
        <v>2042</v>
      </c>
      <c r="D669" t="s">
        <v>176</v>
      </c>
      <c r="E669" s="68" t="n">
        <v>144015.629771753</v>
      </c>
      <c r="F669" s="69" t="n">
        <v>97243.1233864309</v>
      </c>
      <c r="G669" s="70" t="n">
        <v>144248.066926011</v>
      </c>
      <c r="H669" s="71" t="n">
        <v>97406.1569770963</v>
      </c>
      <c r="I669" s="72" t="str">
        <f>H669-F669</f>
      </c>
      <c r="J669" s="73" t="str">
        <f>G669-E669</f>
      </c>
    </row>
    <row r="670">
      <c r="A670" t="s">
        <v>203</v>
      </c>
      <c r="B670" t="s">
        <v>205</v>
      </c>
      <c r="C670" s="67" t="n">
        <v>2042</v>
      </c>
      <c r="D670" t="s">
        <v>180</v>
      </c>
      <c r="E670" s="68" t="n">
        <v>463877.740827352</v>
      </c>
      <c r="F670" s="69" t="n">
        <v>430828.612656536</v>
      </c>
      <c r="G670" s="70" t="n">
        <v>464487.038990191</v>
      </c>
      <c r="H670" s="71" t="n">
        <v>431397.042999706</v>
      </c>
      <c r="I670" s="72" t="str">
        <f>H670-F670</f>
      </c>
      <c r="J670" s="73" t="str">
        <f>G670-E670</f>
      </c>
    </row>
    <row r="671">
      <c r="A671" t="s">
        <v>203</v>
      </c>
      <c r="B671" t="s">
        <v>205</v>
      </c>
      <c r="C671" s="67" t="n">
        <v>2042</v>
      </c>
      <c r="D671" t="s">
        <v>183</v>
      </c>
      <c r="E671" s="68" t="n">
        <v>797436.586181606</v>
      </c>
      <c r="F671" s="69" t="n">
        <v>502655.215688377</v>
      </c>
      <c r="G671" s="70" t="n">
        <v>799225.499121645</v>
      </c>
      <c r="H671" s="71" t="n">
        <v>503603.803809569</v>
      </c>
      <c r="I671" s="72" t="str">
        <f>H671-F671</f>
      </c>
      <c r="J671" s="73" t="str">
        <f>G671-E671</f>
      </c>
    </row>
    <row r="672">
      <c r="A672" t="s">
        <v>203</v>
      </c>
      <c r="B672" t="s">
        <v>205</v>
      </c>
      <c r="C672" s="67" t="n">
        <v>2042</v>
      </c>
      <c r="D672" t="s">
        <v>186</v>
      </c>
      <c r="E672" s="68" t="n">
        <v>612056.932556181</v>
      </c>
      <c r="F672" s="69" t="n">
        <v>357619.217363761</v>
      </c>
      <c r="G672" s="70" t="n">
        <v>612664.177038008</v>
      </c>
      <c r="H672" s="71" t="n">
        <v>357930.939504437</v>
      </c>
      <c r="I672" s="72" t="str">
        <f>H672-F672</f>
      </c>
      <c r="J672" s="73" t="str">
        <f>G672-E672</f>
      </c>
    </row>
    <row r="673">
      <c r="A673" t="s">
        <v>203</v>
      </c>
      <c r="B673" t="s">
        <v>205</v>
      </c>
      <c r="C673" s="67" t="n">
        <v>2042</v>
      </c>
      <c r="D673" t="s">
        <v>366</v>
      </c>
      <c r="E673" s="68" t="n">
        <v>43279.4917978566</v>
      </c>
      <c r="F673" s="69" t="n">
        <v>7616.62464846344</v>
      </c>
      <c r="G673" s="70" t="n">
        <v>43278.7284816073</v>
      </c>
      <c r="H673" s="71" t="n">
        <v>7616.59280355029</v>
      </c>
      <c r="I673" s="72" t="str">
        <f>H673-F673</f>
      </c>
      <c r="J673" s="73" t="str">
        <f>G673-E673</f>
      </c>
    </row>
    <row r="674">
      <c r="A674" t="s">
        <v>203</v>
      </c>
      <c r="B674" t="s">
        <v>205</v>
      </c>
      <c r="C674" s="67" t="n">
        <v>2043</v>
      </c>
      <c r="D674" t="s">
        <v>169</v>
      </c>
      <c r="E674" s="68" t="n">
        <v>20728.0801468496</v>
      </c>
      <c r="F674" s="69" t="n">
        <v>14576.0291241435</v>
      </c>
      <c r="G674" s="70" t="n">
        <v>20720.5482054553</v>
      </c>
      <c r="H674" s="71" t="n">
        <v>14572.8831532714</v>
      </c>
      <c r="I674" s="72" t="str">
        <f>H674-F674</f>
      </c>
      <c r="J674" s="73" t="str">
        <f>G674-E674</f>
      </c>
    </row>
    <row r="675">
      <c r="A675" t="s">
        <v>203</v>
      </c>
      <c r="B675" t="s">
        <v>205</v>
      </c>
      <c r="C675" s="67" t="n">
        <v>2043</v>
      </c>
      <c r="D675" t="s">
        <v>208</v>
      </c>
      <c r="E675" s="68" t="n">
        <v>1209642.99133191</v>
      </c>
      <c r="F675" s="69" t="n">
        <v>272568.500361647</v>
      </c>
      <c r="G675" s="70" t="n">
        <v>1213049.26096591</v>
      </c>
      <c r="H675" s="71" t="n">
        <v>272950.435419178</v>
      </c>
      <c r="I675" s="72" t="str">
        <f>H675-F675</f>
      </c>
      <c r="J675" s="73" t="str">
        <f>G675-E675</f>
      </c>
    </row>
    <row r="676">
      <c r="A676" t="s">
        <v>203</v>
      </c>
      <c r="B676" t="s">
        <v>205</v>
      </c>
      <c r="C676" s="67" t="n">
        <v>2043</v>
      </c>
      <c r="D676" t="s">
        <v>176</v>
      </c>
      <c r="E676" s="68" t="n">
        <v>146760.769141507</v>
      </c>
      <c r="F676" s="69" t="n">
        <v>99105.8143770487</v>
      </c>
      <c r="G676" s="70" t="n">
        <v>146993.814208207</v>
      </c>
      <c r="H676" s="71" t="n">
        <v>99271.3911680729</v>
      </c>
      <c r="I676" s="72" t="str">
        <f>H676-F676</f>
      </c>
      <c r="J676" s="73" t="str">
        <f>G676-E676</f>
      </c>
    </row>
    <row r="677">
      <c r="A677" t="s">
        <v>203</v>
      </c>
      <c r="B677" t="s">
        <v>205</v>
      </c>
      <c r="C677" s="67" t="n">
        <v>2043</v>
      </c>
      <c r="D677" t="s">
        <v>180</v>
      </c>
      <c r="E677" s="68" t="n">
        <v>470545.676762388</v>
      </c>
      <c r="F677" s="69" t="n">
        <v>437108.73029979</v>
      </c>
      <c r="G677" s="70" t="n">
        <v>471154.839580669</v>
      </c>
      <c r="H677" s="71" t="n">
        <v>437679.988471842</v>
      </c>
      <c r="I677" s="72" t="str">
        <f>H677-F677</f>
      </c>
      <c r="J677" s="73" t="str">
        <f>G677-E677</f>
      </c>
    </row>
    <row r="678">
      <c r="A678" t="s">
        <v>203</v>
      </c>
      <c r="B678" t="s">
        <v>205</v>
      </c>
      <c r="C678" s="67" t="n">
        <v>2043</v>
      </c>
      <c r="D678" t="s">
        <v>183</v>
      </c>
      <c r="E678" s="68" t="n">
        <v>808221.475022652</v>
      </c>
      <c r="F678" s="69" t="n">
        <v>511625.261784705</v>
      </c>
      <c r="G678" s="70" t="n">
        <v>810014.772834319</v>
      </c>
      <c r="H678" s="71" t="n">
        <v>512610.449179313</v>
      </c>
      <c r="I678" s="72" t="str">
        <f>H678-F678</f>
      </c>
      <c r="J678" s="73" t="str">
        <f>G678-E678</f>
      </c>
    </row>
    <row r="679">
      <c r="A679" t="s">
        <v>203</v>
      </c>
      <c r="B679" t="s">
        <v>205</v>
      </c>
      <c r="C679" s="67" t="n">
        <v>2043</v>
      </c>
      <c r="D679" t="s">
        <v>186</v>
      </c>
      <c r="E679" s="68" t="n">
        <v>623352.700503423</v>
      </c>
      <c r="F679" s="69" t="n">
        <v>367638.771208433</v>
      </c>
      <c r="G679" s="70" t="n">
        <v>623953.356494139</v>
      </c>
      <c r="H679" s="71" t="n">
        <v>367959.059248153</v>
      </c>
      <c r="I679" s="72" t="str">
        <f>H679-F679</f>
      </c>
      <c r="J679" s="73" t="str">
        <f>G679-E679</f>
      </c>
    </row>
    <row r="680">
      <c r="A680" t="s">
        <v>203</v>
      </c>
      <c r="B680" t="s">
        <v>205</v>
      </c>
      <c r="C680" s="67" t="n">
        <v>2043</v>
      </c>
      <c r="D680" t="s">
        <v>366</v>
      </c>
      <c r="E680" s="68" t="n">
        <v>43232.9847509194</v>
      </c>
      <c r="F680" s="69" t="n">
        <v>7634.67511836139</v>
      </c>
      <c r="G680" s="70" t="n">
        <v>43232.1385441846</v>
      </c>
      <c r="H680" s="71" t="n">
        <v>7634.63809790975</v>
      </c>
      <c r="I680" s="72" t="str">
        <f>H680-F680</f>
      </c>
      <c r="J680" s="73" t="str">
        <f>G680-E680</f>
      </c>
    </row>
    <row r="681">
      <c r="A681" t="s">
        <v>203</v>
      </c>
      <c r="B681" t="s">
        <v>205</v>
      </c>
      <c r="C681" s="67" t="n">
        <v>2044</v>
      </c>
      <c r="D681" t="s">
        <v>169</v>
      </c>
      <c r="E681" s="68" t="n">
        <v>21228.6697162045</v>
      </c>
      <c r="F681" s="69" t="n">
        <v>14865.0284532033</v>
      </c>
      <c r="G681" s="70" t="n">
        <v>21220.2473713984</v>
      </c>
      <c r="H681" s="71" t="n">
        <v>14861.4315691186</v>
      </c>
      <c r="I681" s="72" t="str">
        <f>H681-F681</f>
      </c>
      <c r="J681" s="73" t="str">
        <f>G681-E681</f>
      </c>
    </row>
    <row r="682">
      <c r="A682" t="s">
        <v>203</v>
      </c>
      <c r="B682" t="s">
        <v>205</v>
      </c>
      <c r="C682" s="67" t="n">
        <v>2044</v>
      </c>
      <c r="D682" t="s">
        <v>208</v>
      </c>
      <c r="E682" s="68" t="n">
        <v>1215594.9529332</v>
      </c>
      <c r="F682" s="69" t="n">
        <v>280098.275111585</v>
      </c>
      <c r="G682" s="70" t="n">
        <v>1218988.4670045</v>
      </c>
      <c r="H682" s="71" t="n">
        <v>280506.441535508</v>
      </c>
      <c r="I682" s="72" t="str">
        <f>H682-F682</f>
      </c>
      <c r="J682" s="73" t="str">
        <f>G682-E682</f>
      </c>
    </row>
    <row r="683">
      <c r="A683" t="s">
        <v>203</v>
      </c>
      <c r="B683" t="s">
        <v>205</v>
      </c>
      <c r="C683" s="67" t="n">
        <v>2044</v>
      </c>
      <c r="D683" t="s">
        <v>176</v>
      </c>
      <c r="E683" s="68" t="n">
        <v>149462.812360654</v>
      </c>
      <c r="F683" s="69" t="n">
        <v>100944.557074123</v>
      </c>
      <c r="G683" s="70" t="n">
        <v>149696.213967301</v>
      </c>
      <c r="H683" s="71" t="n">
        <v>101112.290089553</v>
      </c>
      <c r="I683" s="72" t="str">
        <f>H683-F683</f>
      </c>
      <c r="J683" s="73" t="str">
        <f>G683-E683</f>
      </c>
    </row>
    <row r="684">
      <c r="A684" t="s">
        <v>203</v>
      </c>
      <c r="B684" t="s">
        <v>205</v>
      </c>
      <c r="C684" s="67" t="n">
        <v>2044</v>
      </c>
      <c r="D684" t="s">
        <v>180</v>
      </c>
      <c r="E684" s="68" t="n">
        <v>476972.936004273</v>
      </c>
      <c r="F684" s="69" t="n">
        <v>443227.398416852</v>
      </c>
      <c r="G684" s="70" t="n">
        <v>477581.314836645</v>
      </c>
      <c r="H684" s="71" t="n">
        <v>443800.637197395</v>
      </c>
      <c r="I684" s="72" t="str">
        <f>H684-F684</f>
      </c>
      <c r="J684" s="73" t="str">
        <f>G684-E684</f>
      </c>
    </row>
    <row r="685">
      <c r="A685" t="s">
        <v>203</v>
      </c>
      <c r="B685" t="s">
        <v>205</v>
      </c>
      <c r="C685" s="67" t="n">
        <v>2044</v>
      </c>
      <c r="D685" t="s">
        <v>183</v>
      </c>
      <c r="E685" s="68" t="n">
        <v>818945.321119948</v>
      </c>
      <c r="F685" s="69" t="n">
        <v>520401.381567546</v>
      </c>
      <c r="G685" s="70" t="n">
        <v>820742.370121934</v>
      </c>
      <c r="H685" s="71" t="n">
        <v>521420.170330997</v>
      </c>
      <c r="I685" s="72" t="str">
        <f>H685-F685</f>
      </c>
      <c r="J685" s="73" t="str">
        <f>G685-E685</f>
      </c>
    </row>
    <row r="686">
      <c r="A686" t="s">
        <v>203</v>
      </c>
      <c r="B686" t="s">
        <v>205</v>
      </c>
      <c r="C686" s="67" t="n">
        <v>2044</v>
      </c>
      <c r="D686" t="s">
        <v>186</v>
      </c>
      <c r="E686" s="68" t="n">
        <v>634431.33128027</v>
      </c>
      <c r="F686" s="69" t="n">
        <v>377591.038790763</v>
      </c>
      <c r="G686" s="70" t="n">
        <v>635024.546467649</v>
      </c>
      <c r="H686" s="71" t="n">
        <v>377918.589898958</v>
      </c>
      <c r="I686" s="72" t="str">
        <f>H686-F686</f>
      </c>
      <c r="J686" s="73" t="str">
        <f>G686-E686</f>
      </c>
    </row>
    <row r="687">
      <c r="A687" t="s">
        <v>203</v>
      </c>
      <c r="B687" t="s">
        <v>205</v>
      </c>
      <c r="C687" s="67" t="n">
        <v>2044</v>
      </c>
      <c r="D687" t="s">
        <v>366</v>
      </c>
      <c r="E687" s="68" t="n">
        <v>43203.5611419316</v>
      </c>
      <c r="F687" s="69" t="n">
        <v>7652.76440054003</v>
      </c>
      <c r="G687" s="70" t="n">
        <v>43202.6300388595</v>
      </c>
      <c r="H687" s="71" t="n">
        <v>7652.72182573668</v>
      </c>
      <c r="I687" s="72" t="str">
        <f>H687-F687</f>
      </c>
      <c r="J687" s="73" t="str">
        <f>G687-E687</f>
      </c>
    </row>
    <row r="688">
      <c r="A688" t="s">
        <v>203</v>
      </c>
      <c r="B688" t="s">
        <v>205</v>
      </c>
      <c r="C688" s="67" t="n">
        <v>2045</v>
      </c>
      <c r="D688" t="s">
        <v>169</v>
      </c>
      <c r="E688" s="68" t="n">
        <v>21726.9756412226</v>
      </c>
      <c r="F688" s="69" t="n">
        <v>15152.3727246808</v>
      </c>
      <c r="G688" s="70" t="n">
        <v>21717.6165215297</v>
      </c>
      <c r="H688" s="71" t="n">
        <v>15148.2979562423</v>
      </c>
      <c r="I688" s="72" t="str">
        <f>H688-F688</f>
      </c>
      <c r="J688" s="73" t="str">
        <f>G688-E688</f>
      </c>
    </row>
    <row r="689">
      <c r="A689" t="s">
        <v>203</v>
      </c>
      <c r="B689" t="s">
        <v>205</v>
      </c>
      <c r="C689" s="67" t="n">
        <v>2045</v>
      </c>
      <c r="D689" t="s">
        <v>208</v>
      </c>
      <c r="E689" s="68" t="n">
        <v>1221288.51910877</v>
      </c>
      <c r="F689" s="69" t="n">
        <v>287490.843674217</v>
      </c>
      <c r="G689" s="70" t="n">
        <v>1224668.96644768</v>
      </c>
      <c r="H689" s="71" t="n">
        <v>287925.043222784</v>
      </c>
      <c r="I689" s="72" t="str">
        <f>H689-F689</f>
      </c>
      <c r="J689" s="73" t="str">
        <f>G689-E689</f>
      </c>
    </row>
    <row r="690">
      <c r="A690" t="s">
        <v>203</v>
      </c>
      <c r="B690" t="s">
        <v>205</v>
      </c>
      <c r="C690" s="67" t="n">
        <v>2045</v>
      </c>
      <c r="D690" t="s">
        <v>176</v>
      </c>
      <c r="E690" s="68" t="n">
        <v>152104.571587252</v>
      </c>
      <c r="F690" s="69" t="n">
        <v>102765.757190709</v>
      </c>
      <c r="G690" s="70" t="n">
        <v>152338.052815886</v>
      </c>
      <c r="H690" s="71" t="n">
        <v>102935.314985138</v>
      </c>
      <c r="I690" s="72" t="str">
        <f>H690-F690</f>
      </c>
      <c r="J690" s="73" t="str">
        <f>G690-E690</f>
      </c>
    </row>
    <row r="691">
      <c r="A691" t="s">
        <v>203</v>
      </c>
      <c r="B691" t="s">
        <v>205</v>
      </c>
      <c r="C691" s="67" t="n">
        <v>2045</v>
      </c>
      <c r="D691" t="s">
        <v>180</v>
      </c>
      <c r="E691" s="68" t="n">
        <v>483116.588503035</v>
      </c>
      <c r="F691" s="69" t="n">
        <v>449143.16905997</v>
      </c>
      <c r="G691" s="70" t="n">
        <v>483723.516122198</v>
      </c>
      <c r="H691" s="71" t="n">
        <v>449717.558047709</v>
      </c>
      <c r="I691" s="72" t="str">
        <f>H691-F691</f>
      </c>
      <c r="J691" s="73" t="str">
        <f>G691-E691</f>
      </c>
    </row>
    <row r="692">
      <c r="A692" t="s">
        <v>203</v>
      </c>
      <c r="B692" t="s">
        <v>205</v>
      </c>
      <c r="C692" s="67" t="n">
        <v>2045</v>
      </c>
      <c r="D692" t="s">
        <v>183</v>
      </c>
      <c r="E692" s="68" t="n">
        <v>829669.979332451</v>
      </c>
      <c r="F692" s="69" t="n">
        <v>528944.743706558</v>
      </c>
      <c r="G692" s="70" t="n">
        <v>831470.210098177</v>
      </c>
      <c r="H692" s="71" t="n">
        <v>529994.226959208</v>
      </c>
      <c r="I692" s="72" t="str">
        <f>H692-F692</f>
      </c>
      <c r="J692" s="73" t="str">
        <f>G692-E692</f>
      </c>
    </row>
    <row r="693">
      <c r="A693" t="s">
        <v>203</v>
      </c>
      <c r="B693" t="s">
        <v>205</v>
      </c>
      <c r="C693" s="67" t="n">
        <v>2045</v>
      </c>
      <c r="D693" t="s">
        <v>186</v>
      </c>
      <c r="E693" s="68" t="n">
        <v>645145.623446868</v>
      </c>
      <c r="F693" s="69" t="n">
        <v>387417.173156246</v>
      </c>
      <c r="G693" s="70" t="n">
        <v>645730.44769896</v>
      </c>
      <c r="H693" s="71" t="n">
        <v>387750.678781898</v>
      </c>
      <c r="I693" s="72" t="str">
        <f>H693-F693</f>
      </c>
      <c r="J693" s="73" t="str">
        <f>G693-E693</f>
      </c>
    </row>
    <row r="694">
      <c r="A694" t="s">
        <v>203</v>
      </c>
      <c r="B694" t="s">
        <v>205</v>
      </c>
      <c r="C694" s="67" t="n">
        <v>2045</v>
      </c>
      <c r="D694" t="s">
        <v>366</v>
      </c>
      <c r="E694" s="68" t="n">
        <v>43191.6215743104</v>
      </c>
      <c r="F694" s="69" t="n">
        <v>7672.11673754075</v>
      </c>
      <c r="G694" s="70" t="n">
        <v>43190.6037513161</v>
      </c>
      <c r="H694" s="71" t="n">
        <v>7672.06822678464</v>
      </c>
      <c r="I694" s="72" t="str">
        <f>H694-F694</f>
      </c>
      <c r="J694" s="73" t="str">
        <f>G694-E694</f>
      </c>
    </row>
    <row r="695">
      <c r="A695" t="s">
        <v>203</v>
      </c>
      <c r="B695" t="s">
        <v>205</v>
      </c>
      <c r="C695" s="67" t="n">
        <v>2046</v>
      </c>
      <c r="D695" t="s">
        <v>169</v>
      </c>
      <c r="E695" s="68" t="n">
        <v>22221.3159595894</v>
      </c>
      <c r="F695" s="69" t="n">
        <v>15441.4736698339</v>
      </c>
      <c r="G695" s="70" t="n">
        <v>22210.9745219107</v>
      </c>
      <c r="H695" s="71" t="n">
        <v>15436.8918612077</v>
      </c>
      <c r="I695" s="72" t="str">
        <f>H695-F695</f>
      </c>
      <c r="J695" s="73" t="str">
        <f>G695-E695</f>
      </c>
    </row>
    <row r="696">
      <c r="A696" t="s">
        <v>203</v>
      </c>
      <c r="B696" t="s">
        <v>205</v>
      </c>
      <c r="C696" s="67" t="n">
        <v>2046</v>
      </c>
      <c r="D696" t="s">
        <v>208</v>
      </c>
      <c r="E696" s="68" t="n">
        <v>1226757.82480397</v>
      </c>
      <c r="F696" s="69" t="n">
        <v>294705.978180828</v>
      </c>
      <c r="G696" s="70" t="n">
        <v>1230125.0687767</v>
      </c>
      <c r="H696" s="71" t="n">
        <v>295165.877208802</v>
      </c>
      <c r="I696" s="72" t="str">
        <f>H696-F696</f>
      </c>
      <c r="J696" s="73" t="str">
        <f>G696-E696</f>
      </c>
    </row>
    <row r="697">
      <c r="A697" t="s">
        <v>203</v>
      </c>
      <c r="B697" t="s">
        <v>205</v>
      </c>
      <c r="C697" s="67" t="n">
        <v>2046</v>
      </c>
      <c r="D697" t="s">
        <v>176</v>
      </c>
      <c r="E697" s="68" t="n">
        <v>154685.900418781</v>
      </c>
      <c r="F697" s="69" t="n">
        <v>104560.065675288</v>
      </c>
      <c r="G697" s="70" t="n">
        <v>154919.185199882</v>
      </c>
      <c r="H697" s="71" t="n">
        <v>104731.133984312</v>
      </c>
      <c r="I697" s="72" t="str">
        <f>H697-F697</f>
      </c>
      <c r="J697" s="73" t="str">
        <f>G697-E697</f>
      </c>
    </row>
    <row r="698">
      <c r="A698" t="s">
        <v>203</v>
      </c>
      <c r="B698" t="s">
        <v>205</v>
      </c>
      <c r="C698" s="67" t="n">
        <v>2046</v>
      </c>
      <c r="D698" t="s">
        <v>180</v>
      </c>
      <c r="E698" s="68" t="n">
        <v>488954.76574506</v>
      </c>
      <c r="F698" s="69" t="n">
        <v>454735.45642728</v>
      </c>
      <c r="G698" s="70" t="n">
        <v>489559.569488497</v>
      </c>
      <c r="H698" s="71" t="n">
        <v>455310.080020589</v>
      </c>
      <c r="I698" s="72" t="str">
        <f>H698-F698</f>
      </c>
      <c r="J698" s="73" t="str">
        <f>G698-E698</f>
      </c>
    </row>
    <row r="699">
      <c r="A699" t="s">
        <v>203</v>
      </c>
      <c r="B699" t="s">
        <v>205</v>
      </c>
      <c r="C699" s="67" t="n">
        <v>2046</v>
      </c>
      <c r="D699" t="s">
        <v>183</v>
      </c>
      <c r="E699" s="68" t="n">
        <v>840219.765884992</v>
      </c>
      <c r="F699" s="69" t="n">
        <v>537362.609620733</v>
      </c>
      <c r="G699" s="70" t="n">
        <v>842022.211146035</v>
      </c>
      <c r="H699" s="71" t="n">
        <v>538440.168228285</v>
      </c>
      <c r="I699" s="72" t="str">
        <f>H699-F699</f>
      </c>
      <c r="J699" s="73" t="str">
        <f>G699-E699</f>
      </c>
    </row>
    <row r="700">
      <c r="A700" t="s">
        <v>203</v>
      </c>
      <c r="B700" t="s">
        <v>205</v>
      </c>
      <c r="C700" s="67" t="n">
        <v>2046</v>
      </c>
      <c r="D700" t="s">
        <v>186</v>
      </c>
      <c r="E700" s="68" t="n">
        <v>655447.760539731</v>
      </c>
      <c r="F700" s="69" t="n">
        <v>397093.778608144</v>
      </c>
      <c r="G700" s="70" t="n">
        <v>656023.203848247</v>
      </c>
      <c r="H700" s="71" t="n">
        <v>397431.950602612</v>
      </c>
      <c r="I700" s="72" t="str">
        <f>H700-F700</f>
      </c>
      <c r="J700" s="73" t="str">
        <f>G700-E700</f>
      </c>
    </row>
    <row r="701">
      <c r="A701" t="s">
        <v>203</v>
      </c>
      <c r="B701" t="s">
        <v>205</v>
      </c>
      <c r="C701" s="67" t="n">
        <v>2046</v>
      </c>
      <c r="D701" t="s">
        <v>366</v>
      </c>
      <c r="E701" s="68" t="n">
        <v>43197.4167219565</v>
      </c>
      <c r="F701" s="69" t="n">
        <v>7693.61186658735</v>
      </c>
      <c r="G701" s="70" t="n">
        <v>43196.3103231123</v>
      </c>
      <c r="H701" s="71" t="n">
        <v>7693.55704865625</v>
      </c>
      <c r="I701" s="72" t="str">
        <f>H701-F701</f>
      </c>
      <c r="J701" s="73" t="str">
        <f>G701-E701</f>
      </c>
    </row>
    <row r="702">
      <c r="A702" t="s">
        <v>203</v>
      </c>
      <c r="B702" t="s">
        <v>205</v>
      </c>
      <c r="C702" s="67" t="n">
        <v>2047</v>
      </c>
      <c r="D702" t="s">
        <v>169</v>
      </c>
      <c r="E702" s="68" t="n">
        <v>22711.0314220654</v>
      </c>
      <c r="F702" s="69" t="n">
        <v>15733.6054700062</v>
      </c>
      <c r="G702" s="70" t="n">
        <v>22699.6629629007</v>
      </c>
      <c r="H702" s="71" t="n">
        <v>15728.4854947303</v>
      </c>
      <c r="I702" s="72" t="str">
        <f>H702-F702</f>
      </c>
      <c r="J702" s="73" t="str">
        <f>G702-E702</f>
      </c>
    </row>
    <row r="703">
      <c r="A703" t="s">
        <v>203</v>
      </c>
      <c r="B703" t="s">
        <v>205</v>
      </c>
      <c r="C703" s="67" t="n">
        <v>2047</v>
      </c>
      <c r="D703" t="s">
        <v>208</v>
      </c>
      <c r="E703" s="68" t="n">
        <v>1231920.93801205</v>
      </c>
      <c r="F703" s="69" t="n">
        <v>301695.362438777</v>
      </c>
      <c r="G703" s="70" t="n">
        <v>1235274.66521773</v>
      </c>
      <c r="H703" s="71" t="n">
        <v>302180.550312501</v>
      </c>
      <c r="I703" s="72" t="str">
        <f>H703-F703</f>
      </c>
      <c r="J703" s="73" t="str">
        <f>G703-E703</f>
      </c>
    </row>
    <row r="704">
      <c r="A704" t="s">
        <v>203</v>
      </c>
      <c r="B704" t="s">
        <v>205</v>
      </c>
      <c r="C704" s="67" t="n">
        <v>2047</v>
      </c>
      <c r="D704" t="s">
        <v>176</v>
      </c>
      <c r="E704" s="68" t="n">
        <v>157203.130104907</v>
      </c>
      <c r="F704" s="69" t="n">
        <v>106315.401654613</v>
      </c>
      <c r="G704" s="70" t="n">
        <v>157435.937342911</v>
      </c>
      <c r="H704" s="71" t="n">
        <v>106487.677760342</v>
      </c>
      <c r="I704" s="72" t="str">
        <f>H704-F704</f>
      </c>
      <c r="J704" s="73" t="str">
        <f>G704-E704</f>
      </c>
    </row>
    <row r="705">
      <c r="A705" t="s">
        <v>203</v>
      </c>
      <c r="B705" t="s">
        <v>205</v>
      </c>
      <c r="C705" s="67" t="n">
        <v>2047</v>
      </c>
      <c r="D705" t="s">
        <v>180</v>
      </c>
      <c r="E705" s="68" t="n">
        <v>494445.363835353</v>
      </c>
      <c r="F705" s="69" t="n">
        <v>459965.471568422</v>
      </c>
      <c r="G705" s="70" t="n">
        <v>495047.331680699</v>
      </c>
      <c r="H705" s="71" t="n">
        <v>460539.427749469</v>
      </c>
      <c r="I705" s="72" t="str">
        <f>H705-F705</f>
      </c>
      <c r="J705" s="73" t="str">
        <f>G705-E705</f>
      </c>
    </row>
    <row r="706">
      <c r="A706" t="s">
        <v>203</v>
      </c>
      <c r="B706" t="s">
        <v>205</v>
      </c>
      <c r="C706" s="67" t="n">
        <v>2047</v>
      </c>
      <c r="D706" t="s">
        <v>183</v>
      </c>
      <c r="E706" s="68" t="n">
        <v>850553.308067599</v>
      </c>
      <c r="F706" s="69" t="n">
        <v>545789.526300674</v>
      </c>
      <c r="G706" s="70" t="n">
        <v>852357.036896631</v>
      </c>
      <c r="H706" s="71" t="n">
        <v>546892.884748123</v>
      </c>
      <c r="I706" s="72" t="str">
        <f>H706-F706</f>
      </c>
      <c r="J706" s="73" t="str">
        <f>G706-E706</f>
      </c>
    </row>
    <row r="707">
      <c r="A707" t="s">
        <v>203</v>
      </c>
      <c r="B707" t="s">
        <v>205</v>
      </c>
      <c r="C707" s="67" t="n">
        <v>2047</v>
      </c>
      <c r="D707" t="s">
        <v>186</v>
      </c>
      <c r="E707" s="68" t="n">
        <v>665395.398780678</v>
      </c>
      <c r="F707" s="69" t="n">
        <v>406596.796833973</v>
      </c>
      <c r="G707" s="70" t="n">
        <v>665960.530537607</v>
      </c>
      <c r="H707" s="71" t="n">
        <v>406938.309858621</v>
      </c>
      <c r="I707" s="72" t="str">
        <f>H707-F707</f>
      </c>
      <c r="J707" s="73" t="str">
        <f>G707-E707</f>
      </c>
    </row>
    <row r="708">
      <c r="A708" t="s">
        <v>203</v>
      </c>
      <c r="B708" t="s">
        <v>205</v>
      </c>
      <c r="C708" s="67" t="n">
        <v>2047</v>
      </c>
      <c r="D708" t="s">
        <v>366</v>
      </c>
      <c r="E708" s="68" t="n">
        <v>43218.8310769219</v>
      </c>
      <c r="F708" s="69" t="n">
        <v>7716.32601631922</v>
      </c>
      <c r="G708" s="70" t="n">
        <v>43217.6341923504</v>
      </c>
      <c r="H708" s="71" t="n">
        <v>7716.26452507886</v>
      </c>
      <c r="I708" s="72" t="str">
        <f>H708-F708</f>
      </c>
      <c r="J708" s="73" t="str">
        <f>G708-E708</f>
      </c>
    </row>
    <row r="709">
      <c r="A709" t="s">
        <v>203</v>
      </c>
      <c r="B709" t="s">
        <v>205</v>
      </c>
      <c r="C709" s="67" t="n">
        <v>2048</v>
      </c>
      <c r="D709" t="s">
        <v>169</v>
      </c>
      <c r="E709" s="68" t="n">
        <v>23192.214576918</v>
      </c>
      <c r="F709" s="69" t="n">
        <v>16030.905169698</v>
      </c>
      <c r="G709" s="70" t="n">
        <v>23179.7775298232</v>
      </c>
      <c r="H709" s="71" t="n">
        <v>16025.2187605858</v>
      </c>
      <c r="I709" s="72" t="str">
        <f>H709-F709</f>
      </c>
      <c r="J709" s="73" t="str">
        <f>G709-E709</f>
      </c>
    </row>
    <row r="710">
      <c r="A710" t="s">
        <v>203</v>
      </c>
      <c r="B710" t="s">
        <v>205</v>
      </c>
      <c r="C710" s="67" t="n">
        <v>2048</v>
      </c>
      <c r="D710" t="s">
        <v>208</v>
      </c>
      <c r="E710" s="68" t="n">
        <v>1236868.87936865</v>
      </c>
      <c r="F710" s="69" t="n">
        <v>308454.24911954</v>
      </c>
      <c r="G710" s="70" t="n">
        <v>1240209.10376068</v>
      </c>
      <c r="H710" s="71" t="n">
        <v>308964.310377282</v>
      </c>
      <c r="I710" s="72" t="str">
        <f>H710-F710</f>
      </c>
      <c r="J710" s="73" t="str">
        <f>G710-E710</f>
      </c>
    </row>
    <row r="711">
      <c r="A711" t="s">
        <v>203</v>
      </c>
      <c r="B711" t="s">
        <v>205</v>
      </c>
      <c r="C711" s="67" t="n">
        <v>2048</v>
      </c>
      <c r="D711" t="s">
        <v>176</v>
      </c>
      <c r="E711" s="68" t="n">
        <v>159645.025837377</v>
      </c>
      <c r="F711" s="69" t="n">
        <v>108032.095325267</v>
      </c>
      <c r="G711" s="70" t="n">
        <v>159877.069557409</v>
      </c>
      <c r="H711" s="71" t="n">
        <v>108205.309376064</v>
      </c>
      <c r="I711" s="72" t="str">
        <f>H711-F711</f>
      </c>
      <c r="J711" s="73" t="str">
        <f>G711-E711</f>
      </c>
    </row>
    <row r="712">
      <c r="A712" t="s">
        <v>203</v>
      </c>
      <c r="B712" t="s">
        <v>205</v>
      </c>
      <c r="C712" s="67" t="n">
        <v>2048</v>
      </c>
      <c r="D712" t="s">
        <v>180</v>
      </c>
      <c r="E712" s="68" t="n">
        <v>499653.410598954</v>
      </c>
      <c r="F712" s="69" t="n">
        <v>464985.819686619</v>
      </c>
      <c r="G712" s="70" t="n">
        <v>500251.963676638</v>
      </c>
      <c r="H712" s="71" t="n">
        <v>465558.478994868</v>
      </c>
      <c r="I712" s="72" t="str">
        <f>H712-F712</f>
      </c>
      <c r="J712" s="73" t="str">
        <f>G712-E712</f>
      </c>
    </row>
    <row r="713">
      <c r="A713" t="s">
        <v>203</v>
      </c>
      <c r="B713" t="s">
        <v>205</v>
      </c>
      <c r="C713" s="67" t="n">
        <v>2048</v>
      </c>
      <c r="D713" t="s">
        <v>183</v>
      </c>
      <c r="E713" s="68" t="n">
        <v>860617.201183793</v>
      </c>
      <c r="F713" s="69" t="n">
        <v>554092.484873456</v>
      </c>
      <c r="G713" s="70" t="n">
        <v>862421.197666068</v>
      </c>
      <c r="H713" s="71" t="n">
        <v>555219.254274076</v>
      </c>
      <c r="I713" s="72" t="str">
        <f>H713-F713</f>
      </c>
      <c r="J713" s="73" t="str">
        <f>G713-E713</f>
      </c>
    </row>
    <row r="714">
      <c r="A714" t="s">
        <v>203</v>
      </c>
      <c r="B714" t="s">
        <v>205</v>
      </c>
      <c r="C714" s="67" t="n">
        <v>2048</v>
      </c>
      <c r="D714" t="s">
        <v>186</v>
      </c>
      <c r="E714" s="68" t="n">
        <v>674984.102009823</v>
      </c>
      <c r="F714" s="69" t="n">
        <v>415877.653247383</v>
      </c>
      <c r="G714" s="70" t="n">
        <v>675538.067131439</v>
      </c>
      <c r="H714" s="71" t="n">
        <v>416221.145643516</v>
      </c>
      <c r="I714" s="72" t="str">
        <f>H714-F714</f>
      </c>
      <c r="J714" s="73" t="str">
        <f>G714-E714</f>
      </c>
    </row>
    <row r="715">
      <c r="A715" t="s">
        <v>203</v>
      </c>
      <c r="B715" t="s">
        <v>205</v>
      </c>
      <c r="C715" s="67" t="n">
        <v>2048</v>
      </c>
      <c r="D715" t="s">
        <v>366</v>
      </c>
      <c r="E715" s="68" t="n">
        <v>43248.4055460474</v>
      </c>
      <c r="F715" s="69" t="n">
        <v>7741.03677392315</v>
      </c>
      <c r="G715" s="70" t="n">
        <v>43247.1165682685</v>
      </c>
      <c r="H715" s="71" t="n">
        <v>7740.96823230914</v>
      </c>
      <c r="I715" s="72" t="str">
        <f>H715-F715</f>
      </c>
      <c r="J715" s="73" t="str">
        <f>G715-E715</f>
      </c>
    </row>
    <row r="716">
      <c r="A716" t="s">
        <v>203</v>
      </c>
      <c r="B716" t="s">
        <v>205</v>
      </c>
      <c r="C716" s="67" t="n">
        <v>2049</v>
      </c>
      <c r="D716" t="s">
        <v>169</v>
      </c>
      <c r="E716" s="68" t="n">
        <v>23663.9039380115</v>
      </c>
      <c r="F716" s="69" t="n">
        <v>16328.8915562825</v>
      </c>
      <c r="G716" s="70" t="n">
        <v>23650.3614840449</v>
      </c>
      <c r="H716" s="71" t="n">
        <v>16322.61151708</v>
      </c>
      <c r="I716" s="72" t="str">
        <f>H716-F716</f>
      </c>
      <c r="J716" s="73" t="str">
        <f>G716-E716</f>
      </c>
    </row>
    <row r="717">
      <c r="A717" t="s">
        <v>203</v>
      </c>
      <c r="B717" t="s">
        <v>205</v>
      </c>
      <c r="C717" s="67" t="n">
        <v>2049</v>
      </c>
      <c r="D717" t="s">
        <v>208</v>
      </c>
      <c r="E717" s="68" t="n">
        <v>1241631.55525027</v>
      </c>
      <c r="F717" s="69" t="n">
        <v>314994.162975966</v>
      </c>
      <c r="G717" s="70" t="n">
        <v>1244958.37630862</v>
      </c>
      <c r="H717" s="71" t="n">
        <v>315528.654574656</v>
      </c>
      <c r="I717" s="72" t="str">
        <f>H717-F717</f>
      </c>
      <c r="J717" s="73" t="str">
        <f>G717-E717</f>
      </c>
    </row>
    <row r="718">
      <c r="A718" t="s">
        <v>203</v>
      </c>
      <c r="B718" t="s">
        <v>205</v>
      </c>
      <c r="C718" s="67" t="n">
        <v>2049</v>
      </c>
      <c r="D718" t="s">
        <v>176</v>
      </c>
      <c r="E718" s="68" t="n">
        <v>162007.130020136</v>
      </c>
      <c r="F718" s="69" t="n">
        <v>109708.463739336</v>
      </c>
      <c r="G718" s="70" t="n">
        <v>162238.134685625</v>
      </c>
      <c r="H718" s="71" t="n">
        <v>109882.371148655</v>
      </c>
      <c r="I718" s="72" t="str">
        <f>H718-F718</f>
      </c>
      <c r="J718" s="73" t="str">
        <f>G718-E718</f>
      </c>
    </row>
    <row r="719">
      <c r="A719" t="s">
        <v>203</v>
      </c>
      <c r="B719" t="s">
        <v>205</v>
      </c>
      <c r="C719" s="67" t="n">
        <v>2049</v>
      </c>
      <c r="D719" t="s">
        <v>180</v>
      </c>
      <c r="E719" s="68" t="n">
        <v>504621.244501088</v>
      </c>
      <c r="F719" s="69" t="n">
        <v>469813.051614149</v>
      </c>
      <c r="G719" s="70" t="n">
        <v>505215.900508139</v>
      </c>
      <c r="H719" s="71" t="n">
        <v>470383.880162835</v>
      </c>
      <c r="I719" s="72" t="str">
        <f>H719-F719</f>
      </c>
      <c r="J719" s="73" t="str">
        <f>G719-E719</f>
      </c>
    </row>
    <row r="720">
      <c r="A720" t="s">
        <v>203</v>
      </c>
      <c r="B720" t="s">
        <v>205</v>
      </c>
      <c r="C720" s="67" t="n">
        <v>2049</v>
      </c>
      <c r="D720" t="s">
        <v>183</v>
      </c>
      <c r="E720" s="68" t="n">
        <v>870236.520463285</v>
      </c>
      <c r="F720" s="69" t="n">
        <v>562190.038059398</v>
      </c>
      <c r="G720" s="70" t="n">
        <v>872039.412561908</v>
      </c>
      <c r="H720" s="71" t="n">
        <v>563337.765593671</v>
      </c>
      <c r="I720" s="72" t="str">
        <f>H720-F720</f>
      </c>
      <c r="J720" s="73" t="str">
        <f>G720-E720</f>
      </c>
    </row>
    <row r="721">
      <c r="A721" t="s">
        <v>203</v>
      </c>
      <c r="B721" t="s">
        <v>205</v>
      </c>
      <c r="C721" s="67" t="n">
        <v>2049</v>
      </c>
      <c r="D721" t="s">
        <v>186</v>
      </c>
      <c r="E721" s="68" t="n">
        <v>684257.451063498</v>
      </c>
      <c r="F721" s="69" t="n">
        <v>424867.20252217</v>
      </c>
      <c r="G721" s="70" t="n">
        <v>684799.519243418</v>
      </c>
      <c r="H721" s="71" t="n">
        <v>425211.294806661</v>
      </c>
      <c r="I721" s="72" t="str">
        <f>H721-F721</f>
      </c>
      <c r="J721" s="73" t="str">
        <f>G721-E721</f>
      </c>
    </row>
    <row r="722">
      <c r="A722" t="s">
        <v>203</v>
      </c>
      <c r="B722" t="s">
        <v>205</v>
      </c>
      <c r="C722" s="67" t="n">
        <v>2049</v>
      </c>
      <c r="D722" t="s">
        <v>366</v>
      </c>
      <c r="E722" s="68" t="n">
        <v>43289.0763499405</v>
      </c>
      <c r="F722" s="69" t="n">
        <v>7764.50103306277</v>
      </c>
      <c r="G722" s="70" t="n">
        <v>43287.6941181752</v>
      </c>
      <c r="H722" s="71" t="n">
        <v>7764.42505773382</v>
      </c>
      <c r="I722" s="72" t="str">
        <f>H722-F722</f>
      </c>
      <c r="J722" s="73" t="str">
        <f>G722-E722</f>
      </c>
    </row>
    <row r="723">
      <c r="A723" t="s">
        <v>203</v>
      </c>
      <c r="B723" t="s">
        <v>205</v>
      </c>
      <c r="C723" s="67" t="n">
        <v>2050</v>
      </c>
      <c r="D723" t="s">
        <v>169</v>
      </c>
      <c r="E723" s="68" t="n">
        <v>24125.1107892796</v>
      </c>
      <c r="F723" s="69" t="n">
        <v>16625.8225148862</v>
      </c>
      <c r="G723" s="70" t="n">
        <v>24110.4306261692</v>
      </c>
      <c r="H723" s="71" t="n">
        <v>16618.9237091261</v>
      </c>
      <c r="I723" s="72" t="str">
        <f>H723-F723</f>
      </c>
      <c r="J723" s="73" t="str">
        <f>G723-E723</f>
      </c>
    </row>
    <row r="724">
      <c r="A724" t="s">
        <v>203</v>
      </c>
      <c r="B724" t="s">
        <v>205</v>
      </c>
      <c r="C724" s="67" t="n">
        <v>2050</v>
      </c>
      <c r="D724" t="s">
        <v>208</v>
      </c>
      <c r="E724" s="68" t="n">
        <v>1246261.3010485</v>
      </c>
      <c r="F724" s="69" t="n">
        <v>321307.692343752</v>
      </c>
      <c r="G724" s="70" t="n">
        <v>1249574.98129843</v>
      </c>
      <c r="H724" s="71" t="n">
        <v>321866.145423905</v>
      </c>
      <c r="I724" s="72" t="str">
        <f>H724-F724</f>
      </c>
      <c r="J724" s="73" t="str">
        <f>G724-E724</f>
      </c>
    </row>
    <row r="725">
      <c r="A725" t="s">
        <v>203</v>
      </c>
      <c r="B725" t="s">
        <v>205</v>
      </c>
      <c r="C725" s="67" t="n">
        <v>2050</v>
      </c>
      <c r="D725" t="s">
        <v>176</v>
      </c>
      <c r="E725" s="68" t="n">
        <v>164297.2312079</v>
      </c>
      <c r="F725" s="69" t="n">
        <v>111321.915835496</v>
      </c>
      <c r="G725" s="70" t="n">
        <v>164526.94959842</v>
      </c>
      <c r="H725" s="71" t="n">
        <v>111496.260054028</v>
      </c>
      <c r="I725" s="72" t="str">
        <f>H725-F725</f>
      </c>
      <c r="J725" s="73" t="str">
        <f>G725-E725</f>
      </c>
    </row>
    <row r="726">
      <c r="A726" t="s">
        <v>203</v>
      </c>
      <c r="B726" t="s">
        <v>205</v>
      </c>
      <c r="C726" s="67" t="n">
        <v>2050</v>
      </c>
      <c r="D726" t="s">
        <v>180</v>
      </c>
      <c r="E726" s="68" t="n">
        <v>509333.507959226</v>
      </c>
      <c r="F726" s="69" t="n">
        <v>474324.902548416</v>
      </c>
      <c r="G726" s="70" t="n">
        <v>509923.794653266</v>
      </c>
      <c r="H726" s="71" t="n">
        <v>474893.254554943</v>
      </c>
      <c r="I726" s="72" t="str">
        <f>H726-F726</f>
      </c>
      <c r="J726" s="73" t="str">
        <f>G726-E726</f>
      </c>
    </row>
    <row r="727">
      <c r="A727" t="s">
        <v>203</v>
      </c>
      <c r="B727" t="s">
        <v>205</v>
      </c>
      <c r="C727" s="67" t="n">
        <v>2050</v>
      </c>
      <c r="D727" t="s">
        <v>183</v>
      </c>
      <c r="E727" s="68" t="n">
        <v>879419.668499865</v>
      </c>
      <c r="F727" s="69" t="n">
        <v>570138.613069685</v>
      </c>
      <c r="G727" s="70" t="n">
        <v>881220.210178615</v>
      </c>
      <c r="H727" s="71" t="n">
        <v>571305.130665456</v>
      </c>
      <c r="I727" s="72" t="str">
        <f>H727-F727</f>
      </c>
      <c r="J727" s="73" t="str">
        <f>G727-E727</f>
      </c>
    </row>
    <row r="728">
      <c r="A728" t="s">
        <v>203</v>
      </c>
      <c r="B728" t="s">
        <v>205</v>
      </c>
      <c r="C728" s="67" t="n">
        <v>2050</v>
      </c>
      <c r="D728" t="s">
        <v>186</v>
      </c>
      <c r="E728" s="68" t="n">
        <v>693303.765256058</v>
      </c>
      <c r="F728" s="69" t="n">
        <v>433584.725463764</v>
      </c>
      <c r="G728" s="70" t="n">
        <v>693833.375810026</v>
      </c>
      <c r="H728" s="71" t="n">
        <v>433928.116842437</v>
      </c>
      <c r="I728" s="72" t="str">
        <f>H728-F728</f>
      </c>
      <c r="J728" s="73" t="str">
        <f>G728-E728</f>
      </c>
    </row>
    <row r="729">
      <c r="A729" t="s">
        <v>203</v>
      </c>
      <c r="B729" t="s">
        <v>205</v>
      </c>
      <c r="C729" s="67" t="n">
        <v>2050</v>
      </c>
      <c r="D729" t="s">
        <v>366</v>
      </c>
      <c r="E729" s="68" t="n">
        <v>43338.8103480166</v>
      </c>
      <c r="F729" s="69" t="n">
        <v>7785.67630111771</v>
      </c>
      <c r="G729" s="70" t="n">
        <v>43337.3340718481</v>
      </c>
      <c r="H729" s="71" t="n">
        <v>7785.59251624651</v>
      </c>
      <c r="I729" s="72" t="str">
        <f>H729-F729</f>
      </c>
      <c r="J729" s="73" t="str">
        <f>G729-E729</f>
      </c>
    </row>
    <row r="730">
      <c r="A730" t="s">
        <v>214</v>
      </c>
      <c r="B730" t="s">
        <v>216</v>
      </c>
      <c r="C730" s="67" t="n">
        <v>2025</v>
      </c>
      <c r="D730" t="s">
        <v>169</v>
      </c>
      <c r="E730" s="68" t="n">
        <v>12347.3896757033</v>
      </c>
      <c r="F730" s="69" t="n">
        <v>8975.30849722876</v>
      </c>
      <c r="G730" s="70" t="n">
        <v>12347.3896757033</v>
      </c>
      <c r="H730" s="71" t="n">
        <v>8975.30849722876</v>
      </c>
      <c r="I730" s="72" t="str">
        <f>H730-F730</f>
      </c>
      <c r="J730" s="73" t="str">
        <f>G730-E730</f>
      </c>
    </row>
    <row r="731">
      <c r="A731" t="s">
        <v>214</v>
      </c>
      <c r="B731" t="s">
        <v>216</v>
      </c>
      <c r="C731" s="67" t="n">
        <v>2025</v>
      </c>
      <c r="D731" t="s">
        <v>208</v>
      </c>
      <c r="E731" s="68" t="n">
        <v>1026043.97207164</v>
      </c>
      <c r="F731" s="69" t="n">
        <v>129403.022830672</v>
      </c>
      <c r="G731" s="70" t="n">
        <v>1026043.97207164</v>
      </c>
      <c r="H731" s="71" t="n">
        <v>129403.022830672</v>
      </c>
      <c r="I731" s="72" t="str">
        <f>H731-F731</f>
      </c>
      <c r="J731" s="73" t="str">
        <f>G731-E731</f>
      </c>
    </row>
    <row r="732">
      <c r="A732" t="s">
        <v>214</v>
      </c>
      <c r="B732" t="s">
        <v>216</v>
      </c>
      <c r="C732" s="67" t="n">
        <v>2025</v>
      </c>
      <c r="D732" t="s">
        <v>176</v>
      </c>
      <c r="E732" s="68" t="n">
        <v>91684.5090142746</v>
      </c>
      <c r="F732" s="69" t="n">
        <v>63318.7518252021</v>
      </c>
      <c r="G732" s="70" t="n">
        <v>91684.5090142746</v>
      </c>
      <c r="H732" s="71" t="n">
        <v>63318.7518252021</v>
      </c>
      <c r="I732" s="72" t="str">
        <f>H732-F732</f>
      </c>
      <c r="J732" s="73" t="str">
        <f>G732-E732</f>
      </c>
    </row>
    <row r="733">
      <c r="A733" t="s">
        <v>214</v>
      </c>
      <c r="B733" t="s">
        <v>216</v>
      </c>
      <c r="C733" s="67" t="n">
        <v>2025</v>
      </c>
      <c r="D733" t="s">
        <v>180</v>
      </c>
      <c r="E733" s="68" t="n">
        <v>327817.992111529</v>
      </c>
      <c r="F733" s="69" t="n">
        <v>300216.82861998</v>
      </c>
      <c r="G733" s="70" t="n">
        <v>327817.992111529</v>
      </c>
      <c r="H733" s="71" t="n">
        <v>300216.82861998</v>
      </c>
      <c r="I733" s="72" t="str">
        <f>H733-F733</f>
      </c>
      <c r="J733" s="73" t="str">
        <f>G733-E733</f>
      </c>
    </row>
    <row r="734">
      <c r="A734" t="s">
        <v>214</v>
      </c>
      <c r="B734" t="s">
        <v>216</v>
      </c>
      <c r="C734" s="67" t="n">
        <v>2025</v>
      </c>
      <c r="D734" t="s">
        <v>183</v>
      </c>
      <c r="E734" s="68" t="n">
        <v>563964.128928848</v>
      </c>
      <c r="F734" s="69" t="n">
        <v>321188.162987932</v>
      </c>
      <c r="G734" s="70" t="n">
        <v>563964.128928848</v>
      </c>
      <c r="H734" s="71" t="n">
        <v>321188.162987932</v>
      </c>
      <c r="I734" s="72" t="str">
        <f>H734-F734</f>
      </c>
      <c r="J734" s="73" t="str">
        <f>G734-E734</f>
      </c>
    </row>
    <row r="735">
      <c r="A735" t="s">
        <v>214</v>
      </c>
      <c r="B735" t="s">
        <v>216</v>
      </c>
      <c r="C735" s="67" t="n">
        <v>2025</v>
      </c>
      <c r="D735" t="s">
        <v>186</v>
      </c>
      <c r="E735" s="68" t="n">
        <v>396205.912797568</v>
      </c>
      <c r="F735" s="69" t="n">
        <v>191954.713579597</v>
      </c>
      <c r="G735" s="70" t="n">
        <v>396205.912797568</v>
      </c>
      <c r="H735" s="71" t="n">
        <v>191954.713579597</v>
      </c>
      <c r="I735" s="72" t="str">
        <f>H735-F735</f>
      </c>
      <c r="J735" s="73" t="str">
        <f>G735-E735</f>
      </c>
    </row>
    <row r="736">
      <c r="A736" t="s">
        <v>214</v>
      </c>
      <c r="B736" t="s">
        <v>216</v>
      </c>
      <c r="C736" s="67" t="n">
        <v>2025</v>
      </c>
      <c r="D736" t="s">
        <v>366</v>
      </c>
      <c r="E736" s="68" t="n">
        <v>44024.8557845561</v>
      </c>
      <c r="F736" s="69" t="n">
        <v>6961.02866951274</v>
      </c>
      <c r="G736" s="70" t="n">
        <v>44024.8557845561</v>
      </c>
      <c r="H736" s="71" t="n">
        <v>6961.02866951274</v>
      </c>
      <c r="I736" s="72" t="str">
        <f>H736-F736</f>
      </c>
      <c r="J736" s="73" t="str">
        <f>G736-E736</f>
      </c>
    </row>
    <row r="737">
      <c r="A737" t="s">
        <v>214</v>
      </c>
      <c r="B737" t="s">
        <v>216</v>
      </c>
      <c r="C737" s="67" t="n">
        <v>2026</v>
      </c>
      <c r="D737" t="s">
        <v>169</v>
      </c>
      <c r="E737" s="68" t="n">
        <v>12812.507871628</v>
      </c>
      <c r="F737" s="69" t="n">
        <v>9308.26420910955</v>
      </c>
      <c r="G737" s="70" t="n">
        <v>12812.507871628</v>
      </c>
      <c r="H737" s="71" t="n">
        <v>9308.26420910955</v>
      </c>
      <c r="I737" s="72" t="str">
        <f>H737-F737</f>
      </c>
      <c r="J737" s="73" t="str">
        <f>G737-E737</f>
      </c>
    </row>
    <row r="738">
      <c r="A738" t="s">
        <v>214</v>
      </c>
      <c r="B738" t="s">
        <v>216</v>
      </c>
      <c r="C738" s="67" t="n">
        <v>2026</v>
      </c>
      <c r="D738" t="s">
        <v>208</v>
      </c>
      <c r="E738" s="68" t="n">
        <v>1040956.74283153</v>
      </c>
      <c r="F738" s="69" t="n">
        <v>137191.896136923</v>
      </c>
      <c r="G738" s="70" t="n">
        <v>1040956.74283153</v>
      </c>
      <c r="H738" s="71" t="n">
        <v>137191.896136923</v>
      </c>
      <c r="I738" s="72" t="str">
        <f>H738-F738</f>
      </c>
      <c r="J738" s="73" t="str">
        <f>G738-E738</f>
      </c>
    </row>
    <row r="739">
      <c r="A739" t="s">
        <v>214</v>
      </c>
      <c r="B739" t="s">
        <v>216</v>
      </c>
      <c r="C739" s="67" t="n">
        <v>2026</v>
      </c>
      <c r="D739" t="s">
        <v>176</v>
      </c>
      <c r="E739" s="68" t="n">
        <v>95077.1833035265</v>
      </c>
      <c r="F739" s="69" t="n">
        <v>65164.4704134017</v>
      </c>
      <c r="G739" s="70" t="n">
        <v>95077.1833035265</v>
      </c>
      <c r="H739" s="71" t="n">
        <v>65164.4704134017</v>
      </c>
      <c r="I739" s="72" t="str">
        <f>H739-F739</f>
      </c>
      <c r="J739" s="73" t="str">
        <f>G739-E739</f>
      </c>
    </row>
    <row r="740">
      <c r="A740" t="s">
        <v>214</v>
      </c>
      <c r="B740" t="s">
        <v>216</v>
      </c>
      <c r="C740" s="67" t="n">
        <v>2026</v>
      </c>
      <c r="D740" t="s">
        <v>180</v>
      </c>
      <c r="E740" s="68" t="n">
        <v>336875.423495605</v>
      </c>
      <c r="F740" s="69" t="n">
        <v>308606.943045308</v>
      </c>
      <c r="G740" s="70" t="n">
        <v>336875.423495605</v>
      </c>
      <c r="H740" s="71" t="n">
        <v>308606.943045308</v>
      </c>
      <c r="I740" s="72" t="str">
        <f>H740-F740</f>
      </c>
      <c r="J740" s="73" t="str">
        <f>G740-E740</f>
      </c>
    </row>
    <row r="741">
      <c r="A741" t="s">
        <v>214</v>
      </c>
      <c r="B741" t="s">
        <v>216</v>
      </c>
      <c r="C741" s="67" t="n">
        <v>2026</v>
      </c>
      <c r="D741" t="s">
        <v>183</v>
      </c>
      <c r="E741" s="68" t="n">
        <v>580111.541957649</v>
      </c>
      <c r="F741" s="69" t="n">
        <v>332896.185768311</v>
      </c>
      <c r="G741" s="70" t="n">
        <v>580111.541957649</v>
      </c>
      <c r="H741" s="71" t="n">
        <v>332896.185768311</v>
      </c>
      <c r="I741" s="72" t="str">
        <f>H741-F741</f>
      </c>
      <c r="J741" s="73" t="str">
        <f>G741-E741</f>
      </c>
    </row>
    <row r="742">
      <c r="A742" t="s">
        <v>214</v>
      </c>
      <c r="B742" t="s">
        <v>216</v>
      </c>
      <c r="C742" s="67" t="n">
        <v>2026</v>
      </c>
      <c r="D742" t="s">
        <v>186</v>
      </c>
      <c r="E742" s="68" t="n">
        <v>409829.87281699</v>
      </c>
      <c r="F742" s="69" t="n">
        <v>202008.199783237</v>
      </c>
      <c r="G742" s="70" t="n">
        <v>409829.87281699</v>
      </c>
      <c r="H742" s="71" t="n">
        <v>202008.199783237</v>
      </c>
      <c r="I742" s="72" t="str">
        <f>H742-F742</f>
      </c>
      <c r="J742" s="73" t="str">
        <f>G742-E742</f>
      </c>
    </row>
    <row r="743">
      <c r="A743" t="s">
        <v>214</v>
      </c>
      <c r="B743" t="s">
        <v>216</v>
      </c>
      <c r="C743" s="67" t="n">
        <v>2026</v>
      </c>
      <c r="D743" t="s">
        <v>366</v>
      </c>
      <c r="E743" s="68" t="n">
        <v>44219.1707517653</v>
      </c>
      <c r="F743" s="69" t="n">
        <v>7023.77126872287</v>
      </c>
      <c r="G743" s="70" t="n">
        <v>44219.1707517653</v>
      </c>
      <c r="H743" s="71" t="n">
        <v>7023.77126872287</v>
      </c>
      <c r="I743" s="72" t="str">
        <f>H743-F743</f>
      </c>
      <c r="J743" s="73" t="str">
        <f>G743-E743</f>
      </c>
    </row>
    <row r="744">
      <c r="A744" t="s">
        <v>214</v>
      </c>
      <c r="B744" t="s">
        <v>216</v>
      </c>
      <c r="C744" s="67" t="n">
        <v>2027</v>
      </c>
      <c r="D744" t="s">
        <v>169</v>
      </c>
      <c r="E744" s="68" t="n">
        <v>13273.481772584</v>
      </c>
      <c r="F744" s="69" t="n">
        <v>9640.71530777017</v>
      </c>
      <c r="G744" s="70" t="n">
        <v>13273.481772584</v>
      </c>
      <c r="H744" s="71" t="n">
        <v>9640.71530777017</v>
      </c>
      <c r="I744" s="72" t="str">
        <f>H744-F744</f>
      </c>
      <c r="J744" s="73" t="str">
        <f>G744-E744</f>
      </c>
    </row>
    <row r="745">
      <c r="A745" t="s">
        <v>214</v>
      </c>
      <c r="B745" t="s">
        <v>216</v>
      </c>
      <c r="C745" s="67" t="n">
        <v>2027</v>
      </c>
      <c r="D745" t="s">
        <v>208</v>
      </c>
      <c r="E745" s="68" t="n">
        <v>1053988.9023648</v>
      </c>
      <c r="F745" s="69" t="n">
        <v>145087.130776418</v>
      </c>
      <c r="G745" s="70" t="n">
        <v>1055255.40879996</v>
      </c>
      <c r="H745" s="71" t="n">
        <v>145087.130776418</v>
      </c>
      <c r="I745" s="72" t="str">
        <f>H745-F745</f>
      </c>
      <c r="J745" s="73" t="str">
        <f>G745-E745</f>
      </c>
    </row>
    <row r="746">
      <c r="A746" t="s">
        <v>214</v>
      </c>
      <c r="B746" t="s">
        <v>216</v>
      </c>
      <c r="C746" s="67" t="n">
        <v>2027</v>
      </c>
      <c r="D746" t="s">
        <v>176</v>
      </c>
      <c r="E746" s="68" t="n">
        <v>98448.8278839669</v>
      </c>
      <c r="F746" s="69" t="n">
        <v>67068.0169086102</v>
      </c>
      <c r="G746" s="70" t="n">
        <v>98448.8278839669</v>
      </c>
      <c r="H746" s="71" t="n">
        <v>67068.0169086102</v>
      </c>
      <c r="I746" s="72" t="str">
        <f>H746-F746</f>
      </c>
      <c r="J746" s="73" t="str">
        <f>G746-E746</f>
      </c>
    </row>
    <row r="747">
      <c r="A747" t="s">
        <v>214</v>
      </c>
      <c r="B747" t="s">
        <v>216</v>
      </c>
      <c r="C747" s="67" t="n">
        <v>2027</v>
      </c>
      <c r="D747" t="s">
        <v>180</v>
      </c>
      <c r="E747" s="68" t="n">
        <v>345707.570564463</v>
      </c>
      <c r="F747" s="69" t="n">
        <v>317119.553552555</v>
      </c>
      <c r="G747" s="70" t="n">
        <v>345936.706716403</v>
      </c>
      <c r="H747" s="71" t="n">
        <v>317119.553552555</v>
      </c>
      <c r="I747" s="72" t="str">
        <f>H747-F747</f>
      </c>
      <c r="J747" s="73" t="str">
        <f>G747-E747</f>
      </c>
    </row>
    <row r="748">
      <c r="A748" t="s">
        <v>214</v>
      </c>
      <c r="B748" t="s">
        <v>216</v>
      </c>
      <c r="C748" s="67" t="n">
        <v>2027</v>
      </c>
      <c r="D748" t="s">
        <v>183</v>
      </c>
      <c r="E748" s="68" t="n">
        <v>595030.061177555</v>
      </c>
      <c r="F748" s="69" t="n">
        <v>344517.274659827</v>
      </c>
      <c r="G748" s="70" t="n">
        <v>596148.832334676</v>
      </c>
      <c r="H748" s="71" t="n">
        <v>344517.274659827</v>
      </c>
      <c r="I748" s="72" t="str">
        <f>H748-F748</f>
      </c>
      <c r="J748" s="73" t="str">
        <f>G748-E748</f>
      </c>
    </row>
    <row r="749">
      <c r="A749" t="s">
        <v>214</v>
      </c>
      <c r="B749" t="s">
        <v>216</v>
      </c>
      <c r="C749" s="67" t="n">
        <v>2027</v>
      </c>
      <c r="D749" t="s">
        <v>186</v>
      </c>
      <c r="E749" s="68" t="n">
        <v>422953.443122953</v>
      </c>
      <c r="F749" s="69" t="n">
        <v>211995.488024171</v>
      </c>
      <c r="G749" s="70" t="n">
        <v>423485.101321999</v>
      </c>
      <c r="H749" s="71" t="n">
        <v>211995.488024171</v>
      </c>
      <c r="I749" s="72" t="str">
        <f>H749-F749</f>
      </c>
      <c r="J749" s="73" t="str">
        <f>G749-E749</f>
      </c>
    </row>
    <row r="750">
      <c r="A750" t="s">
        <v>214</v>
      </c>
      <c r="B750" t="s">
        <v>216</v>
      </c>
      <c r="C750" s="67" t="n">
        <v>2027</v>
      </c>
      <c r="D750" t="s">
        <v>366</v>
      </c>
      <c r="E750" s="68" t="n">
        <v>44384.2018393689</v>
      </c>
      <c r="F750" s="69" t="n">
        <v>7080.05700568168</v>
      </c>
      <c r="G750" s="70" t="n">
        <v>44384.2018393689</v>
      </c>
      <c r="H750" s="71" t="n">
        <v>7080.05700568168</v>
      </c>
      <c r="I750" s="72" t="str">
        <f>H750-F750</f>
      </c>
      <c r="J750" s="73" t="str">
        <f>G750-E750</f>
      </c>
    </row>
    <row r="751">
      <c r="A751" t="s">
        <v>214</v>
      </c>
      <c r="B751" t="s">
        <v>216</v>
      </c>
      <c r="C751" s="67" t="n">
        <v>2028</v>
      </c>
      <c r="D751" t="s">
        <v>169</v>
      </c>
      <c r="E751" s="68" t="n">
        <v>13729.5005000864</v>
      </c>
      <c r="F751" s="69" t="n">
        <v>9971.45472163389</v>
      </c>
      <c r="G751" s="70" t="n">
        <v>13729.5005000864</v>
      </c>
      <c r="H751" s="71" t="n">
        <v>9971.45472163389</v>
      </c>
      <c r="I751" s="72" t="str">
        <f>H751-F751</f>
      </c>
      <c r="J751" s="73" t="str">
        <f>G751-E751</f>
      </c>
    </row>
    <row r="752">
      <c r="A752" t="s">
        <v>214</v>
      </c>
      <c r="B752" t="s">
        <v>216</v>
      </c>
      <c r="C752" s="67" t="n">
        <v>2028</v>
      </c>
      <c r="D752" t="s">
        <v>208</v>
      </c>
      <c r="E752" s="68" t="n">
        <v>1066526.57892704</v>
      </c>
      <c r="F752" s="69" t="n">
        <v>153069.270625148</v>
      </c>
      <c r="G752" s="70" t="n">
        <v>1069005.07088018</v>
      </c>
      <c r="H752" s="71" t="n">
        <v>153077.867387244</v>
      </c>
      <c r="I752" s="72" t="str">
        <f>H752-F752</f>
      </c>
      <c r="J752" s="73" t="str">
        <f>G752-E752</f>
      </c>
    </row>
    <row r="753">
      <c r="A753" t="s">
        <v>214</v>
      </c>
      <c r="B753" t="s">
        <v>216</v>
      </c>
      <c r="C753" s="67" t="n">
        <v>2028</v>
      </c>
      <c r="D753" t="s">
        <v>176</v>
      </c>
      <c r="E753" s="68" t="n">
        <v>101797.96761407</v>
      </c>
      <c r="F753" s="69" t="n">
        <v>69019.933123165</v>
      </c>
      <c r="G753" s="70" t="n">
        <v>101797.96761407</v>
      </c>
      <c r="H753" s="71" t="n">
        <v>69019.933123165</v>
      </c>
      <c r="I753" s="72" t="str">
        <f>H753-F753</f>
      </c>
      <c r="J753" s="73" t="str">
        <f>G753-E753</f>
      </c>
    </row>
    <row r="754">
      <c r="A754" t="s">
        <v>214</v>
      </c>
      <c r="B754" t="s">
        <v>216</v>
      </c>
      <c r="C754" s="67" t="n">
        <v>2028</v>
      </c>
      <c r="D754" t="s">
        <v>180</v>
      </c>
      <c r="E754" s="68" t="n">
        <v>354510.454084764</v>
      </c>
      <c r="F754" s="69" t="n">
        <v>325589.072830607</v>
      </c>
      <c r="G754" s="70" t="n">
        <v>354965.535819133</v>
      </c>
      <c r="H754" s="71" t="n">
        <v>325690.683016893</v>
      </c>
      <c r="I754" s="72" t="str">
        <f>H754-F754</f>
      </c>
      <c r="J754" s="73" t="str">
        <f>G754-E754</f>
      </c>
    </row>
    <row r="755">
      <c r="A755" t="s">
        <v>214</v>
      </c>
      <c r="B755" t="s">
        <v>216</v>
      </c>
      <c r="C755" s="67" t="n">
        <v>2028</v>
      </c>
      <c r="D755" t="s">
        <v>183</v>
      </c>
      <c r="E755" s="68" t="n">
        <v>609812.93912039</v>
      </c>
      <c r="F755" s="69" t="n">
        <v>356000.378891259</v>
      </c>
      <c r="G755" s="70" t="n">
        <v>612031.659444751</v>
      </c>
      <c r="H755" s="71" t="n">
        <v>356073.571438059</v>
      </c>
      <c r="I755" s="72" t="str">
        <f>H755-F755</f>
      </c>
      <c r="J755" s="73" t="str">
        <f>G755-E755</f>
      </c>
    </row>
    <row r="756">
      <c r="A756" t="s">
        <v>214</v>
      </c>
      <c r="B756" t="s">
        <v>216</v>
      </c>
      <c r="C756" s="67" t="n">
        <v>2028</v>
      </c>
      <c r="D756" t="s">
        <v>186</v>
      </c>
      <c r="E756" s="68" t="n">
        <v>436099.673758445</v>
      </c>
      <c r="F756" s="69" t="n">
        <v>221866.828554729</v>
      </c>
      <c r="G756" s="70" t="n">
        <v>437159.755191958</v>
      </c>
      <c r="H756" s="71" t="n">
        <v>221908.958563303</v>
      </c>
      <c r="I756" s="72" t="str">
        <f>H756-F756</f>
      </c>
      <c r="J756" s="73" t="str">
        <f>G756-E756</f>
      </c>
    </row>
    <row r="757">
      <c r="A757" t="s">
        <v>214</v>
      </c>
      <c r="B757" t="s">
        <v>216</v>
      </c>
      <c r="C757" s="67" t="n">
        <v>2028</v>
      </c>
      <c r="D757" t="s">
        <v>366</v>
      </c>
      <c r="E757" s="68" t="n">
        <v>44510.0649629929</v>
      </c>
      <c r="F757" s="69" t="n">
        <v>7131.07016356498</v>
      </c>
      <c r="G757" s="70" t="n">
        <v>44510.0649629929</v>
      </c>
      <c r="H757" s="71" t="n">
        <v>7131.07016356498</v>
      </c>
      <c r="I757" s="72" t="str">
        <f>H757-F757</f>
      </c>
      <c r="J757" s="73" t="str">
        <f>G757-E757</f>
      </c>
    </row>
    <row r="758">
      <c r="A758" t="s">
        <v>214</v>
      </c>
      <c r="B758" t="s">
        <v>216</v>
      </c>
      <c r="C758" s="67" t="n">
        <v>2029</v>
      </c>
      <c r="D758" t="s">
        <v>169</v>
      </c>
      <c r="E758" s="68" t="n">
        <v>14181.5086151024</v>
      </c>
      <c r="F758" s="69" t="n">
        <v>10301.2295792609</v>
      </c>
      <c r="G758" s="70" t="n">
        <v>14181.4236375467</v>
      </c>
      <c r="H758" s="71" t="n">
        <v>10301.2295792609</v>
      </c>
      <c r="I758" s="72" t="str">
        <f>H758-F758</f>
      </c>
      <c r="J758" s="73" t="str">
        <f>G758-E758</f>
      </c>
    </row>
    <row r="759">
      <c r="A759" t="s">
        <v>214</v>
      </c>
      <c r="B759" t="s">
        <v>216</v>
      </c>
      <c r="C759" s="67" t="n">
        <v>2029</v>
      </c>
      <c r="D759" t="s">
        <v>208</v>
      </c>
      <c r="E759" s="68" t="n">
        <v>1078617.52785391</v>
      </c>
      <c r="F759" s="69" t="n">
        <v>161135.306488454</v>
      </c>
      <c r="G759" s="70" t="n">
        <v>1082252.39423074</v>
      </c>
      <c r="H759" s="71" t="n">
        <v>161161.062132093</v>
      </c>
      <c r="I759" s="72" t="str">
        <f>H759-F759</f>
      </c>
      <c r="J759" s="73" t="str">
        <f>G759-E759</f>
      </c>
    </row>
    <row r="760">
      <c r="A760" t="s">
        <v>214</v>
      </c>
      <c r="B760" t="s">
        <v>216</v>
      </c>
      <c r="C760" s="67" t="n">
        <v>2029</v>
      </c>
      <c r="D760" t="s">
        <v>176</v>
      </c>
      <c r="E760" s="68" t="n">
        <v>105115.190735746</v>
      </c>
      <c r="F760" s="69" t="n">
        <v>71042.0544294395</v>
      </c>
      <c r="G760" s="70" t="n">
        <v>105114.693344183</v>
      </c>
      <c r="H760" s="71" t="n">
        <v>71042.0544294395</v>
      </c>
      <c r="I760" s="72" t="str">
        <f>H760-F760</f>
      </c>
      <c r="J760" s="73" t="str">
        <f>G760-E760</f>
      </c>
    </row>
    <row r="761">
      <c r="A761" t="s">
        <v>214</v>
      </c>
      <c r="B761" t="s">
        <v>216</v>
      </c>
      <c r="C761" s="67" t="n">
        <v>2029</v>
      </c>
      <c r="D761" t="s">
        <v>180</v>
      </c>
      <c r="E761" s="68" t="n">
        <v>363219.41828642</v>
      </c>
      <c r="F761" s="69" t="n">
        <v>334048.327978649</v>
      </c>
      <c r="G761" s="70" t="n">
        <v>363896.204247168</v>
      </c>
      <c r="H761" s="71" t="n">
        <v>334292.677138926</v>
      </c>
      <c r="I761" s="72" t="str">
        <f>H761-F761</f>
      </c>
      <c r="J761" s="73" t="str">
        <f>G761-E761</f>
      </c>
    </row>
    <row r="762">
      <c r="A762" t="s">
        <v>214</v>
      </c>
      <c r="B762" t="s">
        <v>216</v>
      </c>
      <c r="C762" s="67" t="n">
        <v>2029</v>
      </c>
      <c r="D762" t="s">
        <v>183</v>
      </c>
      <c r="E762" s="68" t="n">
        <v>624430.062248503</v>
      </c>
      <c r="F762" s="69" t="n">
        <v>367362.333208068</v>
      </c>
      <c r="G762" s="70" t="n">
        <v>627726.336898794</v>
      </c>
      <c r="H762" s="71" t="n">
        <v>367575.22274735</v>
      </c>
      <c r="I762" s="72" t="str">
        <f>H762-F762</f>
      </c>
      <c r="J762" s="73" t="str">
        <f>G762-E762</f>
      </c>
    </row>
    <row r="763">
      <c r="A763" t="s">
        <v>214</v>
      </c>
      <c r="B763" t="s">
        <v>216</v>
      </c>
      <c r="C763" s="67" t="n">
        <v>2029</v>
      </c>
      <c r="D763" t="s">
        <v>186</v>
      </c>
      <c r="E763" s="68" t="n">
        <v>449203.621470752</v>
      </c>
      <c r="F763" s="69" t="n">
        <v>231589.73724271</v>
      </c>
      <c r="G763" s="70" t="n">
        <v>450786.134013569</v>
      </c>
      <c r="H763" s="71" t="n">
        <v>231708.01887569</v>
      </c>
      <c r="I763" s="72" t="str">
        <f>H763-F763</f>
      </c>
      <c r="J763" s="73" t="str">
        <f>G763-E763</f>
      </c>
    </row>
    <row r="764">
      <c r="A764" t="s">
        <v>214</v>
      </c>
      <c r="B764" t="s">
        <v>216</v>
      </c>
      <c r="C764" s="67" t="n">
        <v>2029</v>
      </c>
      <c r="D764" t="s">
        <v>366</v>
      </c>
      <c r="E764" s="68" t="n">
        <v>44600.2717294638</v>
      </c>
      <c r="F764" s="69" t="n">
        <v>7178.21931597252</v>
      </c>
      <c r="G764" s="70" t="n">
        <v>44600.2614435955</v>
      </c>
      <c r="H764" s="71" t="n">
        <v>7178.21931597252</v>
      </c>
      <c r="I764" s="72" t="str">
        <f>H764-F764</f>
      </c>
      <c r="J764" s="73" t="str">
        <f>G764-E764</f>
      </c>
    </row>
    <row r="765">
      <c r="A765" t="s">
        <v>214</v>
      </c>
      <c r="B765" t="s">
        <v>216</v>
      </c>
      <c r="C765" s="67" t="n">
        <v>2030</v>
      </c>
      <c r="D765" t="s">
        <v>169</v>
      </c>
      <c r="E765" s="68" t="n">
        <v>14631.2361782417</v>
      </c>
      <c r="F765" s="69" t="n">
        <v>10630.2870808614</v>
      </c>
      <c r="G765" s="70" t="n">
        <v>14630.9263575645</v>
      </c>
      <c r="H765" s="71" t="n">
        <v>10630.2702680602</v>
      </c>
      <c r="I765" s="72" t="str">
        <f>H765-F765</f>
      </c>
      <c r="J765" s="73" t="str">
        <f>G765-E765</f>
      </c>
    </row>
    <row r="766">
      <c r="A766" t="s">
        <v>214</v>
      </c>
      <c r="B766" t="s">
        <v>216</v>
      </c>
      <c r="C766" s="67" t="n">
        <v>2030</v>
      </c>
      <c r="D766" t="s">
        <v>208</v>
      </c>
      <c r="E766" s="68" t="n">
        <v>1090221.61097543</v>
      </c>
      <c r="F766" s="69" t="n">
        <v>169263.492899995</v>
      </c>
      <c r="G766" s="70" t="n">
        <v>1094956.84444967</v>
      </c>
      <c r="H766" s="71" t="n">
        <v>169314.834038038</v>
      </c>
      <c r="I766" s="72" t="str">
        <f>H766-F766</f>
      </c>
      <c r="J766" s="73" t="str">
        <f>G766-E766</f>
      </c>
    </row>
    <row r="767">
      <c r="A767" t="s">
        <v>214</v>
      </c>
      <c r="B767" t="s">
        <v>216</v>
      </c>
      <c r="C767" s="67" t="n">
        <v>2030</v>
      </c>
      <c r="D767" t="s">
        <v>176</v>
      </c>
      <c r="E767" s="68" t="n">
        <v>108395.599009489</v>
      </c>
      <c r="F767" s="69" t="n">
        <v>73120.8777972252</v>
      </c>
      <c r="G767" s="70" t="n">
        <v>108393.77376612</v>
      </c>
      <c r="H767" s="71" t="n">
        <v>73120.8011068864</v>
      </c>
      <c r="I767" s="72" t="str">
        <f>H767-F767</f>
      </c>
      <c r="J767" s="73" t="str">
        <f>G767-E767</f>
      </c>
    </row>
    <row r="768">
      <c r="A768" t="s">
        <v>214</v>
      </c>
      <c r="B768" t="s">
        <v>216</v>
      </c>
      <c r="C768" s="67" t="n">
        <v>2030</v>
      </c>
      <c r="D768" t="s">
        <v>180</v>
      </c>
      <c r="E768" s="68" t="n">
        <v>371848.411464401</v>
      </c>
      <c r="F768" s="69" t="n">
        <v>342480.655761211</v>
      </c>
      <c r="G768" s="70" t="n">
        <v>372741.795461264</v>
      </c>
      <c r="H768" s="71" t="n">
        <v>342889.635366394</v>
      </c>
      <c r="I768" s="72" t="str">
        <f>H768-F768</f>
      </c>
      <c r="J768" s="73" t="str">
        <f>G768-E768</f>
      </c>
    </row>
    <row r="769">
      <c r="A769" t="s">
        <v>214</v>
      </c>
      <c r="B769" t="s">
        <v>216</v>
      </c>
      <c r="C769" s="67" t="n">
        <v>2030</v>
      </c>
      <c r="D769" t="s">
        <v>183</v>
      </c>
      <c r="E769" s="68" t="n">
        <v>638805.757222132</v>
      </c>
      <c r="F769" s="69" t="n">
        <v>378527.83748126</v>
      </c>
      <c r="G769" s="70" t="n">
        <v>643154.211305628</v>
      </c>
      <c r="H769" s="71" t="n">
        <v>378940.231267445</v>
      </c>
      <c r="I769" s="72" t="str">
        <f>H769-F769</f>
      </c>
      <c r="J769" s="73" t="str">
        <f>G769-E769</f>
      </c>
    </row>
    <row r="770">
      <c r="A770" t="s">
        <v>214</v>
      </c>
      <c r="B770" t="s">
        <v>216</v>
      </c>
      <c r="C770" s="67" t="n">
        <v>2030</v>
      </c>
      <c r="D770" t="s">
        <v>186</v>
      </c>
      <c r="E770" s="68" t="n">
        <v>462263.553667591</v>
      </c>
      <c r="F770" s="69" t="n">
        <v>241087.224840292</v>
      </c>
      <c r="G770" s="70" t="n">
        <v>464360.518103772</v>
      </c>
      <c r="H770" s="71" t="n">
        <v>241310.309903655</v>
      </c>
      <c r="I770" s="72" t="str">
        <f>H770-F770</f>
      </c>
      <c r="J770" s="73" t="str">
        <f>G770-E770</f>
      </c>
    </row>
    <row r="771">
      <c r="A771" t="s">
        <v>214</v>
      </c>
      <c r="B771" t="s">
        <v>216</v>
      </c>
      <c r="C771" s="67" t="n">
        <v>2030</v>
      </c>
      <c r="D771" t="s">
        <v>366</v>
      </c>
      <c r="E771" s="68" t="n">
        <v>44647.3063712356</v>
      </c>
      <c r="F771" s="69" t="n">
        <v>7223.11047873556</v>
      </c>
      <c r="G771" s="70" t="n">
        <v>44647.268915283</v>
      </c>
      <c r="H771" s="71" t="n">
        <v>7223.11031474236</v>
      </c>
      <c r="I771" s="72" t="str">
        <f>H771-F771</f>
      </c>
      <c r="J771" s="73" t="str">
        <f>G771-E771</f>
      </c>
    </row>
    <row r="772">
      <c r="A772" t="s">
        <v>214</v>
      </c>
      <c r="B772" t="s">
        <v>216</v>
      </c>
      <c r="C772" s="67" t="n">
        <v>2031</v>
      </c>
      <c r="D772" t="s">
        <v>169</v>
      </c>
      <c r="E772" s="68" t="n">
        <v>15081.1008016292</v>
      </c>
      <c r="F772" s="69" t="n">
        <v>10955.4985724509</v>
      </c>
      <c r="G772" s="70" t="n">
        <v>15080.3825495532</v>
      </c>
      <c r="H772" s="71" t="n">
        <v>10955.4255331558</v>
      </c>
      <c r="I772" s="72" t="str">
        <f>H772-F772</f>
      </c>
      <c r="J772" s="73" t="str">
        <f>G772-E772</f>
      </c>
    </row>
    <row r="773">
      <c r="A773" t="s">
        <v>214</v>
      </c>
      <c r="B773" t="s">
        <v>216</v>
      </c>
      <c r="C773" s="67" t="n">
        <v>2031</v>
      </c>
      <c r="D773" t="s">
        <v>208</v>
      </c>
      <c r="E773" s="68" t="n">
        <v>1101247.49916139</v>
      </c>
      <c r="F773" s="69" t="n">
        <v>177425.771720914</v>
      </c>
      <c r="G773" s="70" t="n">
        <v>1107027.69162894</v>
      </c>
      <c r="H773" s="71" t="n">
        <v>177510.906196669</v>
      </c>
      <c r="I773" s="72" t="str">
        <f>H773-F773</f>
      </c>
      <c r="J773" s="73" t="str">
        <f>G773-E773</f>
      </c>
    </row>
    <row r="774">
      <c r="A774" t="s">
        <v>214</v>
      </c>
      <c r="B774" t="s">
        <v>216</v>
      </c>
      <c r="C774" s="67" t="n">
        <v>2031</v>
      </c>
      <c r="D774" t="s">
        <v>176</v>
      </c>
      <c r="E774" s="68" t="n">
        <v>111637.197132737</v>
      </c>
      <c r="F774" s="69" t="n">
        <v>75230.5569875725</v>
      </c>
      <c r="G774" s="70" t="n">
        <v>111632.947554352</v>
      </c>
      <c r="H774" s="71" t="n">
        <v>75230.219664338</v>
      </c>
      <c r="I774" s="72" t="str">
        <f>H774-F774</f>
      </c>
      <c r="J774" s="73" t="str">
        <f>G774-E774</f>
      </c>
    </row>
    <row r="775">
      <c r="A775" t="s">
        <v>214</v>
      </c>
      <c r="B775" t="s">
        <v>216</v>
      </c>
      <c r="C775" s="67" t="n">
        <v>2031</v>
      </c>
      <c r="D775" t="s">
        <v>180</v>
      </c>
      <c r="E775" s="68" t="n">
        <v>380366.219092267</v>
      </c>
      <c r="F775" s="69" t="n">
        <v>350847.039345352</v>
      </c>
      <c r="G775" s="70" t="n">
        <v>381470.266781021</v>
      </c>
      <c r="H775" s="71" t="n">
        <v>351432.518672951</v>
      </c>
      <c r="I775" s="72" t="str">
        <f>H775-F775</f>
      </c>
      <c r="J775" s="73" t="str">
        <f>G775-E775</f>
      </c>
    </row>
    <row r="776">
      <c r="A776" t="s">
        <v>214</v>
      </c>
      <c r="B776" t="s">
        <v>216</v>
      </c>
      <c r="C776" s="67" t="n">
        <v>2031</v>
      </c>
      <c r="D776" t="s">
        <v>183</v>
      </c>
      <c r="E776" s="68" t="n">
        <v>652909.012935218</v>
      </c>
      <c r="F776" s="69" t="n">
        <v>389515.858390604</v>
      </c>
      <c r="G776" s="70" t="n">
        <v>658282.149268814</v>
      </c>
      <c r="H776" s="71" t="n">
        <v>390181.003020302</v>
      </c>
      <c r="I776" s="72" t="str">
        <f>H776-F776</f>
      </c>
      <c r="J776" s="73" t="str">
        <f>G776-E776</f>
      </c>
    </row>
    <row r="777">
      <c r="A777" t="s">
        <v>214</v>
      </c>
      <c r="B777" t="s">
        <v>216</v>
      </c>
      <c r="C777" s="67" t="n">
        <v>2031</v>
      </c>
      <c r="D777" t="s">
        <v>186</v>
      </c>
      <c r="E777" s="68" t="n">
        <v>475176.876564239</v>
      </c>
      <c r="F777" s="69" t="n">
        <v>250463.447811482</v>
      </c>
      <c r="G777" s="70" t="n">
        <v>477778.146047482</v>
      </c>
      <c r="H777" s="71" t="n">
        <v>250815.782662592</v>
      </c>
      <c r="I777" s="72" t="str">
        <f>H777-F777</f>
      </c>
      <c r="J777" s="73" t="str">
        <f>G777-E777</f>
      </c>
    </row>
    <row r="778">
      <c r="A778" t="s">
        <v>214</v>
      </c>
      <c r="B778" t="s">
        <v>216</v>
      </c>
      <c r="C778" s="67" t="n">
        <v>2031</v>
      </c>
      <c r="D778" t="s">
        <v>366</v>
      </c>
      <c r="E778" s="68" t="n">
        <v>44640.4337514358</v>
      </c>
      <c r="F778" s="69" t="n">
        <v>7266.76673050352</v>
      </c>
      <c r="G778" s="70" t="n">
        <v>44640.3472954778</v>
      </c>
      <c r="H778" s="71" t="n">
        <v>7266.76600020754</v>
      </c>
      <c r="I778" s="72" t="str">
        <f>H778-F778</f>
      </c>
      <c r="J778" s="73" t="str">
        <f>G778-E778</f>
      </c>
    </row>
    <row r="779">
      <c r="A779" t="s">
        <v>214</v>
      </c>
      <c r="B779" t="s">
        <v>216</v>
      </c>
      <c r="C779" s="67" t="n">
        <v>2032</v>
      </c>
      <c r="D779" t="s">
        <v>169</v>
      </c>
      <c r="E779" s="68" t="n">
        <v>15532.6059251693</v>
      </c>
      <c r="F779" s="69" t="n">
        <v>11274.6883053532</v>
      </c>
      <c r="G779" s="70" t="n">
        <v>15531.2601955666</v>
      </c>
      <c r="H779" s="71" t="n">
        <v>11274.4954497352</v>
      </c>
      <c r="I779" s="72" t="str">
        <f>H779-F779</f>
      </c>
      <c r="J779" s="73" t="str">
        <f>G779-E779</f>
      </c>
    </row>
    <row r="780">
      <c r="A780" t="s">
        <v>214</v>
      </c>
      <c r="B780" t="s">
        <v>216</v>
      </c>
      <c r="C780" s="67" t="n">
        <v>2032</v>
      </c>
      <c r="D780" t="s">
        <v>208</v>
      </c>
      <c r="E780" s="68" t="n">
        <v>1111706.11448774</v>
      </c>
      <c r="F780" s="69" t="n">
        <v>185599.153056113</v>
      </c>
      <c r="G780" s="70" t="n">
        <v>1118477.32749824</v>
      </c>
      <c r="H780" s="71" t="n">
        <v>185725.999058801</v>
      </c>
      <c r="I780" s="72" t="str">
        <f>H780-F780</f>
      </c>
      <c r="J780" s="73" t="str">
        <f>G780-E780</f>
      </c>
    </row>
    <row r="781">
      <c r="A781" t="s">
        <v>214</v>
      </c>
      <c r="B781" t="s">
        <v>216</v>
      </c>
      <c r="C781" s="67" t="n">
        <v>2032</v>
      </c>
      <c r="D781" t="s">
        <v>176</v>
      </c>
      <c r="E781" s="68" t="n">
        <v>114843.2089469</v>
      </c>
      <c r="F781" s="69" t="n">
        <v>77353.9614176215</v>
      </c>
      <c r="G781" s="70" t="n">
        <v>114835.221802653</v>
      </c>
      <c r="H781" s="71" t="n">
        <v>77353.0610239329</v>
      </c>
      <c r="I781" s="72" t="str">
        <f>H781-F781</f>
      </c>
      <c r="J781" s="73" t="str">
        <f>G781-E781</f>
      </c>
    </row>
    <row r="782">
      <c r="A782" t="s">
        <v>214</v>
      </c>
      <c r="B782" t="s">
        <v>216</v>
      </c>
      <c r="C782" s="67" t="n">
        <v>2032</v>
      </c>
      <c r="D782" t="s">
        <v>180</v>
      </c>
      <c r="E782" s="68" t="n">
        <v>388690.544306411</v>
      </c>
      <c r="F782" s="69" t="n">
        <v>359066.77296437</v>
      </c>
      <c r="G782" s="70" t="n">
        <v>389998.376688754</v>
      </c>
      <c r="H782" s="71" t="n">
        <v>359834.546852866</v>
      </c>
      <c r="I782" s="72" t="str">
        <f>H782-F782</f>
      </c>
      <c r="J782" s="73" t="str">
        <f>G782-E782</f>
      </c>
    </row>
    <row r="783">
      <c r="A783" t="s">
        <v>214</v>
      </c>
      <c r="B783" t="s">
        <v>216</v>
      </c>
      <c r="C783" s="67" t="n">
        <v>2032</v>
      </c>
      <c r="D783" t="s">
        <v>183</v>
      </c>
      <c r="E783" s="68" t="n">
        <v>666764.716661654</v>
      </c>
      <c r="F783" s="69" t="n">
        <v>400353.433138112</v>
      </c>
      <c r="G783" s="70" t="n">
        <v>673133.888273266</v>
      </c>
      <c r="H783" s="71" t="n">
        <v>401318.286193472</v>
      </c>
      <c r="I783" s="72" t="str">
        <f>H783-F783</f>
      </c>
      <c r="J783" s="73" t="str">
        <f>G783-E783</f>
      </c>
    </row>
    <row r="784">
      <c r="A784" t="s">
        <v>214</v>
      </c>
      <c r="B784" t="s">
        <v>216</v>
      </c>
      <c r="C784" s="67" t="n">
        <v>2032</v>
      </c>
      <c r="D784" t="s">
        <v>186</v>
      </c>
      <c r="E784" s="68" t="n">
        <v>487811.699748133</v>
      </c>
      <c r="F784" s="69" t="n">
        <v>259844.376000482</v>
      </c>
      <c r="G784" s="70" t="n">
        <v>490904.70344578</v>
      </c>
      <c r="H784" s="71" t="n">
        <v>260346.937343717</v>
      </c>
      <c r="I784" s="72" t="str">
        <f>H784-F784</f>
      </c>
      <c r="J784" s="73" t="str">
        <f>G784-E784</f>
      </c>
    </row>
    <row r="785">
      <c r="A785" t="s">
        <v>214</v>
      </c>
      <c r="B785" t="s">
        <v>216</v>
      </c>
      <c r="C785" s="67" t="n">
        <v>2032</v>
      </c>
      <c r="D785" t="s">
        <v>366</v>
      </c>
      <c r="E785" s="68" t="n">
        <v>44583.4065552075</v>
      </c>
      <c r="F785" s="69" t="n">
        <v>7308.69153732706</v>
      </c>
      <c r="G785" s="70" t="n">
        <v>44583.2455015959</v>
      </c>
      <c r="H785" s="71" t="n">
        <v>7308.68956833998</v>
      </c>
      <c r="I785" s="72" t="str">
        <f>H785-F785</f>
      </c>
      <c r="J785" s="73" t="str">
        <f>G785-E785</f>
      </c>
    </row>
    <row r="786">
      <c r="A786" t="s">
        <v>214</v>
      </c>
      <c r="B786" t="s">
        <v>216</v>
      </c>
      <c r="C786" s="67" t="n">
        <v>2033</v>
      </c>
      <c r="D786" t="s">
        <v>169</v>
      </c>
      <c r="E786" s="68" t="n">
        <v>15985.9398887199</v>
      </c>
      <c r="F786" s="69" t="n">
        <v>11587.3327948323</v>
      </c>
      <c r="G786" s="70" t="n">
        <v>15983.7175379286</v>
      </c>
      <c r="H786" s="71" t="n">
        <v>11586.9335708044</v>
      </c>
      <c r="I786" s="72" t="str">
        <f>H786-F786</f>
      </c>
      <c r="J786" s="73" t="str">
        <f>G786-E786</f>
      </c>
    </row>
    <row r="787">
      <c r="A787" t="s">
        <v>214</v>
      </c>
      <c r="B787" t="s">
        <v>216</v>
      </c>
      <c r="C787" s="67" t="n">
        <v>2033</v>
      </c>
      <c r="D787" t="s">
        <v>208</v>
      </c>
      <c r="E787" s="68" t="n">
        <v>1121524.52586532</v>
      </c>
      <c r="F787" s="69" t="n">
        <v>193777.060960418</v>
      </c>
      <c r="G787" s="70" t="n">
        <v>1129233.47845058</v>
      </c>
      <c r="H787" s="71" t="n">
        <v>193953.224223645</v>
      </c>
      <c r="I787" s="72" t="str">
        <f>H787-F787</f>
      </c>
      <c r="J787" s="73" t="str">
        <f>G787-E787</f>
      </c>
    </row>
    <row r="788">
      <c r="A788" t="s">
        <v>214</v>
      </c>
      <c r="B788" t="s">
        <v>216</v>
      </c>
      <c r="C788" s="67" t="n">
        <v>2033</v>
      </c>
      <c r="D788" t="s">
        <v>176</v>
      </c>
      <c r="E788" s="68" t="n">
        <v>118011.946594194</v>
      </c>
      <c r="F788" s="69" t="n">
        <v>79482.360883389</v>
      </c>
      <c r="G788" s="70" t="n">
        <v>117998.738437442</v>
      </c>
      <c r="H788" s="71" t="n">
        <v>79480.4761690429</v>
      </c>
      <c r="I788" s="72" t="str">
        <f>H788-F788</f>
      </c>
      <c r="J788" s="73" t="str">
        <f>G788-E788</f>
      </c>
    </row>
    <row r="789">
      <c r="A789" t="s">
        <v>214</v>
      </c>
      <c r="B789" t="s">
        <v>216</v>
      </c>
      <c r="C789" s="67" t="n">
        <v>2033</v>
      </c>
      <c r="D789" t="s">
        <v>180</v>
      </c>
      <c r="E789" s="68" t="n">
        <v>396850.167539613</v>
      </c>
      <c r="F789" s="69" t="n">
        <v>367099.940213928</v>
      </c>
      <c r="G789" s="70" t="n">
        <v>398354.344992358</v>
      </c>
      <c r="H789" s="71" t="n">
        <v>368051.624575443</v>
      </c>
      <c r="I789" s="72" t="str">
        <f>H789-F789</f>
      </c>
      <c r="J789" s="73" t="str">
        <f>G789-E789</f>
      </c>
    </row>
    <row r="790">
      <c r="A790" t="s">
        <v>214</v>
      </c>
      <c r="B790" t="s">
        <v>216</v>
      </c>
      <c r="C790" s="67" t="n">
        <v>2033</v>
      </c>
      <c r="D790" t="s">
        <v>183</v>
      </c>
      <c r="E790" s="68" t="n">
        <v>680300.179502023</v>
      </c>
      <c r="F790" s="69" t="n">
        <v>411041.910910917</v>
      </c>
      <c r="G790" s="70" t="n">
        <v>687634.699546926</v>
      </c>
      <c r="H790" s="71" t="n">
        <v>412348.075678578</v>
      </c>
      <c r="I790" s="72" t="str">
        <f>H790-F790</f>
      </c>
      <c r="J790" s="73" t="str">
        <f>G790-E790</f>
      </c>
    </row>
    <row r="791">
      <c r="A791" t="s">
        <v>214</v>
      </c>
      <c r="B791" t="s">
        <v>216</v>
      </c>
      <c r="C791" s="67" t="n">
        <v>2033</v>
      </c>
      <c r="D791" t="s">
        <v>186</v>
      </c>
      <c r="E791" s="68" t="n">
        <v>500180.506255395</v>
      </c>
      <c r="F791" s="69" t="n">
        <v>269212.91141862</v>
      </c>
      <c r="G791" s="70" t="n">
        <v>503751.109420694</v>
      </c>
      <c r="H791" s="71" t="n">
        <v>269883.407599987</v>
      </c>
      <c r="I791" s="72" t="str">
        <f>H791-F791</f>
      </c>
      <c r="J791" s="73" t="str">
        <f>G791-E791</f>
      </c>
    </row>
    <row r="792">
      <c r="A792" t="s">
        <v>214</v>
      </c>
      <c r="B792" t="s">
        <v>216</v>
      </c>
      <c r="C792" s="67" t="n">
        <v>2033</v>
      </c>
      <c r="D792" t="s">
        <v>366</v>
      </c>
      <c r="E792" s="68" t="n">
        <v>44483.9477561792</v>
      </c>
      <c r="F792" s="69" t="n">
        <v>7348.07829790663</v>
      </c>
      <c r="G792" s="70" t="n">
        <v>44483.6835898413</v>
      </c>
      <c r="H792" s="71" t="n">
        <v>7348.07414732206</v>
      </c>
      <c r="I792" s="72" t="str">
        <f>H792-F792</f>
      </c>
      <c r="J792" s="73" t="str">
        <f>G792-E792</f>
      </c>
    </row>
    <row r="793">
      <c r="A793" t="s">
        <v>214</v>
      </c>
      <c r="B793" t="s">
        <v>216</v>
      </c>
      <c r="C793" s="67" t="n">
        <v>2034</v>
      </c>
      <c r="D793" t="s">
        <v>169</v>
      </c>
      <c r="E793" s="68" t="n">
        <v>16440.3028899716</v>
      </c>
      <c r="F793" s="69" t="n">
        <v>11897.0955982041</v>
      </c>
      <c r="G793" s="70" t="n">
        <v>16436.9312806497</v>
      </c>
      <c r="H793" s="71" t="n">
        <v>11896.3823187386</v>
      </c>
      <c r="I793" s="72" t="str">
        <f>H793-F793</f>
      </c>
      <c r="J793" s="73" t="str">
        <f>G793-E793</f>
      </c>
    </row>
    <row r="794">
      <c r="A794" t="s">
        <v>214</v>
      </c>
      <c r="B794" t="s">
        <v>216</v>
      </c>
      <c r="C794" s="67" t="n">
        <v>2034</v>
      </c>
      <c r="D794" t="s">
        <v>208</v>
      </c>
      <c r="E794" s="68" t="n">
        <v>1130764.21314361</v>
      </c>
      <c r="F794" s="69" t="n">
        <v>201914.525404603</v>
      </c>
      <c r="G794" s="70" t="n">
        <v>1139357.01951607</v>
      </c>
      <c r="H794" s="71" t="n">
        <v>202147.27044605</v>
      </c>
      <c r="I794" s="72" t="str">
        <f>H794-F794</f>
      </c>
      <c r="J794" s="73" t="str">
        <f>G794-E794</f>
      </c>
    </row>
    <row r="795">
      <c r="A795" t="s">
        <v>214</v>
      </c>
      <c r="B795" t="s">
        <v>216</v>
      </c>
      <c r="C795" s="67" t="n">
        <v>2034</v>
      </c>
      <c r="D795" t="s">
        <v>176</v>
      </c>
      <c r="E795" s="68" t="n">
        <v>121125.51030571</v>
      </c>
      <c r="F795" s="69" t="n">
        <v>81598.3490113678</v>
      </c>
      <c r="G795" s="70" t="n">
        <v>121105.471839437</v>
      </c>
      <c r="H795" s="71" t="n">
        <v>81594.9482339212</v>
      </c>
      <c r="I795" s="72" t="str">
        <f>H795-F795</f>
      </c>
      <c r="J795" s="73" t="str">
        <f>G795-E795</f>
      </c>
    </row>
    <row r="796">
      <c r="A796" t="s">
        <v>214</v>
      </c>
      <c r="B796" t="s">
        <v>216</v>
      </c>
      <c r="C796" s="67" t="n">
        <v>2034</v>
      </c>
      <c r="D796" t="s">
        <v>180</v>
      </c>
      <c r="E796" s="68" t="n">
        <v>404867.2388259</v>
      </c>
      <c r="F796" s="69" t="n">
        <v>374893.750185856</v>
      </c>
      <c r="G796" s="70" t="n">
        <v>406559.867353788</v>
      </c>
      <c r="H796" s="71" t="n">
        <v>376028.132278335</v>
      </c>
      <c r="I796" s="72" t="str">
        <f>H796-F796</f>
      </c>
      <c r="J796" s="73" t="str">
        <f>G796-E796</f>
      </c>
    </row>
    <row r="797">
      <c r="A797" t="s">
        <v>214</v>
      </c>
      <c r="B797" t="s">
        <v>216</v>
      </c>
      <c r="C797" s="67" t="n">
        <v>2034</v>
      </c>
      <c r="D797" t="s">
        <v>183</v>
      </c>
      <c r="E797" s="68" t="n">
        <v>693425.400556267</v>
      </c>
      <c r="F797" s="69" t="n">
        <v>421575.319778177</v>
      </c>
      <c r="G797" s="70" t="n">
        <v>701691.677358768</v>
      </c>
      <c r="H797" s="71" t="n">
        <v>423259.100590806</v>
      </c>
      <c r="I797" s="72" t="str">
        <f>H797-F797</f>
      </c>
      <c r="J797" s="73" t="str">
        <f>G797-E797</f>
      </c>
    </row>
    <row r="798">
      <c r="A798" t="s">
        <v>214</v>
      </c>
      <c r="B798" t="s">
        <v>216</v>
      </c>
      <c r="C798" s="67" t="n">
        <v>2034</v>
      </c>
      <c r="D798" t="s">
        <v>186</v>
      </c>
      <c r="E798" s="68" t="n">
        <v>512373.371039246</v>
      </c>
      <c r="F798" s="69" t="n">
        <v>278631.605194936</v>
      </c>
      <c r="G798" s="70" t="n">
        <v>516406.53850878</v>
      </c>
      <c r="H798" s="71" t="n">
        <v>279484.980285229</v>
      </c>
      <c r="I798" s="72" t="str">
        <f>H798-F798</f>
      </c>
      <c r="J798" s="73" t="str">
        <f>G798-E798</f>
      </c>
    </row>
    <row r="799">
      <c r="A799" t="s">
        <v>214</v>
      </c>
      <c r="B799" t="s">
        <v>216</v>
      </c>
      <c r="C799" s="67" t="n">
        <v>2034</v>
      </c>
      <c r="D799" t="s">
        <v>366</v>
      </c>
      <c r="E799" s="68" t="n">
        <v>44355.58239637</v>
      </c>
      <c r="F799" s="69" t="n">
        <v>7385.04847560965</v>
      </c>
      <c r="G799" s="70" t="n">
        <v>44355.184450179</v>
      </c>
      <c r="H799" s="71" t="n">
        <v>7385.04094675217</v>
      </c>
      <c r="I799" s="72" t="str">
        <f>H799-F799</f>
      </c>
      <c r="J799" s="73" t="str">
        <f>G799-E799</f>
      </c>
    </row>
    <row r="800">
      <c r="A800" t="s">
        <v>214</v>
      </c>
      <c r="B800" t="s">
        <v>216</v>
      </c>
      <c r="C800" s="67" t="n">
        <v>2035</v>
      </c>
      <c r="D800" t="s">
        <v>169</v>
      </c>
      <c r="E800" s="68" t="n">
        <v>16897.0263593016</v>
      </c>
      <c r="F800" s="69" t="n">
        <v>12204.211060206</v>
      </c>
      <c r="G800" s="70" t="n">
        <v>16892.2141390053</v>
      </c>
      <c r="H800" s="71" t="n">
        <v>12203.0577178634</v>
      </c>
      <c r="I800" s="72" t="str">
        <f>H800-F800</f>
      </c>
      <c r="J800" s="73" t="str">
        <f>G800-E800</f>
      </c>
    </row>
    <row r="801">
      <c r="A801" t="s">
        <v>214</v>
      </c>
      <c r="B801" t="s">
        <v>216</v>
      </c>
      <c r="C801" s="67" t="n">
        <v>2035</v>
      </c>
      <c r="D801" t="s">
        <v>208</v>
      </c>
      <c r="E801" s="68" t="n">
        <v>1139548.55788651</v>
      </c>
      <c r="F801" s="69" t="n">
        <v>209994.764450199</v>
      </c>
      <c r="G801" s="70" t="n">
        <v>1148972.16574985</v>
      </c>
      <c r="H801" s="71" t="n">
        <v>210290.980527925</v>
      </c>
      <c r="I801" s="72" t="str">
        <f>H801-F801</f>
      </c>
      <c r="J801" s="73" t="str">
        <f>G801-E801</f>
      </c>
    </row>
    <row r="802">
      <c r="A802" t="s">
        <v>214</v>
      </c>
      <c r="B802" t="s">
        <v>216</v>
      </c>
      <c r="C802" s="67" t="n">
        <v>2035</v>
      </c>
      <c r="D802" t="s">
        <v>176</v>
      </c>
      <c r="E802" s="68" t="n">
        <v>124176.774780098</v>
      </c>
      <c r="F802" s="69" t="n">
        <v>83700.6645744192</v>
      </c>
      <c r="G802" s="70" t="n">
        <v>124148.207195844</v>
      </c>
      <c r="H802" s="71" t="n">
        <v>83695.1178728798</v>
      </c>
      <c r="I802" s="72" t="str">
        <f>H802-F802</f>
      </c>
      <c r="J802" s="73" t="str">
        <f>G802-E802</f>
      </c>
    </row>
    <row r="803">
      <c r="A803" t="s">
        <v>214</v>
      </c>
      <c r="B803" t="s">
        <v>216</v>
      </c>
      <c r="C803" s="67" t="n">
        <v>2035</v>
      </c>
      <c r="D803" t="s">
        <v>180</v>
      </c>
      <c r="E803" s="68" t="n">
        <v>412660.75488679</v>
      </c>
      <c r="F803" s="69" t="n">
        <v>382474.842915682</v>
      </c>
      <c r="G803" s="70" t="n">
        <v>414533.160603145</v>
      </c>
      <c r="H803" s="71" t="n">
        <v>383788.762526672</v>
      </c>
      <c r="I803" s="72" t="str">
        <f>H803-F803</f>
      </c>
      <c r="J803" s="73" t="str">
        <f>G803-E803</f>
      </c>
    </row>
    <row r="804">
      <c r="A804" t="s">
        <v>214</v>
      </c>
      <c r="B804" t="s">
        <v>216</v>
      </c>
      <c r="C804" s="67" t="n">
        <v>2035</v>
      </c>
      <c r="D804" t="s">
        <v>183</v>
      </c>
      <c r="E804" s="68" t="n">
        <v>706168.569257658</v>
      </c>
      <c r="F804" s="69" t="n">
        <v>431989.264051424</v>
      </c>
      <c r="G804" s="70" t="n">
        <v>715331.788822102</v>
      </c>
      <c r="H804" s="71" t="n">
        <v>434082.031551195</v>
      </c>
      <c r="I804" s="72" t="str">
        <f>H804-F804</f>
      </c>
      <c r="J804" s="73" t="str">
        <f>G804-E804</f>
      </c>
    </row>
    <row r="805">
      <c r="A805" t="s">
        <v>214</v>
      </c>
      <c r="B805" t="s">
        <v>216</v>
      </c>
      <c r="C805" s="67" t="n">
        <v>2035</v>
      </c>
      <c r="D805" t="s">
        <v>186</v>
      </c>
      <c r="E805" s="68" t="n">
        <v>524339.199687751</v>
      </c>
      <c r="F805" s="69" t="n">
        <v>288101.995552331</v>
      </c>
      <c r="G805" s="70" t="n">
        <v>528818.371883953</v>
      </c>
      <c r="H805" s="71" t="n">
        <v>289150.802435983</v>
      </c>
      <c r="I805" s="72" t="str">
        <f>H805-F805</f>
      </c>
      <c r="J805" s="73" t="str">
        <f>G805-E805</f>
      </c>
    </row>
    <row r="806">
      <c r="A806" t="s">
        <v>214</v>
      </c>
      <c r="B806" t="s">
        <v>216</v>
      </c>
      <c r="C806" s="67" t="n">
        <v>2035</v>
      </c>
      <c r="D806" t="s">
        <v>366</v>
      </c>
      <c r="E806" s="68" t="n">
        <v>44207.271227023</v>
      </c>
      <c r="F806" s="69" t="n">
        <v>7419.99118288091</v>
      </c>
      <c r="G806" s="70" t="n">
        <v>44206.7073067121</v>
      </c>
      <c r="H806" s="71" t="n">
        <v>7419.97885519321</v>
      </c>
      <c r="I806" s="72" t="str">
        <f>H806-F806</f>
      </c>
      <c r="J806" s="73" t="str">
        <f>G806-E806</f>
      </c>
    </row>
    <row r="807">
      <c r="A807" t="s">
        <v>214</v>
      </c>
      <c r="B807" t="s">
        <v>216</v>
      </c>
      <c r="C807" s="67" t="n">
        <v>2036</v>
      </c>
      <c r="D807" t="s">
        <v>169</v>
      </c>
      <c r="E807" s="68" t="n">
        <v>17357.214608274</v>
      </c>
      <c r="F807" s="69" t="n">
        <v>12508.6371091493</v>
      </c>
      <c r="G807" s="70" t="n">
        <v>17350.6546269342</v>
      </c>
      <c r="H807" s="71" t="n">
        <v>12506.9021026876</v>
      </c>
      <c r="I807" s="72" t="str">
        <f>H807-F807</f>
      </c>
      <c r="J807" s="73" t="str">
        <f>G807-E807</f>
      </c>
    </row>
    <row r="808">
      <c r="A808" t="s">
        <v>214</v>
      </c>
      <c r="B808" t="s">
        <v>216</v>
      </c>
      <c r="C808" s="67" t="n">
        <v>2036</v>
      </c>
      <c r="D808" t="s">
        <v>208</v>
      </c>
      <c r="E808" s="68" t="n">
        <v>1148062.23538088</v>
      </c>
      <c r="F808" s="69" t="n">
        <v>218004.50783292</v>
      </c>
      <c r="G808" s="70" t="n">
        <v>1158266.13775829</v>
      </c>
      <c r="H808" s="71" t="n">
        <v>218370.687575925</v>
      </c>
      <c r="I808" s="72" t="str">
        <f>H808-F808</f>
      </c>
      <c r="J808" s="73" t="str">
        <f>G808-E808</f>
      </c>
    </row>
    <row r="809">
      <c r="A809" t="s">
        <v>214</v>
      </c>
      <c r="B809" t="s">
        <v>216</v>
      </c>
      <c r="C809" s="67" t="n">
        <v>2036</v>
      </c>
      <c r="D809" t="s">
        <v>176</v>
      </c>
      <c r="E809" s="68" t="n">
        <v>127177.313442589</v>
      </c>
      <c r="F809" s="69" t="n">
        <v>85773.9706610574</v>
      </c>
      <c r="G809" s="70" t="n">
        <v>127138.451085333</v>
      </c>
      <c r="H809" s="71" t="n">
        <v>85765.5647353171</v>
      </c>
      <c r="I809" s="72" t="str">
        <f>H809-F809</f>
      </c>
      <c r="J809" s="73" t="str">
        <f>G809-E809</f>
      </c>
    </row>
    <row r="810">
      <c r="A810" t="s">
        <v>214</v>
      </c>
      <c r="B810" t="s">
        <v>216</v>
      </c>
      <c r="C810" s="67" t="n">
        <v>2036</v>
      </c>
      <c r="D810" t="s">
        <v>180</v>
      </c>
      <c r="E810" s="68" t="n">
        <v>420189.725531163</v>
      </c>
      <c r="F810" s="69" t="n">
        <v>389797.418917221</v>
      </c>
      <c r="G810" s="70" t="n">
        <v>422232.659922133</v>
      </c>
      <c r="H810" s="71" t="n">
        <v>391285.955739587</v>
      </c>
      <c r="I810" s="72" t="str">
        <f>H810-F810</f>
      </c>
      <c r="J810" s="73" t="str">
        <f>G810-E810</f>
      </c>
    </row>
    <row r="811">
      <c r="A811" t="s">
        <v>214</v>
      </c>
      <c r="B811" t="s">
        <v>216</v>
      </c>
      <c r="C811" s="67" t="n">
        <v>2036</v>
      </c>
      <c r="D811" t="s">
        <v>183</v>
      </c>
      <c r="E811" s="68" t="n">
        <v>718507.558804585</v>
      </c>
      <c r="F811" s="69" t="n">
        <v>442219.747343638</v>
      </c>
      <c r="G811" s="70" t="n">
        <v>728531.610160843</v>
      </c>
      <c r="H811" s="71" t="n">
        <v>444747.907566169</v>
      </c>
      <c r="I811" s="72" t="str">
        <f>H811-F811</f>
      </c>
      <c r="J811" s="73" t="str">
        <f>G811-E811</f>
      </c>
    </row>
    <row r="812">
      <c r="A812" t="s">
        <v>214</v>
      </c>
      <c r="B812" t="s">
        <v>216</v>
      </c>
      <c r="C812" s="67" t="n">
        <v>2036</v>
      </c>
      <c r="D812" t="s">
        <v>186</v>
      </c>
      <c r="E812" s="68" t="n">
        <v>536143.968440784</v>
      </c>
      <c r="F812" s="69" t="n">
        <v>297624.929960904</v>
      </c>
      <c r="G812" s="70" t="n">
        <v>541052.28077363</v>
      </c>
      <c r="H812" s="71" t="n">
        <v>298879.611309733</v>
      </c>
      <c r="I812" s="72" t="str">
        <f>H812-F812</f>
      </c>
      <c r="J812" s="73" t="str">
        <f>G812-E812</f>
      </c>
    </row>
    <row r="813">
      <c r="A813" t="s">
        <v>214</v>
      </c>
      <c r="B813" t="s">
        <v>216</v>
      </c>
      <c r="C813" s="67" t="n">
        <v>2036</v>
      </c>
      <c r="D813" t="s">
        <v>366</v>
      </c>
      <c r="E813" s="68" t="n">
        <v>44050.7614477406</v>
      </c>
      <c r="F813" s="69" t="n">
        <v>7453.35386262938</v>
      </c>
      <c r="G813" s="70" t="n">
        <v>44049.9983782722</v>
      </c>
      <c r="H813" s="71" t="n">
        <v>7453.3351271514</v>
      </c>
      <c r="I813" s="72" t="str">
        <f>H813-F813</f>
      </c>
      <c r="J813" s="73" t="str">
        <f>G813-E813</f>
      </c>
    </row>
    <row r="814">
      <c r="A814" t="s">
        <v>214</v>
      </c>
      <c r="B814" t="s">
        <v>216</v>
      </c>
      <c r="C814" s="67" t="n">
        <v>2037</v>
      </c>
      <c r="D814" t="s">
        <v>169</v>
      </c>
      <c r="E814" s="68" t="n">
        <v>17821.1321359618</v>
      </c>
      <c r="F814" s="69" t="n">
        <v>12809.97209531</v>
      </c>
      <c r="G814" s="70" t="n">
        <v>17812.5035281772</v>
      </c>
      <c r="H814" s="71" t="n">
        <v>12807.5012683992</v>
      </c>
      <c r="I814" s="72" t="str">
        <f>H814-F814</f>
      </c>
      <c r="J814" s="73" t="str">
        <f>G814-E814</f>
      </c>
    </row>
    <row r="815">
      <c r="A815" t="s">
        <v>214</v>
      </c>
      <c r="B815" t="s">
        <v>216</v>
      </c>
      <c r="C815" s="67" t="n">
        <v>2037</v>
      </c>
      <c r="D815" t="s">
        <v>208</v>
      </c>
      <c r="E815" s="68" t="n">
        <v>1156428.36765482</v>
      </c>
      <c r="F815" s="69" t="n">
        <v>225931.108792261</v>
      </c>
      <c r="G815" s="70" t="n">
        <v>1167364.66541375</v>
      </c>
      <c r="H815" s="71" t="n">
        <v>226373.365626062</v>
      </c>
      <c r="I815" s="72" t="str">
        <f>H815-F815</f>
      </c>
      <c r="J815" s="73" t="str">
        <f>G815-E815</f>
      </c>
    </row>
    <row r="816">
      <c r="A816" t="s">
        <v>214</v>
      </c>
      <c r="B816" t="s">
        <v>216</v>
      </c>
      <c r="C816" s="67" t="n">
        <v>2037</v>
      </c>
      <c r="D816" t="s">
        <v>176</v>
      </c>
      <c r="E816" s="68" t="n">
        <v>130143.088489893</v>
      </c>
      <c r="F816" s="69" t="n">
        <v>87797.9207533599</v>
      </c>
      <c r="G816" s="70" t="n">
        <v>130092.112965313</v>
      </c>
      <c r="H816" s="71" t="n">
        <v>87785.8739142287</v>
      </c>
      <c r="I816" s="72" t="str">
        <f>H816-F816</f>
      </c>
      <c r="J816" s="73" t="str">
        <f>G816-E816</f>
      </c>
    </row>
    <row r="817">
      <c r="A817" t="s">
        <v>214</v>
      </c>
      <c r="B817" t="s">
        <v>216</v>
      </c>
      <c r="C817" s="67" t="n">
        <v>2037</v>
      </c>
      <c r="D817" t="s">
        <v>180</v>
      </c>
      <c r="E817" s="68" t="n">
        <v>427470.69145497</v>
      </c>
      <c r="F817" s="69" t="n">
        <v>396817.030963645</v>
      </c>
      <c r="G817" s="70" t="n">
        <v>429674.679324948</v>
      </c>
      <c r="H817" s="71" t="n">
        <v>398473.813386608</v>
      </c>
      <c r="I817" s="72" t="str">
        <f>H817-F817</f>
      </c>
      <c r="J817" s="73" t="str">
        <f>G817-E817</f>
      </c>
    </row>
    <row r="818">
      <c r="A818" t="s">
        <v>214</v>
      </c>
      <c r="B818" t="s">
        <v>216</v>
      </c>
      <c r="C818" s="67" t="n">
        <v>2037</v>
      </c>
      <c r="D818" t="s">
        <v>183</v>
      </c>
      <c r="E818" s="68" t="n">
        <v>730413.896981033</v>
      </c>
      <c r="F818" s="69" t="n">
        <v>452183.11932154</v>
      </c>
      <c r="G818" s="70" t="n">
        <v>741261.427234993</v>
      </c>
      <c r="H818" s="71" t="n">
        <v>455168.184528758</v>
      </c>
      <c r="I818" s="72" t="str">
        <f>H818-F818</f>
      </c>
      <c r="J818" s="73" t="str">
        <f>G818-E818</f>
      </c>
    </row>
    <row r="819">
      <c r="A819" t="s">
        <v>214</v>
      </c>
      <c r="B819" t="s">
        <v>216</v>
      </c>
      <c r="C819" s="67" t="n">
        <v>2037</v>
      </c>
      <c r="D819" t="s">
        <v>186</v>
      </c>
      <c r="E819" s="68" t="n">
        <v>547937.050448563</v>
      </c>
      <c r="F819" s="69" t="n">
        <v>307196.845538768</v>
      </c>
      <c r="G819" s="70" t="n">
        <v>553258.517761357</v>
      </c>
      <c r="H819" s="71" t="n">
        <v>308666.043562302</v>
      </c>
      <c r="I819" s="72" t="str">
        <f>H819-F819</f>
      </c>
      <c r="J819" s="73" t="str">
        <f>G819-E819</f>
      </c>
    </row>
    <row r="820">
      <c r="A820" t="s">
        <v>214</v>
      </c>
      <c r="B820" t="s">
        <v>216</v>
      </c>
      <c r="C820" s="67" t="n">
        <v>2037</v>
      </c>
      <c r="D820" t="s">
        <v>366</v>
      </c>
      <c r="E820" s="68" t="n">
        <v>43887.4924049059</v>
      </c>
      <c r="F820" s="69" t="n">
        <v>7485.66636408692</v>
      </c>
      <c r="G820" s="70" t="n">
        <v>43886.4966397613</v>
      </c>
      <c r="H820" s="71" t="n">
        <v>7485.63945861012</v>
      </c>
      <c r="I820" s="72" t="str">
        <f>H820-F820</f>
      </c>
      <c r="J820" s="73" t="str">
        <f>G820-E820</f>
      </c>
    </row>
    <row r="821">
      <c r="A821" t="s">
        <v>214</v>
      </c>
      <c r="B821" t="s">
        <v>216</v>
      </c>
      <c r="C821" s="67" t="n">
        <v>2038</v>
      </c>
      <c r="D821" t="s">
        <v>169</v>
      </c>
      <c r="E821" s="68" t="n">
        <v>18289.648330461</v>
      </c>
      <c r="F821" s="69" t="n">
        <v>13111.6294354745</v>
      </c>
      <c r="G821" s="70" t="n">
        <v>18278.6195315823</v>
      </c>
      <c r="H821" s="71" t="n">
        <v>13108.2586821674</v>
      </c>
      <c r="I821" s="72" t="str">
        <f>H821-F821</f>
      </c>
      <c r="J821" s="73" t="str">
        <f>G821-E821</f>
      </c>
    </row>
    <row r="822">
      <c r="A822" t="s">
        <v>214</v>
      </c>
      <c r="B822" t="s">
        <v>216</v>
      </c>
      <c r="C822" s="67" t="n">
        <v>2038</v>
      </c>
      <c r="D822" t="s">
        <v>208</v>
      </c>
      <c r="E822" s="68" t="n">
        <v>1164667.75262902</v>
      </c>
      <c r="F822" s="69" t="n">
        <v>233762.189361287</v>
      </c>
      <c r="G822" s="70" t="n">
        <v>1176286.23006217</v>
      </c>
      <c r="H822" s="71" t="n">
        <v>234286.302403295</v>
      </c>
      <c r="I822" s="72" t="str">
        <f>H822-F822</f>
      </c>
      <c r="J822" s="73" t="str">
        <f>G822-E822</f>
      </c>
    </row>
    <row r="823">
      <c r="A823" t="s">
        <v>214</v>
      </c>
      <c r="B823" t="s">
        <v>216</v>
      </c>
      <c r="C823" s="67" t="n">
        <v>2038</v>
      </c>
      <c r="D823" t="s">
        <v>176</v>
      </c>
      <c r="E823" s="68" t="n">
        <v>133069.701461846</v>
      </c>
      <c r="F823" s="69" t="n">
        <v>89779.4330404107</v>
      </c>
      <c r="G823" s="70" t="n">
        <v>133004.77137127</v>
      </c>
      <c r="H823" s="71" t="n">
        <v>89762.9085046272</v>
      </c>
      <c r="I823" s="72" t="str">
        <f>H823-F823</f>
      </c>
      <c r="J823" s="73" t="str">
        <f>G823-E823</f>
      </c>
    </row>
    <row r="824">
      <c r="A824" t="s">
        <v>214</v>
      </c>
      <c r="B824" t="s">
        <v>216</v>
      </c>
      <c r="C824" s="67" t="n">
        <v>2038</v>
      </c>
      <c r="D824" t="s">
        <v>180</v>
      </c>
      <c r="E824" s="68" t="n">
        <v>434523.013944446</v>
      </c>
      <c r="F824" s="69" t="n">
        <v>403567.055600521</v>
      </c>
      <c r="G824" s="70" t="n">
        <v>436878.359538317</v>
      </c>
      <c r="H824" s="71" t="n">
        <v>405384.957772321</v>
      </c>
      <c r="I824" s="72" t="str">
        <f>H824-F824</f>
      </c>
      <c r="J824" s="73" t="str">
        <f>G824-E824</f>
      </c>
    </row>
    <row r="825">
      <c r="A825" t="s">
        <v>214</v>
      </c>
      <c r="B825" t="s">
        <v>216</v>
      </c>
      <c r="C825" s="67" t="n">
        <v>2038</v>
      </c>
      <c r="D825" t="s">
        <v>183</v>
      </c>
      <c r="E825" s="68" t="n">
        <v>741928.348814567</v>
      </c>
      <c r="F825" s="69" t="n">
        <v>461884.147715324</v>
      </c>
      <c r="G825" s="70" t="n">
        <v>753560.822146793</v>
      </c>
      <c r="H825" s="71" t="n">
        <v>465342.91786371</v>
      </c>
      <c r="I825" s="72" t="str">
        <f>H825-F825</f>
      </c>
      <c r="J825" s="73" t="str">
        <f>G825-E825</f>
      </c>
    </row>
    <row r="826">
      <c r="A826" t="s">
        <v>214</v>
      </c>
      <c r="B826" t="s">
        <v>216</v>
      </c>
      <c r="C826" s="67" t="n">
        <v>2038</v>
      </c>
      <c r="D826" t="s">
        <v>186</v>
      </c>
      <c r="E826" s="68" t="n">
        <v>559686.077235886</v>
      </c>
      <c r="F826" s="69" t="n">
        <v>316770.415414878</v>
      </c>
      <c r="G826" s="70" t="n">
        <v>565403.758799385</v>
      </c>
      <c r="H826" s="71" t="n">
        <v>318461.022248122</v>
      </c>
      <c r="I826" s="72" t="str">
        <f>H826-F826</f>
      </c>
      <c r="J826" s="73" t="str">
        <f>G826-E826</f>
      </c>
    </row>
    <row r="827">
      <c r="A827" t="s">
        <v>214</v>
      </c>
      <c r="B827" t="s">
        <v>216</v>
      </c>
      <c r="C827" s="67" t="n">
        <v>2038</v>
      </c>
      <c r="D827" t="s">
        <v>366</v>
      </c>
      <c r="E827" s="68" t="n">
        <v>43732.0069879784</v>
      </c>
      <c r="F827" s="69" t="n">
        <v>7517.80732934014</v>
      </c>
      <c r="G827" s="70" t="n">
        <v>43730.7448506382</v>
      </c>
      <c r="H827" s="71" t="n">
        <v>7517.77035327065</v>
      </c>
      <c r="I827" s="72" t="str">
        <f>H827-F827</f>
      </c>
      <c r="J827" s="73" t="str">
        <f>G827-E827</f>
      </c>
    </row>
    <row r="828">
      <c r="A828" t="s">
        <v>214</v>
      </c>
      <c r="B828" t="s">
        <v>216</v>
      </c>
      <c r="C828" s="67" t="n">
        <v>2039</v>
      </c>
      <c r="D828" t="s">
        <v>169</v>
      </c>
      <c r="E828" s="68" t="n">
        <v>18765.8650082143</v>
      </c>
      <c r="F828" s="69" t="n">
        <v>13409.1122065603</v>
      </c>
      <c r="G828" s="70" t="n">
        <v>18752.090499403</v>
      </c>
      <c r="H828" s="71" t="n">
        <v>13404.6696202756</v>
      </c>
      <c r="I828" s="72" t="str">
        <f>H828-F828</f>
      </c>
      <c r="J828" s="73" t="str">
        <f>G828-E828</f>
      </c>
    </row>
    <row r="829">
      <c r="A829" t="s">
        <v>214</v>
      </c>
      <c r="B829" t="s">
        <v>216</v>
      </c>
      <c r="C829" s="67" t="n">
        <v>2039</v>
      </c>
      <c r="D829" t="s">
        <v>208</v>
      </c>
      <c r="E829" s="68" t="n">
        <v>1172486.30998083</v>
      </c>
      <c r="F829" s="69" t="n">
        <v>241520.8207558</v>
      </c>
      <c r="G829" s="70" t="n">
        <v>1184738.39184491</v>
      </c>
      <c r="H829" s="71" t="n">
        <v>242132.191153164</v>
      </c>
      <c r="I829" s="72" t="str">
        <f>H829-F829</f>
      </c>
      <c r="J829" s="73" t="str">
        <f>G829-E829</f>
      </c>
    </row>
    <row r="830">
      <c r="A830" t="s">
        <v>214</v>
      </c>
      <c r="B830" t="s">
        <v>216</v>
      </c>
      <c r="C830" s="67" t="n">
        <v>2039</v>
      </c>
      <c r="D830" t="s">
        <v>176</v>
      </c>
      <c r="E830" s="68" t="n">
        <v>135952.866779996</v>
      </c>
      <c r="F830" s="69" t="n">
        <v>91738.2545136526</v>
      </c>
      <c r="G830" s="70" t="n">
        <v>135872.13136763</v>
      </c>
      <c r="H830" s="71" t="n">
        <v>91716.3663536023</v>
      </c>
      <c r="I830" s="72" t="str">
        <f>H830-F830</f>
      </c>
      <c r="J830" s="73" t="str">
        <f>G830-E830</f>
      </c>
    </row>
    <row r="831">
      <c r="A831" t="s">
        <v>214</v>
      </c>
      <c r="B831" t="s">
        <v>216</v>
      </c>
      <c r="C831" s="67" t="n">
        <v>2039</v>
      </c>
      <c r="D831" t="s">
        <v>180</v>
      </c>
      <c r="E831" s="68" t="n">
        <v>441408.684125092</v>
      </c>
      <c r="F831" s="69" t="n">
        <v>410148.631057064</v>
      </c>
      <c r="G831" s="70" t="n">
        <v>443905.980748337</v>
      </c>
      <c r="H831" s="71" t="n">
        <v>412120.21350488</v>
      </c>
      <c r="I831" s="72" t="str">
        <f>H831-F831</f>
      </c>
      <c r="J831" s="73" t="str">
        <f>G831-E831</f>
      </c>
    </row>
    <row r="832">
      <c r="A832" t="s">
        <v>214</v>
      </c>
      <c r="B832" t="s">
        <v>216</v>
      </c>
      <c r="C832" s="67" t="n">
        <v>2039</v>
      </c>
      <c r="D832" t="s">
        <v>183</v>
      </c>
      <c r="E832" s="68" t="n">
        <v>753147.126655064</v>
      </c>
      <c r="F832" s="69" t="n">
        <v>471325.087675327</v>
      </c>
      <c r="G832" s="70" t="n">
        <v>765528.467838857</v>
      </c>
      <c r="H832" s="71" t="n">
        <v>475269.787528918</v>
      </c>
      <c r="I832" s="72" t="str">
        <f>H832-F832</f>
      </c>
      <c r="J832" s="73" t="str">
        <f>G832-E832</f>
      </c>
    </row>
    <row r="833">
      <c r="A833" t="s">
        <v>214</v>
      </c>
      <c r="B833" t="s">
        <v>216</v>
      </c>
      <c r="C833" s="67" t="n">
        <v>2039</v>
      </c>
      <c r="D833" t="s">
        <v>186</v>
      </c>
      <c r="E833" s="68" t="n">
        <v>571318.311106507</v>
      </c>
      <c r="F833" s="69" t="n">
        <v>326329.059477752</v>
      </c>
      <c r="G833" s="70" t="n">
        <v>577414.514396235</v>
      </c>
      <c r="H833" s="71" t="n">
        <v>328246.401276368</v>
      </c>
      <c r="I833" s="72" t="str">
        <f>H833-F833</f>
      </c>
      <c r="J833" s="73" t="str">
        <f>G833-E833</f>
      </c>
    </row>
    <row r="834">
      <c r="A834" t="s">
        <v>214</v>
      </c>
      <c r="B834" t="s">
        <v>216</v>
      </c>
      <c r="C834" s="67" t="n">
        <v>2039</v>
      </c>
      <c r="D834" t="s">
        <v>366</v>
      </c>
      <c r="E834" s="68" t="n">
        <v>43590.4077324714</v>
      </c>
      <c r="F834" s="69" t="n">
        <v>7547.608920112</v>
      </c>
      <c r="G834" s="70" t="n">
        <v>43588.845456637</v>
      </c>
      <c r="H834" s="71" t="n">
        <v>7547.5598608641</v>
      </c>
      <c r="I834" s="72" t="str">
        <f>H834-F834</f>
      </c>
      <c r="J834" s="73" t="str">
        <f>G834-E834</f>
      </c>
    </row>
    <row r="835">
      <c r="A835" t="s">
        <v>214</v>
      </c>
      <c r="B835" t="s">
        <v>216</v>
      </c>
      <c r="C835" s="67" t="n">
        <v>2040</v>
      </c>
      <c r="D835" t="s">
        <v>169</v>
      </c>
      <c r="E835" s="68" t="n">
        <v>19252.6188884874</v>
      </c>
      <c r="F835" s="69" t="n">
        <v>13704.6679066116</v>
      </c>
      <c r="G835" s="70" t="n">
        <v>19235.7365429273</v>
      </c>
      <c r="H835" s="71" t="n">
        <v>13698.9721681132</v>
      </c>
      <c r="I835" s="72" t="str">
        <f>H835-F835</f>
      </c>
      <c r="J835" s="73" t="str">
        <f>G835-E835</f>
      </c>
    </row>
    <row r="836">
      <c r="A836" t="s">
        <v>214</v>
      </c>
      <c r="B836" t="s">
        <v>216</v>
      </c>
      <c r="C836" s="67" t="n">
        <v>2040</v>
      </c>
      <c r="D836" t="s">
        <v>208</v>
      </c>
      <c r="E836" s="68" t="n">
        <v>1179796.40014241</v>
      </c>
      <c r="F836" s="69" t="n">
        <v>249190.824174321</v>
      </c>
      <c r="G836" s="70" t="n">
        <v>1192634.43006365</v>
      </c>
      <c r="H836" s="71" t="n">
        <v>249894.478827588</v>
      </c>
      <c r="I836" s="72" t="str">
        <f>H836-F836</f>
      </c>
      <c r="J836" s="73" t="str">
        <f>G836-E836</f>
      </c>
    </row>
    <row r="837">
      <c r="A837" t="s">
        <v>214</v>
      </c>
      <c r="B837" t="s">
        <v>216</v>
      </c>
      <c r="C837" s="67" t="n">
        <v>2040</v>
      </c>
      <c r="D837" t="s">
        <v>176</v>
      </c>
      <c r="E837" s="68" t="n">
        <v>138788.188847574</v>
      </c>
      <c r="F837" s="69" t="n">
        <v>93665.0713515321</v>
      </c>
      <c r="G837" s="70" t="n">
        <v>138689.796610277</v>
      </c>
      <c r="H837" s="71" t="n">
        <v>93636.8967600593</v>
      </c>
      <c r="I837" s="72" t="str">
        <f>H837-F837</f>
      </c>
      <c r="J837" s="73" t="str">
        <f>G837-E837</f>
      </c>
    </row>
    <row r="838">
      <c r="A838" t="s">
        <v>214</v>
      </c>
      <c r="B838" t="s">
        <v>216</v>
      </c>
      <c r="C838" s="67" t="n">
        <v>2040</v>
      </c>
      <c r="D838" t="s">
        <v>180</v>
      </c>
      <c r="E838" s="68" t="n">
        <v>448211.437888758</v>
      </c>
      <c r="F838" s="69" t="n">
        <v>416503.731332503</v>
      </c>
      <c r="G838" s="70" t="n">
        <v>450841.764596063</v>
      </c>
      <c r="H838" s="71" t="n">
        <v>418620.908948174</v>
      </c>
      <c r="I838" s="72" t="str">
        <f>H838-F838</f>
      </c>
      <c r="J838" s="73" t="str">
        <f>G838-E838</f>
      </c>
    </row>
    <row r="839">
      <c r="A839" t="s">
        <v>214</v>
      </c>
      <c r="B839" t="s">
        <v>216</v>
      </c>
      <c r="C839" s="67" t="n">
        <v>2040</v>
      </c>
      <c r="D839" t="s">
        <v>183</v>
      </c>
      <c r="E839" s="68" t="n">
        <v>763995.237472893</v>
      </c>
      <c r="F839" s="69" t="n">
        <v>480508.119635113</v>
      </c>
      <c r="G839" s="70" t="n">
        <v>777088.496702091</v>
      </c>
      <c r="H839" s="71" t="n">
        <v>484947.105425179</v>
      </c>
      <c r="I839" s="72" t="str">
        <f>H839-F839</f>
      </c>
      <c r="J839" s="73" t="str">
        <f>G839-E839</f>
      </c>
    </row>
    <row r="840">
      <c r="A840" t="s">
        <v>214</v>
      </c>
      <c r="B840" t="s">
        <v>216</v>
      </c>
      <c r="C840" s="67" t="n">
        <v>2040</v>
      </c>
      <c r="D840" t="s">
        <v>186</v>
      </c>
      <c r="E840" s="68" t="n">
        <v>582902.127705602</v>
      </c>
      <c r="F840" s="69" t="n">
        <v>335890.992045076</v>
      </c>
      <c r="G840" s="70" t="n">
        <v>589359.733832842</v>
      </c>
      <c r="H840" s="71" t="n">
        <v>338039.010430446</v>
      </c>
      <c r="I840" s="72" t="str">
        <f>H840-F840</f>
      </c>
      <c r="J840" s="73" t="str">
        <f>G840-E840</f>
      </c>
    </row>
    <row r="841">
      <c r="A841" t="s">
        <v>214</v>
      </c>
      <c r="B841" t="s">
        <v>216</v>
      </c>
      <c r="C841" s="67" t="n">
        <v>2040</v>
      </c>
      <c r="D841" t="s">
        <v>366</v>
      </c>
      <c r="E841" s="68" t="n">
        <v>43466.7558402557</v>
      </c>
      <c r="F841" s="69" t="n">
        <v>7573.78880331136</v>
      </c>
      <c r="G841" s="70" t="n">
        <v>43464.8596818836</v>
      </c>
      <c r="H841" s="71" t="n">
        <v>7573.72556082699</v>
      </c>
      <c r="I841" s="72" t="str">
        <f>H841-F841</f>
      </c>
      <c r="J841" s="73" t="str">
        <f>G841-E841</f>
      </c>
    </row>
    <row r="842">
      <c r="A842" t="s">
        <v>214</v>
      </c>
      <c r="B842" t="s">
        <v>216</v>
      </c>
      <c r="C842" s="67" t="n">
        <v>2041</v>
      </c>
      <c r="D842" t="s">
        <v>169</v>
      </c>
      <c r="E842" s="68" t="n">
        <v>19747.6488361446</v>
      </c>
      <c r="F842" s="69" t="n">
        <v>13998.7469771124</v>
      </c>
      <c r="G842" s="70" t="n">
        <v>19727.283486384</v>
      </c>
      <c r="H842" s="71" t="n">
        <v>13991.6066902828</v>
      </c>
      <c r="I842" s="72" t="str">
        <f>H842-F842</f>
      </c>
      <c r="J842" s="73" t="str">
        <f>G842-E842</f>
      </c>
    </row>
    <row r="843">
      <c r="A843" t="s">
        <v>214</v>
      </c>
      <c r="B843" t="s">
        <v>216</v>
      </c>
      <c r="C843" s="67" t="n">
        <v>2041</v>
      </c>
      <c r="D843" t="s">
        <v>208</v>
      </c>
      <c r="E843" s="68" t="n">
        <v>1186609.41247222</v>
      </c>
      <c r="F843" s="69" t="n">
        <v>256798.356959691</v>
      </c>
      <c r="G843" s="70" t="n">
        <v>1199988.17586749</v>
      </c>
      <c r="H843" s="71" t="n">
        <v>257599.044002988</v>
      </c>
      <c r="I843" s="72" t="str">
        <f>H843-F843</f>
      </c>
      <c r="J843" s="73" t="str">
        <f>G843-E843</f>
      </c>
    </row>
    <row r="844">
      <c r="A844" t="s">
        <v>214</v>
      </c>
      <c r="B844" t="s">
        <v>216</v>
      </c>
      <c r="C844" s="67" t="n">
        <v>2041</v>
      </c>
      <c r="D844" t="s">
        <v>176</v>
      </c>
      <c r="E844" s="68" t="n">
        <v>141593.499855503</v>
      </c>
      <c r="F844" s="69" t="n">
        <v>95562.4208601203</v>
      </c>
      <c r="G844" s="70" t="n">
        <v>141475.570851386</v>
      </c>
      <c r="H844" s="71" t="n">
        <v>95527.0063786807</v>
      </c>
      <c r="I844" s="72" t="str">
        <f>H844-F844</f>
      </c>
      <c r="J844" s="73" t="str">
        <f>G844-E844</f>
      </c>
    </row>
    <row r="845">
      <c r="A845" t="s">
        <v>214</v>
      </c>
      <c r="B845" t="s">
        <v>216</v>
      </c>
      <c r="C845" s="67" t="n">
        <v>2041</v>
      </c>
      <c r="D845" t="s">
        <v>180</v>
      </c>
      <c r="E845" s="68" t="n">
        <v>454943.559899805</v>
      </c>
      <c r="F845" s="69" t="n">
        <v>422750.7027561</v>
      </c>
      <c r="G845" s="70" t="n">
        <v>457698.128134802</v>
      </c>
      <c r="H845" s="71" t="n">
        <v>425005.77720965</v>
      </c>
      <c r="I845" s="72" t="str">
        <f>H845-F845</f>
      </c>
      <c r="J845" s="73" t="str">
        <f>G845-E845</f>
      </c>
    </row>
    <row r="846">
      <c r="A846" t="s">
        <v>214</v>
      </c>
      <c r="B846" t="s">
        <v>216</v>
      </c>
      <c r="C846" s="67" t="n">
        <v>2041</v>
      </c>
      <c r="D846" t="s">
        <v>183</v>
      </c>
      <c r="E846" s="68" t="n">
        <v>774523.772649189</v>
      </c>
      <c r="F846" s="69" t="n">
        <v>489452.593586474</v>
      </c>
      <c r="G846" s="70" t="n">
        <v>788293.242756689</v>
      </c>
      <c r="H846" s="71" t="n">
        <v>494390.873248259</v>
      </c>
      <c r="I846" s="72" t="str">
        <f>H846-F846</f>
      </c>
      <c r="J846" s="73" t="str">
        <f>G846-E846</f>
      </c>
    </row>
    <row r="847">
      <c r="A847" t="s">
        <v>214</v>
      </c>
      <c r="B847" t="s">
        <v>216</v>
      </c>
      <c r="C847" s="67" t="n">
        <v>2041</v>
      </c>
      <c r="D847" t="s">
        <v>186</v>
      </c>
      <c r="E847" s="68" t="n">
        <v>594354.377339569</v>
      </c>
      <c r="F847" s="69" t="n">
        <v>345542.62677974</v>
      </c>
      <c r="G847" s="70" t="n">
        <v>601155.340946961</v>
      </c>
      <c r="H847" s="71" t="n">
        <v>347924.766327078</v>
      </c>
      <c r="I847" s="72" t="str">
        <f>H847-F847</f>
      </c>
      <c r="J847" s="73" t="str">
        <f>G847-E847</f>
      </c>
    </row>
    <row r="848">
      <c r="A848" t="s">
        <v>214</v>
      </c>
      <c r="B848" t="s">
        <v>216</v>
      </c>
      <c r="C848" s="67" t="n">
        <v>2041</v>
      </c>
      <c r="D848" t="s">
        <v>366</v>
      </c>
      <c r="E848" s="68" t="n">
        <v>43363.1991608617</v>
      </c>
      <c r="F848" s="69" t="n">
        <v>7596.07496543211</v>
      </c>
      <c r="G848" s="70" t="n">
        <v>43360.9356755525</v>
      </c>
      <c r="H848" s="71" t="n">
        <v>7595.99533386821</v>
      </c>
      <c r="I848" s="72" t="str">
        <f>H848-F848</f>
      </c>
      <c r="J848" s="73" t="str">
        <f>G848-E848</f>
      </c>
    </row>
    <row r="849">
      <c r="A849" t="s">
        <v>214</v>
      </c>
      <c r="B849" t="s">
        <v>216</v>
      </c>
      <c r="C849" s="67" t="n">
        <v>2042</v>
      </c>
      <c r="D849" t="s">
        <v>169</v>
      </c>
      <c r="E849" s="68" t="n">
        <v>20246.5031983725</v>
      </c>
      <c r="F849" s="69" t="n">
        <v>14293.4056167459</v>
      </c>
      <c r="G849" s="70" t="n">
        <v>20222.2683991647</v>
      </c>
      <c r="H849" s="71" t="n">
        <v>14284.6169088399</v>
      </c>
      <c r="I849" s="72" t="str">
        <f>H849-F849</f>
      </c>
      <c r="J849" s="73" t="str">
        <f>G849-E849</f>
      </c>
    </row>
    <row r="850">
      <c r="A850" t="s">
        <v>214</v>
      </c>
      <c r="B850" t="s">
        <v>216</v>
      </c>
      <c r="C850" s="67" t="n">
        <v>2042</v>
      </c>
      <c r="D850" t="s">
        <v>208</v>
      </c>
      <c r="E850" s="68" t="n">
        <v>1192923.82195816</v>
      </c>
      <c r="F850" s="69" t="n">
        <v>264387.143511336</v>
      </c>
      <c r="G850" s="70" t="n">
        <v>1206799.58929471</v>
      </c>
      <c r="H850" s="71" t="n">
        <v>265289.409116733</v>
      </c>
      <c r="I850" s="72" t="str">
        <f>H850-F850</f>
      </c>
      <c r="J850" s="73" t="str">
        <f>G850-E850</f>
      </c>
    </row>
    <row r="851">
      <c r="A851" t="s">
        <v>214</v>
      </c>
      <c r="B851" t="s">
        <v>216</v>
      </c>
      <c r="C851" s="67" t="n">
        <v>2042</v>
      </c>
      <c r="D851" t="s">
        <v>176</v>
      </c>
      <c r="E851" s="68" t="n">
        <v>144387.473894955</v>
      </c>
      <c r="F851" s="69" t="n">
        <v>97449.7989655036</v>
      </c>
      <c r="G851" s="70" t="n">
        <v>144248.066926011</v>
      </c>
      <c r="H851" s="71" t="n">
        <v>97406.1569770963</v>
      </c>
      <c r="I851" s="72" t="str">
        <f>H851-F851</f>
      </c>
      <c r="J851" s="73" t="str">
        <f>G851-E851</f>
      </c>
    </row>
    <row r="852">
      <c r="A852" t="s">
        <v>214</v>
      </c>
      <c r="B852" t="s">
        <v>216</v>
      </c>
      <c r="C852" s="67" t="n">
        <v>2042</v>
      </c>
      <c r="D852" t="s">
        <v>180</v>
      </c>
      <c r="E852" s="68" t="n">
        <v>461616.916185005</v>
      </c>
      <c r="F852" s="69" t="n">
        <v>429011.266754382</v>
      </c>
      <c r="G852" s="70" t="n">
        <v>464487.038990191</v>
      </c>
      <c r="H852" s="71" t="n">
        <v>431397.042999706</v>
      </c>
      <c r="I852" s="72" t="str">
        <f>H852-F852</f>
      </c>
      <c r="J852" s="73" t="str">
        <f>G852-E852</f>
      </c>
    </row>
    <row r="853">
      <c r="A853" t="s">
        <v>214</v>
      </c>
      <c r="B853" t="s">
        <v>216</v>
      </c>
      <c r="C853" s="67" t="n">
        <v>2042</v>
      </c>
      <c r="D853" t="s">
        <v>183</v>
      </c>
      <c r="E853" s="68" t="n">
        <v>784814.19711676</v>
      </c>
      <c r="F853" s="69" t="n">
        <v>498164.306728021</v>
      </c>
      <c r="G853" s="70" t="n">
        <v>799225.499121645</v>
      </c>
      <c r="H853" s="71" t="n">
        <v>503603.803809569</v>
      </c>
      <c r="I853" s="72" t="str">
        <f>H853-F853</f>
      </c>
      <c r="J853" s="73" t="str">
        <f>G853-E853</f>
      </c>
    </row>
    <row r="854">
      <c r="A854" t="s">
        <v>214</v>
      </c>
      <c r="B854" t="s">
        <v>216</v>
      </c>
      <c r="C854" s="67" t="n">
        <v>2042</v>
      </c>
      <c r="D854" t="s">
        <v>186</v>
      </c>
      <c r="E854" s="68" t="n">
        <v>605539.664682708</v>
      </c>
      <c r="F854" s="69" t="n">
        <v>355311.886182761</v>
      </c>
      <c r="G854" s="70" t="n">
        <v>612664.177038008</v>
      </c>
      <c r="H854" s="71" t="n">
        <v>357930.939504437</v>
      </c>
      <c r="I854" s="72" t="str">
        <f>H854-F854</f>
      </c>
      <c r="J854" s="73" t="str">
        <f>G854-E854</f>
      </c>
    </row>
    <row r="855">
      <c r="A855" t="s">
        <v>214</v>
      </c>
      <c r="B855" t="s">
        <v>216</v>
      </c>
      <c r="C855" s="67" t="n">
        <v>2042</v>
      </c>
      <c r="D855" t="s">
        <v>366</v>
      </c>
      <c r="E855" s="68" t="n">
        <v>43281.3925581597</v>
      </c>
      <c r="F855" s="69" t="n">
        <v>7616.69117280418</v>
      </c>
      <c r="G855" s="70" t="n">
        <v>43278.7284816073</v>
      </c>
      <c r="H855" s="71" t="n">
        <v>7616.59280355029</v>
      </c>
      <c r="I855" s="72" t="str">
        <f>H855-F855</f>
      </c>
      <c r="J855" s="73" t="str">
        <f>G855-E855</f>
      </c>
    </row>
    <row r="856">
      <c r="A856" t="s">
        <v>214</v>
      </c>
      <c r="B856" t="s">
        <v>216</v>
      </c>
      <c r="C856" s="67" t="n">
        <v>2043</v>
      </c>
      <c r="D856" t="s">
        <v>169</v>
      </c>
      <c r="E856" s="68" t="n">
        <v>20749.0593421817</v>
      </c>
      <c r="F856" s="69" t="n">
        <v>14583.5339228434</v>
      </c>
      <c r="G856" s="70" t="n">
        <v>20720.5482054553</v>
      </c>
      <c r="H856" s="71" t="n">
        <v>14572.8831532714</v>
      </c>
      <c r="I856" s="72" t="str">
        <f>H856-F856</f>
      </c>
      <c r="J856" s="73" t="str">
        <f>G856-E856</f>
      </c>
    </row>
    <row r="857">
      <c r="A857" t="s">
        <v>214</v>
      </c>
      <c r="B857" t="s">
        <v>216</v>
      </c>
      <c r="C857" s="67" t="n">
        <v>2043</v>
      </c>
      <c r="D857" t="s">
        <v>208</v>
      </c>
      <c r="E857" s="68" t="n">
        <v>1198719.04559243</v>
      </c>
      <c r="F857" s="69" t="n">
        <v>271942.43464554</v>
      </c>
      <c r="G857" s="70" t="n">
        <v>1213049.26096591</v>
      </c>
      <c r="H857" s="71" t="n">
        <v>272950.435419178</v>
      </c>
      <c r="I857" s="72" t="str">
        <f>H857-F857</f>
      </c>
      <c r="J857" s="73" t="str">
        <f>G857-E857</f>
      </c>
    </row>
    <row r="858">
      <c r="A858" t="s">
        <v>214</v>
      </c>
      <c r="B858" t="s">
        <v>216</v>
      </c>
      <c r="C858" s="67" t="n">
        <v>2043</v>
      </c>
      <c r="D858" t="s">
        <v>176</v>
      </c>
      <c r="E858" s="68" t="n">
        <v>147156.687143348</v>
      </c>
      <c r="F858" s="69" t="n">
        <v>99324.2818974337</v>
      </c>
      <c r="G858" s="70" t="n">
        <v>146993.814208207</v>
      </c>
      <c r="H858" s="71" t="n">
        <v>99271.3911680729</v>
      </c>
      <c r="I858" s="72" t="str">
        <f>H858-F858</f>
      </c>
      <c r="J858" s="73" t="str">
        <f>G858-E858</f>
      </c>
    </row>
    <row r="859">
      <c r="A859" t="s">
        <v>214</v>
      </c>
      <c r="B859" t="s">
        <v>216</v>
      </c>
      <c r="C859" s="67" t="n">
        <v>2043</v>
      </c>
      <c r="D859" t="s">
        <v>180</v>
      </c>
      <c r="E859" s="68" t="n">
        <v>468178.160373537</v>
      </c>
      <c r="F859" s="69" t="n">
        <v>435171.44004462</v>
      </c>
      <c r="G859" s="70" t="n">
        <v>471154.839580669</v>
      </c>
      <c r="H859" s="71" t="n">
        <v>437679.988471842</v>
      </c>
      <c r="I859" s="72" t="str">
        <f>H859-F859</f>
      </c>
      <c r="J859" s="73" t="str">
        <f>G859-E859</f>
      </c>
    </row>
    <row r="860">
      <c r="A860" t="s">
        <v>214</v>
      </c>
      <c r="B860" t="s">
        <v>216</v>
      </c>
      <c r="C860" s="67" t="n">
        <v>2043</v>
      </c>
      <c r="D860" t="s">
        <v>183</v>
      </c>
      <c r="E860" s="68" t="n">
        <v>794993.390025753</v>
      </c>
      <c r="F860" s="69" t="n">
        <v>506670.271822299</v>
      </c>
      <c r="G860" s="70" t="n">
        <v>810014.772834319</v>
      </c>
      <c r="H860" s="71" t="n">
        <v>512610.449179313</v>
      </c>
      <c r="I860" s="72" t="str">
        <f>H860-F860</f>
      </c>
      <c r="J860" s="73" t="str">
        <f>G860-E860</f>
      </c>
    </row>
    <row r="861">
      <c r="A861" t="s">
        <v>214</v>
      </c>
      <c r="B861" t="s">
        <v>216</v>
      </c>
      <c r="C861" s="67" t="n">
        <v>2043</v>
      </c>
      <c r="D861" t="s">
        <v>186</v>
      </c>
      <c r="E861" s="68" t="n">
        <v>616524.449491775</v>
      </c>
      <c r="F861" s="69" t="n">
        <v>365102.025589865</v>
      </c>
      <c r="G861" s="70" t="n">
        <v>623953.356494139</v>
      </c>
      <c r="H861" s="71" t="n">
        <v>367959.059248153</v>
      </c>
      <c r="I861" s="72" t="str">
        <f>H861-F861</f>
      </c>
      <c r="J861" s="73" t="str">
        <f>G861-E861</f>
      </c>
    </row>
    <row r="862">
      <c r="A862" t="s">
        <v>214</v>
      </c>
      <c r="B862" t="s">
        <v>216</v>
      </c>
      <c r="C862" s="67" t="n">
        <v>2043</v>
      </c>
      <c r="D862" t="s">
        <v>366</v>
      </c>
      <c r="E862" s="68" t="n">
        <v>43235.236423528</v>
      </c>
      <c r="F862" s="69" t="n">
        <v>7634.7576859645</v>
      </c>
      <c r="G862" s="70" t="n">
        <v>43232.1385441846</v>
      </c>
      <c r="H862" s="71" t="n">
        <v>7634.63809790975</v>
      </c>
      <c r="I862" s="72" t="str">
        <f>H862-F862</f>
      </c>
      <c r="J862" s="73" t="str">
        <f>G862-E862</f>
      </c>
    </row>
    <row r="863">
      <c r="A863" t="s">
        <v>214</v>
      </c>
      <c r="B863" t="s">
        <v>216</v>
      </c>
      <c r="C863" s="67" t="n">
        <v>2044</v>
      </c>
      <c r="D863" t="s">
        <v>169</v>
      </c>
      <c r="E863" s="68" t="n">
        <v>21253.4601161095</v>
      </c>
      <c r="F863" s="69" t="n">
        <v>14874.1657402076</v>
      </c>
      <c r="G863" s="70" t="n">
        <v>21220.2473713984</v>
      </c>
      <c r="H863" s="71" t="n">
        <v>14861.4315691186</v>
      </c>
      <c r="I863" s="72" t="str">
        <f>H863-F863</f>
      </c>
      <c r="J863" s="73" t="str">
        <f>G863-E863</f>
      </c>
    </row>
    <row r="864">
      <c r="A864" t="s">
        <v>214</v>
      </c>
      <c r="B864" t="s">
        <v>216</v>
      </c>
      <c r="C864" s="67" t="n">
        <v>2044</v>
      </c>
      <c r="D864" t="s">
        <v>208</v>
      </c>
      <c r="E864" s="68" t="n">
        <v>1204241.55625373</v>
      </c>
      <c r="F864" s="69" t="n">
        <v>279388.956194601</v>
      </c>
      <c r="G864" s="70" t="n">
        <v>1218988.4670045</v>
      </c>
      <c r="H864" s="71" t="n">
        <v>280506.441535508</v>
      </c>
      <c r="I864" s="72" t="str">
        <f>H864-F864</f>
      </c>
      <c r="J864" s="73" t="str">
        <f>G864-E864</f>
      </c>
    </row>
    <row r="865">
      <c r="A865" t="s">
        <v>214</v>
      </c>
      <c r="B865" t="s">
        <v>216</v>
      </c>
      <c r="C865" s="67" t="n">
        <v>2044</v>
      </c>
      <c r="D865" t="s">
        <v>176</v>
      </c>
      <c r="E865" s="68" t="n">
        <v>149884.576290095</v>
      </c>
      <c r="F865" s="69" t="n">
        <v>101175.476097825</v>
      </c>
      <c r="G865" s="70" t="n">
        <v>149696.213967301</v>
      </c>
      <c r="H865" s="71" t="n">
        <v>101112.290089553</v>
      </c>
      <c r="I865" s="72" t="str">
        <f>H865-F865</f>
      </c>
      <c r="J865" s="73" t="str">
        <f>G865-E865</f>
      </c>
    </row>
    <row r="866">
      <c r="A866" t="s">
        <v>214</v>
      </c>
      <c r="B866" t="s">
        <v>216</v>
      </c>
      <c r="C866" s="67" t="n">
        <v>2044</v>
      </c>
      <c r="D866" t="s">
        <v>180</v>
      </c>
      <c r="E866" s="68" t="n">
        <v>474507.819091437</v>
      </c>
      <c r="F866" s="69" t="n">
        <v>441177.702209077</v>
      </c>
      <c r="G866" s="70" t="n">
        <v>477581.314836645</v>
      </c>
      <c r="H866" s="71" t="n">
        <v>443800.637197395</v>
      </c>
      <c r="I866" s="72" t="str">
        <f>H866-F866</f>
      </c>
      <c r="J866" s="73" t="str">
        <f>G866-E866</f>
      </c>
    </row>
    <row r="867">
      <c r="A867" t="s">
        <v>214</v>
      </c>
      <c r="B867" t="s">
        <v>216</v>
      </c>
      <c r="C867" s="67" t="n">
        <v>2044</v>
      </c>
      <c r="D867" t="s">
        <v>183</v>
      </c>
      <c r="E867" s="68" t="n">
        <v>805140.660054418</v>
      </c>
      <c r="F867" s="69" t="n">
        <v>514981.865564704</v>
      </c>
      <c r="G867" s="70" t="n">
        <v>820742.370121934</v>
      </c>
      <c r="H867" s="71" t="n">
        <v>521420.170330997</v>
      </c>
      <c r="I867" s="72" t="str">
        <f>H867-F867</f>
      </c>
      <c r="J867" s="73" t="str">
        <f>G867-E867</f>
      </c>
    </row>
    <row r="868">
      <c r="A868" t="s">
        <v>214</v>
      </c>
      <c r="B868" t="s">
        <v>216</v>
      </c>
      <c r="C868" s="67" t="n">
        <v>2044</v>
      </c>
      <c r="D868" t="s">
        <v>186</v>
      </c>
      <c r="E868" s="68" t="n">
        <v>627310.35590459</v>
      </c>
      <c r="F868" s="69" t="n">
        <v>374824.262417187</v>
      </c>
      <c r="G868" s="70" t="n">
        <v>635024.546467649</v>
      </c>
      <c r="H868" s="71" t="n">
        <v>377918.589898958</v>
      </c>
      <c r="I868" s="72" t="str">
        <f>H868-F868</f>
      </c>
      <c r="J868" s="73" t="str">
        <f>G868-E868</f>
      </c>
    </row>
    <row r="869">
      <c r="A869" t="s">
        <v>214</v>
      </c>
      <c r="B869" t="s">
        <v>216</v>
      </c>
      <c r="C869" s="67" t="n">
        <v>2044</v>
      </c>
      <c r="D869" t="s">
        <v>366</v>
      </c>
      <c r="E869" s="68" t="n">
        <v>43206.1943865945</v>
      </c>
      <c r="F869" s="69" t="n">
        <v>7652.86525573831</v>
      </c>
      <c r="G869" s="70" t="n">
        <v>43202.6300388595</v>
      </c>
      <c r="H869" s="71" t="n">
        <v>7652.72182573668</v>
      </c>
      <c r="I869" s="72" t="str">
        <f>H869-F869</f>
      </c>
      <c r="J869" s="73" t="str">
        <f>G869-E869</f>
      </c>
    </row>
    <row r="870">
      <c r="A870" t="s">
        <v>214</v>
      </c>
      <c r="B870" t="s">
        <v>216</v>
      </c>
      <c r="C870" s="67" t="n">
        <v>2045</v>
      </c>
      <c r="D870" t="s">
        <v>169</v>
      </c>
      <c r="E870" s="68" t="n">
        <v>21755.9631397743</v>
      </c>
      <c r="F870" s="69" t="n">
        <v>15163.3437959796</v>
      </c>
      <c r="G870" s="70" t="n">
        <v>21717.6165215297</v>
      </c>
      <c r="H870" s="71" t="n">
        <v>15148.2979562423</v>
      </c>
      <c r="I870" s="72" t="str">
        <f>H870-F870</f>
      </c>
      <c r="J870" s="73" t="str">
        <f>G870-E870</f>
      </c>
    </row>
    <row r="871">
      <c r="A871" t="s">
        <v>214</v>
      </c>
      <c r="B871" t="s">
        <v>216</v>
      </c>
      <c r="C871" s="67" t="n">
        <v>2045</v>
      </c>
      <c r="D871" t="s">
        <v>208</v>
      </c>
      <c r="E871" s="68" t="n">
        <v>1209540.58683871</v>
      </c>
      <c r="F871" s="69" t="n">
        <v>286694.791212423</v>
      </c>
      <c r="G871" s="70" t="n">
        <v>1224668.96644768</v>
      </c>
      <c r="H871" s="71" t="n">
        <v>287925.043222784</v>
      </c>
      <c r="I871" s="72" t="str">
        <f>H871-F871</f>
      </c>
      <c r="J871" s="73" t="str">
        <f>G871-E871</f>
      </c>
    </row>
    <row r="872">
      <c r="A872" t="s">
        <v>214</v>
      </c>
      <c r="B872" t="s">
        <v>216</v>
      </c>
      <c r="C872" s="67" t="n">
        <v>2045</v>
      </c>
      <c r="D872" t="s">
        <v>176</v>
      </c>
      <c r="E872" s="68" t="n">
        <v>152553.930928008</v>
      </c>
      <c r="F872" s="69" t="n">
        <v>103009.865189582</v>
      </c>
      <c r="G872" s="70" t="n">
        <v>152338.052815886</v>
      </c>
      <c r="H872" s="71" t="n">
        <v>102935.314985138</v>
      </c>
      <c r="I872" s="72" t="str">
        <f>H872-F872</f>
      </c>
      <c r="J872" s="73" t="str">
        <f>G872-E872</f>
      </c>
    </row>
    <row r="873">
      <c r="A873" t="s">
        <v>214</v>
      </c>
      <c r="B873" t="s">
        <v>216</v>
      </c>
      <c r="C873" s="67" t="n">
        <v>2045</v>
      </c>
      <c r="D873" t="s">
        <v>180</v>
      </c>
      <c r="E873" s="68" t="n">
        <v>480563.139932811</v>
      </c>
      <c r="F873" s="69" t="n">
        <v>446989.026104673</v>
      </c>
      <c r="G873" s="70" t="n">
        <v>483723.516122198</v>
      </c>
      <c r="H873" s="71" t="n">
        <v>449717.558047709</v>
      </c>
      <c r="I873" s="72" t="str">
        <f>H873-F873</f>
      </c>
      <c r="J873" s="73" t="str">
        <f>G873-E873</f>
      </c>
    </row>
    <row r="874">
      <c r="A874" t="s">
        <v>214</v>
      </c>
      <c r="B874" t="s">
        <v>216</v>
      </c>
      <c r="C874" s="67" t="n">
        <v>2045</v>
      </c>
      <c r="D874" t="s">
        <v>183</v>
      </c>
      <c r="E874" s="68" t="n">
        <v>815316.251962822</v>
      </c>
      <c r="F874" s="69" t="n">
        <v>523063.068659758</v>
      </c>
      <c r="G874" s="70" t="n">
        <v>831470.210098177</v>
      </c>
      <c r="H874" s="71" t="n">
        <v>529994.226959208</v>
      </c>
      <c r="I874" s="72" t="str">
        <f>H874-F874</f>
      </c>
      <c r="J874" s="73" t="str">
        <f>G874-E874</f>
      </c>
    </row>
    <row r="875">
      <c r="A875" t="s">
        <v>214</v>
      </c>
      <c r="B875" t="s">
        <v>216</v>
      </c>
      <c r="C875" s="67" t="n">
        <v>2045</v>
      </c>
      <c r="D875" t="s">
        <v>186</v>
      </c>
      <c r="E875" s="68" t="n">
        <v>637751.887434567</v>
      </c>
      <c r="F875" s="69" t="n">
        <v>384421.493976143</v>
      </c>
      <c r="G875" s="70" t="n">
        <v>645730.44769896</v>
      </c>
      <c r="H875" s="71" t="n">
        <v>387750.678781898</v>
      </c>
      <c r="I875" s="72" t="str">
        <f>H875-F875</f>
      </c>
      <c r="J875" s="73" t="str">
        <f>G875-E875</f>
      </c>
    </row>
    <row r="876">
      <c r="A876" t="s">
        <v>214</v>
      </c>
      <c r="B876" t="s">
        <v>216</v>
      </c>
      <c r="C876" s="67" t="n">
        <v>2045</v>
      </c>
      <c r="D876" t="s">
        <v>366</v>
      </c>
      <c r="E876" s="68" t="n">
        <v>43194.6665908771</v>
      </c>
      <c r="F876" s="69" t="n">
        <v>7672.23825627544</v>
      </c>
      <c r="G876" s="70" t="n">
        <v>43190.6037513161</v>
      </c>
      <c r="H876" s="71" t="n">
        <v>7672.06822678464</v>
      </c>
      <c r="I876" s="72" t="str">
        <f>H876-F876</f>
      </c>
      <c r="J876" s="73" t="str">
        <f>G876-E876</f>
      </c>
    </row>
    <row r="877">
      <c r="A877" t="s">
        <v>214</v>
      </c>
      <c r="B877" t="s">
        <v>216</v>
      </c>
      <c r="C877" s="67" t="n">
        <v>2046</v>
      </c>
      <c r="D877" t="s">
        <v>169</v>
      </c>
      <c r="E877" s="68" t="n">
        <v>22254.89488017</v>
      </c>
      <c r="F877" s="69" t="n">
        <v>15454.4969754406</v>
      </c>
      <c r="G877" s="70" t="n">
        <v>22210.9745219107</v>
      </c>
      <c r="H877" s="71" t="n">
        <v>15436.8918612077</v>
      </c>
      <c r="I877" s="72" t="str">
        <f>H877-F877</f>
      </c>
      <c r="J877" s="73" t="str">
        <f>G877-E877</f>
      </c>
    </row>
    <row r="878">
      <c r="A878" t="s">
        <v>214</v>
      </c>
      <c r="B878" t="s">
        <v>216</v>
      </c>
      <c r="C878" s="67" t="n">
        <v>2046</v>
      </c>
      <c r="D878" t="s">
        <v>208</v>
      </c>
      <c r="E878" s="68" t="n">
        <v>1214648.10747938</v>
      </c>
      <c r="F878" s="69" t="n">
        <v>293820.140366977</v>
      </c>
      <c r="G878" s="70" t="n">
        <v>1230125.0687767</v>
      </c>
      <c r="H878" s="71" t="n">
        <v>295165.877208802</v>
      </c>
      <c r="I878" s="72" t="str">
        <f>H878-F878</f>
      </c>
      <c r="J878" s="73" t="str">
        <f>G878-E878</f>
      </c>
    </row>
    <row r="879">
      <c r="A879" t="s">
        <v>214</v>
      </c>
      <c r="B879" t="s">
        <v>216</v>
      </c>
      <c r="C879" s="67" t="n">
        <v>2046</v>
      </c>
      <c r="D879" t="s">
        <v>176</v>
      </c>
      <c r="E879" s="68" t="n">
        <v>155164.627978646</v>
      </c>
      <c r="F879" s="69" t="n">
        <v>104818.140441667</v>
      </c>
      <c r="G879" s="70" t="n">
        <v>154919.185199882</v>
      </c>
      <c r="H879" s="71" t="n">
        <v>104731.133984312</v>
      </c>
      <c r="I879" s="72" t="str">
        <f>H879-F879</f>
      </c>
      <c r="J879" s="73" t="str">
        <f>G879-E879</f>
      </c>
    </row>
    <row r="880">
      <c r="A880" t="s">
        <v>214</v>
      </c>
      <c r="B880" t="s">
        <v>216</v>
      </c>
      <c r="C880" s="67" t="n">
        <v>2046</v>
      </c>
      <c r="D880" t="s">
        <v>180</v>
      </c>
      <c r="E880" s="68" t="n">
        <v>486322.359737629</v>
      </c>
      <c r="F880" s="69" t="n">
        <v>452485.553112638</v>
      </c>
      <c r="G880" s="70" t="n">
        <v>489559.569488497</v>
      </c>
      <c r="H880" s="71" t="n">
        <v>455310.080020589</v>
      </c>
      <c r="I880" s="72" t="str">
        <f>H880-F880</f>
      </c>
      <c r="J880" s="73" t="str">
        <f>G880-E880</f>
      </c>
    </row>
    <row r="881">
      <c r="A881" t="s">
        <v>214</v>
      </c>
      <c r="B881" t="s">
        <v>216</v>
      </c>
      <c r="C881" s="67" t="n">
        <v>2046</v>
      </c>
      <c r="D881" t="s">
        <v>183</v>
      </c>
      <c r="E881" s="68" t="n">
        <v>825346.764683141</v>
      </c>
      <c r="F881" s="69" t="n">
        <v>531022.196582845</v>
      </c>
      <c r="G881" s="70" t="n">
        <v>842022.211146035</v>
      </c>
      <c r="H881" s="71" t="n">
        <v>538440.168228285</v>
      </c>
      <c r="I881" s="72" t="str">
        <f>H881-F881</f>
      </c>
      <c r="J881" s="73" t="str">
        <f>G881-E881</f>
      </c>
    </row>
    <row r="882">
      <c r="A882" t="s">
        <v>214</v>
      </c>
      <c r="B882" t="s">
        <v>216</v>
      </c>
      <c r="C882" s="67" t="n">
        <v>2046</v>
      </c>
      <c r="D882" t="s">
        <v>186</v>
      </c>
      <c r="E882" s="68" t="n">
        <v>647802.039147961</v>
      </c>
      <c r="F882" s="69" t="n">
        <v>393871.849007762</v>
      </c>
      <c r="G882" s="70" t="n">
        <v>656023.203848247</v>
      </c>
      <c r="H882" s="71" t="n">
        <v>397431.950602612</v>
      </c>
      <c r="I882" s="72" t="str">
        <f>H882-F882</f>
      </c>
      <c r="J882" s="73" t="str">
        <f>G882-E882</f>
      </c>
    </row>
    <row r="883">
      <c r="A883" t="s">
        <v>214</v>
      </c>
      <c r="B883" t="s">
        <v>216</v>
      </c>
      <c r="C883" s="67" t="n">
        <v>2046</v>
      </c>
      <c r="D883" t="s">
        <v>366</v>
      </c>
      <c r="E883" s="68" t="n">
        <v>43200.9040819961</v>
      </c>
      <c r="F883" s="69" t="n">
        <v>7693.75652109176</v>
      </c>
      <c r="G883" s="70" t="n">
        <v>43196.3103231123</v>
      </c>
      <c r="H883" s="71" t="n">
        <v>7693.55704865625</v>
      </c>
      <c r="I883" s="72" t="str">
        <f>H883-F883</f>
      </c>
      <c r="J883" s="73" t="str">
        <f>G883-E883</f>
      </c>
    </row>
    <row r="884">
      <c r="A884" t="s">
        <v>214</v>
      </c>
      <c r="B884" t="s">
        <v>216</v>
      </c>
      <c r="C884" s="67" t="n">
        <v>2047</v>
      </c>
      <c r="D884" t="s">
        <v>169</v>
      </c>
      <c r="E884" s="68" t="n">
        <v>22749.6080162394</v>
      </c>
      <c r="F884" s="69" t="n">
        <v>15748.9158724049</v>
      </c>
      <c r="G884" s="70" t="n">
        <v>22699.6629629007</v>
      </c>
      <c r="H884" s="71" t="n">
        <v>15728.4854947303</v>
      </c>
      <c r="I884" s="72" t="str">
        <f>H884-F884</f>
      </c>
      <c r="J884" s="73" t="str">
        <f>G884-E884</f>
      </c>
    </row>
    <row r="885">
      <c r="A885" t="s">
        <v>214</v>
      </c>
      <c r="B885" t="s">
        <v>216</v>
      </c>
      <c r="C885" s="67" t="n">
        <v>2047</v>
      </c>
      <c r="D885" t="s">
        <v>208</v>
      </c>
      <c r="E885" s="68" t="n">
        <v>1219481.28854714</v>
      </c>
      <c r="F885" s="69" t="n">
        <v>300717.191066465</v>
      </c>
      <c r="G885" s="70" t="n">
        <v>1235274.66521773</v>
      </c>
      <c r="H885" s="71" t="n">
        <v>302180.550312501</v>
      </c>
      <c r="I885" s="72" t="str">
        <f>H885-F885</f>
      </c>
      <c r="J885" s="73" t="str">
        <f>G885-E885</f>
      </c>
    </row>
    <row r="886">
      <c r="A886" t="s">
        <v>214</v>
      </c>
      <c r="B886" t="s">
        <v>216</v>
      </c>
      <c r="C886" s="67" t="n">
        <v>2047</v>
      </c>
      <c r="D886" t="s">
        <v>176</v>
      </c>
      <c r="E886" s="68" t="n">
        <v>157713.01417362</v>
      </c>
      <c r="F886" s="69" t="n">
        <v>106588.257054214</v>
      </c>
      <c r="G886" s="70" t="n">
        <v>157435.937342911</v>
      </c>
      <c r="H886" s="71" t="n">
        <v>106487.677760342</v>
      </c>
      <c r="I886" s="72" t="str">
        <f>H886-F886</f>
      </c>
      <c r="J886" s="73" t="str">
        <f>G886-E886</f>
      </c>
    </row>
    <row r="887">
      <c r="A887" t="s">
        <v>214</v>
      </c>
      <c r="B887" t="s">
        <v>216</v>
      </c>
      <c r="C887" s="67" t="n">
        <v>2047</v>
      </c>
      <c r="D887" t="s">
        <v>180</v>
      </c>
      <c r="E887" s="68" t="n">
        <v>491743.598202103</v>
      </c>
      <c r="F887" s="69" t="n">
        <v>457628.818862468</v>
      </c>
      <c r="G887" s="70" t="n">
        <v>495047.331680699</v>
      </c>
      <c r="H887" s="71" t="n">
        <v>460539.427749469</v>
      </c>
      <c r="I887" s="72" t="str">
        <f>H887-F887</f>
      </c>
      <c r="J887" s="73" t="str">
        <f>G887-E887</f>
      </c>
    </row>
    <row r="888">
      <c r="A888" t="s">
        <v>214</v>
      </c>
      <c r="B888" t="s">
        <v>216</v>
      </c>
      <c r="C888" s="67" t="n">
        <v>2047</v>
      </c>
      <c r="D888" t="s">
        <v>183</v>
      </c>
      <c r="E888" s="68" t="n">
        <v>835190.447864562</v>
      </c>
      <c r="F888" s="69" t="n">
        <v>538994.184733669</v>
      </c>
      <c r="G888" s="70" t="n">
        <v>852357.036896631</v>
      </c>
      <c r="H888" s="71" t="n">
        <v>546892.884748123</v>
      </c>
      <c r="I888" s="72" t="str">
        <f>H888-F888</f>
      </c>
      <c r="J888" s="73" t="str">
        <f>G888-E888</f>
      </c>
    </row>
    <row r="889">
      <c r="A889" t="s">
        <v>214</v>
      </c>
      <c r="B889" t="s">
        <v>216</v>
      </c>
      <c r="C889" s="67" t="n">
        <v>2047</v>
      </c>
      <c r="D889" t="s">
        <v>186</v>
      </c>
      <c r="E889" s="68" t="n">
        <v>657517.943775721</v>
      </c>
      <c r="F889" s="69" t="n">
        <v>403152.761076324</v>
      </c>
      <c r="G889" s="70" t="n">
        <v>665960.530537607</v>
      </c>
      <c r="H889" s="71" t="n">
        <v>406938.309858621</v>
      </c>
      <c r="I889" s="72" t="str">
        <f>H889-F889</f>
      </c>
      <c r="J889" s="73" t="str">
        <f>G889-E889</f>
      </c>
    </row>
    <row r="890">
      <c r="A890" t="s">
        <v>214</v>
      </c>
      <c r="B890" t="s">
        <v>216</v>
      </c>
      <c r="C890" s="67" t="n">
        <v>2047</v>
      </c>
      <c r="D890" t="s">
        <v>366</v>
      </c>
      <c r="E890" s="68" t="n">
        <v>43222.7919716069</v>
      </c>
      <c r="F890" s="69" t="n">
        <v>7716.49635592768</v>
      </c>
      <c r="G890" s="70" t="n">
        <v>43217.6341923504</v>
      </c>
      <c r="H890" s="71" t="n">
        <v>7716.26452507886</v>
      </c>
      <c r="I890" s="72" t="str">
        <f>H890-F890</f>
      </c>
      <c r="J890" s="73" t="str">
        <f>G890-E890</f>
      </c>
    </row>
    <row r="891">
      <c r="A891" t="s">
        <v>214</v>
      </c>
      <c r="B891" t="s">
        <v>216</v>
      </c>
      <c r="C891" s="67" t="n">
        <v>2048</v>
      </c>
      <c r="D891" t="s">
        <v>169</v>
      </c>
      <c r="E891" s="68" t="n">
        <v>23236.1986387899</v>
      </c>
      <c r="F891" s="69" t="n">
        <v>16048.7378415544</v>
      </c>
      <c r="G891" s="70" t="n">
        <v>23179.7775298232</v>
      </c>
      <c r="H891" s="71" t="n">
        <v>16025.2187605858</v>
      </c>
      <c r="I891" s="72" t="str">
        <f>H891-F891</f>
      </c>
      <c r="J891" s="73" t="str">
        <f>G891-E891</f>
      </c>
    </row>
    <row r="892">
      <c r="A892" t="s">
        <v>214</v>
      </c>
      <c r="B892" t="s">
        <v>216</v>
      </c>
      <c r="C892" s="67" t="n">
        <v>2048</v>
      </c>
      <c r="D892" t="s">
        <v>208</v>
      </c>
      <c r="E892" s="68" t="n">
        <v>1224128.51182645</v>
      </c>
      <c r="F892" s="69" t="n">
        <v>307381.538788407</v>
      </c>
      <c r="G892" s="70" t="n">
        <v>1240209.10376068</v>
      </c>
      <c r="H892" s="71" t="n">
        <v>308964.310377282</v>
      </c>
      <c r="I892" s="72" t="str">
        <f>H892-F892</f>
      </c>
      <c r="J892" s="73" t="str">
        <f>G892-E892</f>
      </c>
    </row>
    <row r="893">
      <c r="A893" t="s">
        <v>214</v>
      </c>
      <c r="B893" t="s">
        <v>216</v>
      </c>
      <c r="C893" s="67" t="n">
        <v>2048</v>
      </c>
      <c r="D893" t="s">
        <v>176</v>
      </c>
      <c r="E893" s="68" t="n">
        <v>160187.811617335</v>
      </c>
      <c r="F893" s="69" t="n">
        <v>108320.586169236</v>
      </c>
      <c r="G893" s="70" t="n">
        <v>159877.069557409</v>
      </c>
      <c r="H893" s="71" t="n">
        <v>108205.309376064</v>
      </c>
      <c r="I893" s="72" t="str">
        <f>H893-F893</f>
      </c>
      <c r="J893" s="73" t="str">
        <f>G893-E893</f>
      </c>
    </row>
    <row r="894">
      <c r="A894" t="s">
        <v>214</v>
      </c>
      <c r="B894" t="s">
        <v>216</v>
      </c>
      <c r="C894" s="67" t="n">
        <v>2048</v>
      </c>
      <c r="D894" t="s">
        <v>180</v>
      </c>
      <c r="E894" s="68" t="n">
        <v>496891.361454557</v>
      </c>
      <c r="F894" s="69" t="n">
        <v>462570.734197841</v>
      </c>
      <c r="G894" s="70" t="n">
        <v>500251.963676638</v>
      </c>
      <c r="H894" s="71" t="n">
        <v>465558.478994868</v>
      </c>
      <c r="I894" s="72" t="str">
        <f>H894-F894</f>
      </c>
      <c r="J894" s="73" t="str">
        <f>G894-E894</f>
      </c>
    </row>
    <row r="895">
      <c r="A895" t="s">
        <v>214</v>
      </c>
      <c r="B895" t="s">
        <v>216</v>
      </c>
      <c r="C895" s="67" t="n">
        <v>2048</v>
      </c>
      <c r="D895" t="s">
        <v>183</v>
      </c>
      <c r="E895" s="68" t="n">
        <v>844794.203008347</v>
      </c>
      <c r="F895" s="69" t="n">
        <v>546849.315447166</v>
      </c>
      <c r="G895" s="70" t="n">
        <v>862421.197666068</v>
      </c>
      <c r="H895" s="71" t="n">
        <v>555219.254274076</v>
      </c>
      <c r="I895" s="72" t="str">
        <f>H895-F895</f>
      </c>
      <c r="J895" s="73" t="str">
        <f>G895-E895</f>
      </c>
    </row>
    <row r="896">
      <c r="A896" t="s">
        <v>214</v>
      </c>
      <c r="B896" t="s">
        <v>216</v>
      </c>
      <c r="C896" s="67" t="n">
        <v>2048</v>
      </c>
      <c r="D896" t="s">
        <v>186</v>
      </c>
      <c r="E896" s="68" t="n">
        <v>666894.975111234</v>
      </c>
      <c r="F896" s="69" t="n">
        <v>412217.330418972</v>
      </c>
      <c r="G896" s="70" t="n">
        <v>675538.067131439</v>
      </c>
      <c r="H896" s="71" t="n">
        <v>416221.145643516</v>
      </c>
      <c r="I896" s="72" t="str">
        <f>H896-F896</f>
      </c>
      <c r="J896" s="73" t="str">
        <f>G896-E896</f>
      </c>
    </row>
    <row r="897">
      <c r="A897" t="s">
        <v>214</v>
      </c>
      <c r="B897" t="s">
        <v>216</v>
      </c>
      <c r="C897" s="67" t="n">
        <v>2048</v>
      </c>
      <c r="D897" t="s">
        <v>366</v>
      </c>
      <c r="E897" s="68" t="n">
        <v>43252.870330051</v>
      </c>
      <c r="F897" s="69" t="n">
        <v>7741.23548232968</v>
      </c>
      <c r="G897" s="70" t="n">
        <v>43247.1165682685</v>
      </c>
      <c r="H897" s="71" t="n">
        <v>7740.96823230914</v>
      </c>
      <c r="I897" s="72" t="str">
        <f>H897-F897</f>
      </c>
      <c r="J897" s="73" t="str">
        <f>G897-E897</f>
      </c>
    </row>
    <row r="898">
      <c r="A898" t="s">
        <v>214</v>
      </c>
      <c r="B898" t="s">
        <v>216</v>
      </c>
      <c r="C898" s="67" t="n">
        <v>2049</v>
      </c>
      <c r="D898" t="s">
        <v>169</v>
      </c>
      <c r="E898" s="68" t="n">
        <v>23713.6994943495</v>
      </c>
      <c r="F898" s="69" t="n">
        <v>16349.4866644602</v>
      </c>
      <c r="G898" s="70" t="n">
        <v>23650.3614840449</v>
      </c>
      <c r="H898" s="71" t="n">
        <v>16322.61151708</v>
      </c>
      <c r="I898" s="72" t="str">
        <f>H898-F898</f>
      </c>
      <c r="J898" s="73" t="str">
        <f>G898-E898</f>
      </c>
    </row>
    <row r="899">
      <c r="A899" t="s">
        <v>214</v>
      </c>
      <c r="B899" t="s">
        <v>216</v>
      </c>
      <c r="C899" s="67" t="n">
        <v>2049</v>
      </c>
      <c r="D899" t="s">
        <v>208</v>
      </c>
      <c r="E899" s="68" t="n">
        <v>1228617.80876281</v>
      </c>
      <c r="F899" s="69" t="n">
        <v>313825.07677696</v>
      </c>
      <c r="G899" s="70" t="n">
        <v>1244958.37630862</v>
      </c>
      <c r="H899" s="71" t="n">
        <v>315528.654574656</v>
      </c>
      <c r="I899" s="72" t="str">
        <f>H899-F899</f>
      </c>
      <c r="J899" s="73" t="str">
        <f>G899-E899</f>
      </c>
    </row>
    <row r="900">
      <c r="A900" t="s">
        <v>214</v>
      </c>
      <c r="B900" t="s">
        <v>216</v>
      </c>
      <c r="C900" s="67" t="n">
        <v>2049</v>
      </c>
      <c r="D900" t="s">
        <v>176</v>
      </c>
      <c r="E900" s="68" t="n">
        <v>162584.505469152</v>
      </c>
      <c r="F900" s="69" t="n">
        <v>110013.460856711</v>
      </c>
      <c r="G900" s="70" t="n">
        <v>162238.134685625</v>
      </c>
      <c r="H900" s="71" t="n">
        <v>109882.371148655</v>
      </c>
      <c r="I900" s="72" t="str">
        <f>H900-F900</f>
      </c>
      <c r="J900" s="73" t="str">
        <f>G900-E900</f>
      </c>
    </row>
    <row r="901">
      <c r="A901" t="s">
        <v>214</v>
      </c>
      <c r="B901" t="s">
        <v>216</v>
      </c>
      <c r="C901" s="67" t="n">
        <v>2049</v>
      </c>
      <c r="D901" t="s">
        <v>180</v>
      </c>
      <c r="E901" s="68" t="n">
        <v>501807.521984061</v>
      </c>
      <c r="F901" s="69" t="n">
        <v>467327.641115555</v>
      </c>
      <c r="G901" s="70" t="n">
        <v>505215.900508139</v>
      </c>
      <c r="H901" s="71" t="n">
        <v>470383.880162835</v>
      </c>
      <c r="I901" s="72" t="str">
        <f>H901-F901</f>
      </c>
      <c r="J901" s="73" t="str">
        <f>G901-E901</f>
      </c>
    </row>
    <row r="902">
      <c r="A902" t="s">
        <v>214</v>
      </c>
      <c r="B902" t="s">
        <v>216</v>
      </c>
      <c r="C902" s="67" t="n">
        <v>2049</v>
      </c>
      <c r="D902" t="s">
        <v>183</v>
      </c>
      <c r="E902" s="68" t="n">
        <v>853985.823266316</v>
      </c>
      <c r="F902" s="69" t="n">
        <v>554509.081928522</v>
      </c>
      <c r="G902" s="70" t="n">
        <v>872039.412561908</v>
      </c>
      <c r="H902" s="71" t="n">
        <v>563337.765593671</v>
      </c>
      <c r="I902" s="72" t="str">
        <f>H902-F902</f>
      </c>
      <c r="J902" s="73" t="str">
        <f>G902-E902</f>
      </c>
    </row>
    <row r="903">
      <c r="A903" t="s">
        <v>214</v>
      </c>
      <c r="B903" t="s">
        <v>216</v>
      </c>
      <c r="C903" s="67" t="n">
        <v>2049</v>
      </c>
      <c r="D903" t="s">
        <v>186</v>
      </c>
      <c r="E903" s="68" t="n">
        <v>675975.763321844</v>
      </c>
      <c r="F903" s="69" t="n">
        <v>420998.187312397</v>
      </c>
      <c r="G903" s="70" t="n">
        <v>684799.519243418</v>
      </c>
      <c r="H903" s="71" t="n">
        <v>425211.294806661</v>
      </c>
      <c r="I903" s="72" t="str">
        <f>H903-F903</f>
      </c>
      <c r="J903" s="73" t="str">
        <f>G903-E903</f>
      </c>
    </row>
    <row r="904">
      <c r="A904" t="s">
        <v>214</v>
      </c>
      <c r="B904" t="s">
        <v>216</v>
      </c>
      <c r="C904" s="67" t="n">
        <v>2049</v>
      </c>
      <c r="D904" t="s">
        <v>366</v>
      </c>
      <c r="E904" s="68" t="n">
        <v>43294.0738642475</v>
      </c>
      <c r="F904" s="69" t="n">
        <v>7764.73090327825</v>
      </c>
      <c r="G904" s="70" t="n">
        <v>43287.6941181752</v>
      </c>
      <c r="H904" s="71" t="n">
        <v>7764.42505773382</v>
      </c>
      <c r="I904" s="72" t="str">
        <f>H904-F904</f>
      </c>
      <c r="J904" s="73" t="str">
        <f>G904-E904</f>
      </c>
    </row>
    <row r="905">
      <c r="A905" t="s">
        <v>214</v>
      </c>
      <c r="B905" t="s">
        <v>216</v>
      </c>
      <c r="C905" s="67" t="n">
        <v>2050</v>
      </c>
      <c r="D905" t="s">
        <v>169</v>
      </c>
      <c r="E905" s="68" t="n">
        <v>24181.1144158194</v>
      </c>
      <c r="F905" s="69" t="n">
        <v>16649.4218167418</v>
      </c>
      <c r="G905" s="70" t="n">
        <v>24110.4306261692</v>
      </c>
      <c r="H905" s="71" t="n">
        <v>16618.9237091261</v>
      </c>
      <c r="I905" s="72" t="str">
        <f>H905-F905</f>
      </c>
      <c r="J905" s="73" t="str">
        <f>G905-E905</f>
      </c>
    </row>
    <row r="906">
      <c r="A906" t="s">
        <v>214</v>
      </c>
      <c r="B906" t="s">
        <v>216</v>
      </c>
      <c r="C906" s="67" t="n">
        <v>2050</v>
      </c>
      <c r="D906" t="s">
        <v>208</v>
      </c>
      <c r="E906" s="68" t="n">
        <v>1232999.37479916</v>
      </c>
      <c r="F906" s="69" t="n">
        <v>320040.74864141</v>
      </c>
      <c r="G906" s="70" t="n">
        <v>1249574.98129843</v>
      </c>
      <c r="H906" s="71" t="n">
        <v>321866.145423905</v>
      </c>
      <c r="I906" s="72" t="str">
        <f>H906-F906</f>
      </c>
      <c r="J906" s="73" t="str">
        <f>G906-E906</f>
      </c>
    </row>
    <row r="907">
      <c r="A907" t="s">
        <v>214</v>
      </c>
      <c r="B907" t="s">
        <v>216</v>
      </c>
      <c r="C907" s="67" t="n">
        <v>2050</v>
      </c>
      <c r="D907" t="s">
        <v>176</v>
      </c>
      <c r="E907" s="68" t="n">
        <v>164910.848727285</v>
      </c>
      <c r="F907" s="69" t="n">
        <v>111644.242371541</v>
      </c>
      <c r="G907" s="70" t="n">
        <v>164526.94959842</v>
      </c>
      <c r="H907" s="71" t="n">
        <v>111496.260054028</v>
      </c>
      <c r="I907" s="72" t="str">
        <f>H907-F907</f>
      </c>
      <c r="J907" s="73" t="str">
        <f>G907-E907</f>
      </c>
    </row>
    <row r="908">
      <c r="A908" t="s">
        <v>214</v>
      </c>
      <c r="B908" t="s">
        <v>216</v>
      </c>
      <c r="C908" s="67" t="n">
        <v>2050</v>
      </c>
      <c r="D908" t="s">
        <v>180</v>
      </c>
      <c r="E908" s="68" t="n">
        <v>506476.589843659</v>
      </c>
      <c r="F908" s="69" t="n">
        <v>471777.763996714</v>
      </c>
      <c r="G908" s="70" t="n">
        <v>509923.794653266</v>
      </c>
      <c r="H908" s="71" t="n">
        <v>474893.254554943</v>
      </c>
      <c r="I908" s="72" t="str">
        <f>H908-F908</f>
      </c>
      <c r="J908" s="73" t="str">
        <f>G908-E908</f>
      </c>
    </row>
    <row r="909">
      <c r="A909" t="s">
        <v>214</v>
      </c>
      <c r="B909" t="s">
        <v>216</v>
      </c>
      <c r="C909" s="67" t="n">
        <v>2050</v>
      </c>
      <c r="D909" t="s">
        <v>183</v>
      </c>
      <c r="E909" s="68" t="n">
        <v>862772.702499621</v>
      </c>
      <c r="F909" s="69" t="n">
        <v>562030.413870559</v>
      </c>
      <c r="G909" s="70" t="n">
        <v>881220.210178615</v>
      </c>
      <c r="H909" s="71" t="n">
        <v>571305.130665456</v>
      </c>
      <c r="I909" s="72" t="str">
        <f>H909-F909</f>
      </c>
      <c r="J909" s="73" t="str">
        <f>G909-E909</f>
      </c>
    </row>
    <row r="910">
      <c r="A910" t="s">
        <v>214</v>
      </c>
      <c r="B910" t="s">
        <v>216</v>
      </c>
      <c r="C910" s="67" t="n">
        <v>2050</v>
      </c>
      <c r="D910" t="s">
        <v>186</v>
      </c>
      <c r="E910" s="68" t="n">
        <v>684846.977465619</v>
      </c>
      <c r="F910" s="69" t="n">
        <v>429515.475702046</v>
      </c>
      <c r="G910" s="70" t="n">
        <v>693833.375810026</v>
      </c>
      <c r="H910" s="71" t="n">
        <v>433928.116842437</v>
      </c>
      <c r="I910" s="72" t="str">
        <f>H910-F910</f>
      </c>
      <c r="J910" s="73" t="str">
        <f>G910-E910</f>
      </c>
    </row>
    <row r="911">
      <c r="A911" t="s">
        <v>214</v>
      </c>
      <c r="B911" t="s">
        <v>216</v>
      </c>
      <c r="C911" s="67" t="n">
        <v>2050</v>
      </c>
      <c r="D911" t="s">
        <v>366</v>
      </c>
      <c r="E911" s="68" t="n">
        <v>43344.3678968718</v>
      </c>
      <c r="F911" s="69" t="n">
        <v>7785.94019288973</v>
      </c>
      <c r="G911" s="70" t="n">
        <v>43337.3340718481</v>
      </c>
      <c r="H911" s="71" t="n">
        <v>7785.59251624651</v>
      </c>
      <c r="I911" s="72" t="str">
        <f>H911-F911</f>
      </c>
      <c r="J911" s="73" t="str">
        <f>G911-E911</f>
      </c>
    </row>
    <row r="912">
      <c r="A912" t="s">
        <v>225</v>
      </c>
      <c r="B912" t="s">
        <v>227</v>
      </c>
      <c r="C912" s="67" t="n">
        <v>2025</v>
      </c>
      <c r="D912" t="s">
        <v>169</v>
      </c>
      <c r="E912" s="68" t="n">
        <v>12347.3896757033</v>
      </c>
      <c r="F912" s="69" t="n">
        <v>8975.30849722876</v>
      </c>
      <c r="G912" s="70" t="n">
        <v>12347.3896757033</v>
      </c>
      <c r="H912" s="71" t="n">
        <v>8975.30849722876</v>
      </c>
      <c r="I912" s="72" t="str">
        <f>H912-F912</f>
      </c>
      <c r="J912" s="73" t="str">
        <f>G912-E912</f>
      </c>
    </row>
    <row r="913">
      <c r="A913" t="s">
        <v>225</v>
      </c>
      <c r="B913" t="s">
        <v>227</v>
      </c>
      <c r="C913" s="67" t="n">
        <v>2025</v>
      </c>
      <c r="D913" t="s">
        <v>208</v>
      </c>
      <c r="E913" s="68" t="n">
        <v>1026043.97207164</v>
      </c>
      <c r="F913" s="69" t="n">
        <v>129403.022830672</v>
      </c>
      <c r="G913" s="70" t="n">
        <v>1026043.97207164</v>
      </c>
      <c r="H913" s="71" t="n">
        <v>129403.022830672</v>
      </c>
      <c r="I913" s="72" t="str">
        <f>H913-F913</f>
      </c>
      <c r="J913" s="73" t="str">
        <f>G913-E913</f>
      </c>
    </row>
    <row r="914">
      <c r="A914" t="s">
        <v>225</v>
      </c>
      <c r="B914" t="s">
        <v>227</v>
      </c>
      <c r="C914" s="67" t="n">
        <v>2025</v>
      </c>
      <c r="D914" t="s">
        <v>176</v>
      </c>
      <c r="E914" s="68" t="n">
        <v>91684.5090142746</v>
      </c>
      <c r="F914" s="69" t="n">
        <v>63318.7518252021</v>
      </c>
      <c r="G914" s="70" t="n">
        <v>91684.5090142746</v>
      </c>
      <c r="H914" s="71" t="n">
        <v>63318.7518252021</v>
      </c>
      <c r="I914" s="72" t="str">
        <f>H914-F914</f>
      </c>
      <c r="J914" s="73" t="str">
        <f>G914-E914</f>
      </c>
    </row>
    <row r="915">
      <c r="A915" t="s">
        <v>225</v>
      </c>
      <c r="B915" t="s">
        <v>227</v>
      </c>
      <c r="C915" s="67" t="n">
        <v>2025</v>
      </c>
      <c r="D915" t="s">
        <v>180</v>
      </c>
      <c r="E915" s="68" t="n">
        <v>327817.992111529</v>
      </c>
      <c r="F915" s="69" t="n">
        <v>300216.82861998</v>
      </c>
      <c r="G915" s="70" t="n">
        <v>327817.992111529</v>
      </c>
      <c r="H915" s="71" t="n">
        <v>300216.82861998</v>
      </c>
      <c r="I915" s="72" t="str">
        <f>H915-F915</f>
      </c>
      <c r="J915" s="73" t="str">
        <f>G915-E915</f>
      </c>
    </row>
    <row r="916">
      <c r="A916" t="s">
        <v>225</v>
      </c>
      <c r="B916" t="s">
        <v>227</v>
      </c>
      <c r="C916" s="67" t="n">
        <v>2025</v>
      </c>
      <c r="D916" t="s">
        <v>183</v>
      </c>
      <c r="E916" s="68" t="n">
        <v>563964.128928848</v>
      </c>
      <c r="F916" s="69" t="n">
        <v>321188.162987932</v>
      </c>
      <c r="G916" s="70" t="n">
        <v>563964.128928848</v>
      </c>
      <c r="H916" s="71" t="n">
        <v>321188.162987932</v>
      </c>
      <c r="I916" s="72" t="str">
        <f>H916-F916</f>
      </c>
      <c r="J916" s="73" t="str">
        <f>G916-E916</f>
      </c>
    </row>
    <row r="917">
      <c r="A917" t="s">
        <v>225</v>
      </c>
      <c r="B917" t="s">
        <v>227</v>
      </c>
      <c r="C917" s="67" t="n">
        <v>2025</v>
      </c>
      <c r="D917" t="s">
        <v>186</v>
      </c>
      <c r="E917" s="68" t="n">
        <v>396205.912797568</v>
      </c>
      <c r="F917" s="69" t="n">
        <v>191954.713579597</v>
      </c>
      <c r="G917" s="70" t="n">
        <v>396205.912797568</v>
      </c>
      <c r="H917" s="71" t="n">
        <v>191954.713579597</v>
      </c>
      <c r="I917" s="72" t="str">
        <f>H917-F917</f>
      </c>
      <c r="J917" s="73" t="str">
        <f>G917-E917</f>
      </c>
    </row>
    <row r="918">
      <c r="A918" t="s">
        <v>225</v>
      </c>
      <c r="B918" t="s">
        <v>227</v>
      </c>
      <c r="C918" s="67" t="n">
        <v>2025</v>
      </c>
      <c r="D918" t="s">
        <v>366</v>
      </c>
      <c r="E918" s="68" t="n">
        <v>44024.8557845561</v>
      </c>
      <c r="F918" s="69" t="n">
        <v>6961.02866951274</v>
      </c>
      <c r="G918" s="70" t="n">
        <v>44024.8557845561</v>
      </c>
      <c r="H918" s="71" t="n">
        <v>6961.02866951274</v>
      </c>
      <c r="I918" s="72" t="str">
        <f>H918-F918</f>
      </c>
      <c r="J918" s="73" t="str">
        <f>G918-E918</f>
      </c>
    </row>
    <row r="919">
      <c r="A919" t="s">
        <v>225</v>
      </c>
      <c r="B919" t="s">
        <v>227</v>
      </c>
      <c r="C919" s="67" t="n">
        <v>2026</v>
      </c>
      <c r="D919" t="s">
        <v>169</v>
      </c>
      <c r="E919" s="68" t="n">
        <v>12812.507871628</v>
      </c>
      <c r="F919" s="69" t="n">
        <v>9308.26420910955</v>
      </c>
      <c r="G919" s="70" t="n">
        <v>12812.507871628</v>
      </c>
      <c r="H919" s="71" t="n">
        <v>9308.26420910955</v>
      </c>
      <c r="I919" s="72" t="str">
        <f>H919-F919</f>
      </c>
      <c r="J919" s="73" t="str">
        <f>G919-E919</f>
      </c>
    </row>
    <row r="920">
      <c r="A920" t="s">
        <v>225</v>
      </c>
      <c r="B920" t="s">
        <v>227</v>
      </c>
      <c r="C920" s="67" t="n">
        <v>2026</v>
      </c>
      <c r="D920" t="s">
        <v>208</v>
      </c>
      <c r="E920" s="68" t="n">
        <v>1040956.74283153</v>
      </c>
      <c r="F920" s="69" t="n">
        <v>137191.896136923</v>
      </c>
      <c r="G920" s="70" t="n">
        <v>1040956.74283153</v>
      </c>
      <c r="H920" s="71" t="n">
        <v>137191.896136923</v>
      </c>
      <c r="I920" s="72" t="str">
        <f>H920-F920</f>
      </c>
      <c r="J920" s="73" t="str">
        <f>G920-E920</f>
      </c>
    </row>
    <row r="921">
      <c r="A921" t="s">
        <v>225</v>
      </c>
      <c r="B921" t="s">
        <v>227</v>
      </c>
      <c r="C921" s="67" t="n">
        <v>2026</v>
      </c>
      <c r="D921" t="s">
        <v>176</v>
      </c>
      <c r="E921" s="68" t="n">
        <v>95077.1833035265</v>
      </c>
      <c r="F921" s="69" t="n">
        <v>65164.4704134017</v>
      </c>
      <c r="G921" s="70" t="n">
        <v>95077.1833035265</v>
      </c>
      <c r="H921" s="71" t="n">
        <v>65164.4704134017</v>
      </c>
      <c r="I921" s="72" t="str">
        <f>H921-F921</f>
      </c>
      <c r="J921" s="73" t="str">
        <f>G921-E921</f>
      </c>
    </row>
    <row r="922">
      <c r="A922" t="s">
        <v>225</v>
      </c>
      <c r="B922" t="s">
        <v>227</v>
      </c>
      <c r="C922" s="67" t="n">
        <v>2026</v>
      </c>
      <c r="D922" t="s">
        <v>180</v>
      </c>
      <c r="E922" s="68" t="n">
        <v>336875.423495605</v>
      </c>
      <c r="F922" s="69" t="n">
        <v>308606.943045308</v>
      </c>
      <c r="G922" s="70" t="n">
        <v>336875.423495605</v>
      </c>
      <c r="H922" s="71" t="n">
        <v>308606.943045308</v>
      </c>
      <c r="I922" s="72" t="str">
        <f>H922-F922</f>
      </c>
      <c r="J922" s="73" t="str">
        <f>G922-E922</f>
      </c>
    </row>
    <row r="923">
      <c r="A923" t="s">
        <v>225</v>
      </c>
      <c r="B923" t="s">
        <v>227</v>
      </c>
      <c r="C923" s="67" t="n">
        <v>2026</v>
      </c>
      <c r="D923" t="s">
        <v>183</v>
      </c>
      <c r="E923" s="68" t="n">
        <v>580111.541957649</v>
      </c>
      <c r="F923" s="69" t="n">
        <v>332896.185768311</v>
      </c>
      <c r="G923" s="70" t="n">
        <v>580111.541957649</v>
      </c>
      <c r="H923" s="71" t="n">
        <v>332896.185768311</v>
      </c>
      <c r="I923" s="72" t="str">
        <f>H923-F923</f>
      </c>
      <c r="J923" s="73" t="str">
        <f>G923-E923</f>
      </c>
    </row>
    <row r="924">
      <c r="A924" t="s">
        <v>225</v>
      </c>
      <c r="B924" t="s">
        <v>227</v>
      </c>
      <c r="C924" s="67" t="n">
        <v>2026</v>
      </c>
      <c r="D924" t="s">
        <v>186</v>
      </c>
      <c r="E924" s="68" t="n">
        <v>409829.87281699</v>
      </c>
      <c r="F924" s="69" t="n">
        <v>202008.199783237</v>
      </c>
      <c r="G924" s="70" t="n">
        <v>409829.87281699</v>
      </c>
      <c r="H924" s="71" t="n">
        <v>202008.199783237</v>
      </c>
      <c r="I924" s="72" t="str">
        <f>H924-F924</f>
      </c>
      <c r="J924" s="73" t="str">
        <f>G924-E924</f>
      </c>
    </row>
    <row r="925">
      <c r="A925" t="s">
        <v>225</v>
      </c>
      <c r="B925" t="s">
        <v>227</v>
      </c>
      <c r="C925" s="67" t="n">
        <v>2026</v>
      </c>
      <c r="D925" t="s">
        <v>366</v>
      </c>
      <c r="E925" s="68" t="n">
        <v>44219.1707517653</v>
      </c>
      <c r="F925" s="69" t="n">
        <v>7023.77126872287</v>
      </c>
      <c r="G925" s="70" t="n">
        <v>44219.1707517653</v>
      </c>
      <c r="H925" s="71" t="n">
        <v>7023.77126872287</v>
      </c>
      <c r="I925" s="72" t="str">
        <f>H925-F925</f>
      </c>
      <c r="J925" s="73" t="str">
        <f>G925-E925</f>
      </c>
    </row>
    <row r="926">
      <c r="A926" t="s">
        <v>225</v>
      </c>
      <c r="B926" t="s">
        <v>227</v>
      </c>
      <c r="C926" s="67" t="n">
        <v>2027</v>
      </c>
      <c r="D926" t="s">
        <v>169</v>
      </c>
      <c r="E926" s="68" t="n">
        <v>13273.481772584</v>
      </c>
      <c r="F926" s="69" t="n">
        <v>9640.71530777017</v>
      </c>
      <c r="G926" s="70" t="n">
        <v>13273.481772584</v>
      </c>
      <c r="H926" s="71" t="n">
        <v>9640.71530777017</v>
      </c>
      <c r="I926" s="72" t="str">
        <f>H926-F926</f>
      </c>
      <c r="J926" s="73" t="str">
        <f>G926-E926</f>
      </c>
    </row>
    <row r="927">
      <c r="A927" t="s">
        <v>225</v>
      </c>
      <c r="B927" t="s">
        <v>227</v>
      </c>
      <c r="C927" s="67" t="n">
        <v>2027</v>
      </c>
      <c r="D927" t="s">
        <v>208</v>
      </c>
      <c r="E927" s="68" t="n">
        <v>1048958.64225812</v>
      </c>
      <c r="F927" s="69" t="n">
        <v>145087.130776418</v>
      </c>
      <c r="G927" s="70" t="n">
        <v>1055255.40879996</v>
      </c>
      <c r="H927" s="71" t="n">
        <v>145087.130776418</v>
      </c>
      <c r="I927" s="72" t="str">
        <f>H927-F927</f>
      </c>
      <c r="J927" s="73" t="str">
        <f>G927-E927</f>
      </c>
    </row>
    <row r="928">
      <c r="A928" t="s">
        <v>225</v>
      </c>
      <c r="B928" t="s">
        <v>227</v>
      </c>
      <c r="C928" s="67" t="n">
        <v>2027</v>
      </c>
      <c r="D928" t="s">
        <v>176</v>
      </c>
      <c r="E928" s="68" t="n">
        <v>98448.8278839669</v>
      </c>
      <c r="F928" s="69" t="n">
        <v>67068.0169086102</v>
      </c>
      <c r="G928" s="70" t="n">
        <v>98448.8278839669</v>
      </c>
      <c r="H928" s="71" t="n">
        <v>67068.0169086102</v>
      </c>
      <c r="I928" s="72" t="str">
        <f>H928-F928</f>
      </c>
      <c r="J928" s="73" t="str">
        <f>G928-E928</f>
      </c>
    </row>
    <row r="929">
      <c r="A929" t="s">
        <v>225</v>
      </c>
      <c r="B929" t="s">
        <v>227</v>
      </c>
      <c r="C929" s="67" t="n">
        <v>2027</v>
      </c>
      <c r="D929" t="s">
        <v>180</v>
      </c>
      <c r="E929" s="68" t="n">
        <v>344797.496669772</v>
      </c>
      <c r="F929" s="69" t="n">
        <v>317119.553552555</v>
      </c>
      <c r="G929" s="70" t="n">
        <v>345936.706716403</v>
      </c>
      <c r="H929" s="71" t="n">
        <v>317119.553552555</v>
      </c>
      <c r="I929" s="72" t="str">
        <f>H929-F929</f>
      </c>
      <c r="J929" s="73" t="str">
        <f>G929-E929</f>
      </c>
    </row>
    <row r="930">
      <c r="A930" t="s">
        <v>225</v>
      </c>
      <c r="B930" t="s">
        <v>227</v>
      </c>
      <c r="C930" s="67" t="n">
        <v>2027</v>
      </c>
      <c r="D930" t="s">
        <v>183</v>
      </c>
      <c r="E930" s="68" t="n">
        <v>590586.570198007</v>
      </c>
      <c r="F930" s="69" t="n">
        <v>344517.274659827</v>
      </c>
      <c r="G930" s="70" t="n">
        <v>596148.832334676</v>
      </c>
      <c r="H930" s="71" t="n">
        <v>344517.274659827</v>
      </c>
      <c r="I930" s="72" t="str">
        <f>H930-F930</f>
      </c>
      <c r="J930" s="73" t="str">
        <f>G930-E930</f>
      </c>
    </row>
    <row r="931">
      <c r="A931" t="s">
        <v>225</v>
      </c>
      <c r="B931" t="s">
        <v>227</v>
      </c>
      <c r="C931" s="67" t="n">
        <v>2027</v>
      </c>
      <c r="D931" t="s">
        <v>186</v>
      </c>
      <c r="E931" s="68" t="n">
        <v>420841.824141154</v>
      </c>
      <c r="F931" s="69" t="n">
        <v>211995.488024171</v>
      </c>
      <c r="G931" s="70" t="n">
        <v>423485.101321999</v>
      </c>
      <c r="H931" s="71" t="n">
        <v>211995.488024171</v>
      </c>
      <c r="I931" s="72" t="str">
        <f>H931-F931</f>
      </c>
      <c r="J931" s="73" t="str">
        <f>G931-E931</f>
      </c>
    </row>
    <row r="932">
      <c r="A932" t="s">
        <v>225</v>
      </c>
      <c r="B932" t="s">
        <v>227</v>
      </c>
      <c r="C932" s="67" t="n">
        <v>2027</v>
      </c>
      <c r="D932" t="s">
        <v>366</v>
      </c>
      <c r="E932" s="68" t="n">
        <v>44384.2018393689</v>
      </c>
      <c r="F932" s="69" t="n">
        <v>7080.05700568168</v>
      </c>
      <c r="G932" s="70" t="n">
        <v>44384.2018393689</v>
      </c>
      <c r="H932" s="71" t="n">
        <v>7080.05700568168</v>
      </c>
      <c r="I932" s="72" t="str">
        <f>H932-F932</f>
      </c>
      <c r="J932" s="73" t="str">
        <f>G932-E932</f>
      </c>
    </row>
    <row r="933">
      <c r="A933" t="s">
        <v>225</v>
      </c>
      <c r="B933" t="s">
        <v>227</v>
      </c>
      <c r="C933" s="67" t="n">
        <v>2028</v>
      </c>
      <c r="D933" t="s">
        <v>169</v>
      </c>
      <c r="E933" s="68" t="n">
        <v>13729.5005000864</v>
      </c>
      <c r="F933" s="69" t="n">
        <v>9971.45472163389</v>
      </c>
      <c r="G933" s="70" t="n">
        <v>13729.5005000864</v>
      </c>
      <c r="H933" s="71" t="n">
        <v>9971.45472163389</v>
      </c>
      <c r="I933" s="72" t="str">
        <f>H933-F933</f>
      </c>
      <c r="J933" s="73" t="str">
        <f>G933-E933</f>
      </c>
    </row>
    <row r="934">
      <c r="A934" t="s">
        <v>225</v>
      </c>
      <c r="B934" t="s">
        <v>227</v>
      </c>
      <c r="C934" s="67" t="n">
        <v>2028</v>
      </c>
      <c r="D934" t="s">
        <v>208</v>
      </c>
      <c r="E934" s="68" t="n">
        <v>1056682.16198922</v>
      </c>
      <c r="F934" s="69" t="n">
        <v>153035.126345883</v>
      </c>
      <c r="G934" s="70" t="n">
        <v>1069005.07088018</v>
      </c>
      <c r="H934" s="71" t="n">
        <v>153077.867387244</v>
      </c>
      <c r="I934" s="72" t="str">
        <f>H934-F934</f>
      </c>
      <c r="J934" s="73" t="str">
        <f>G934-E934</f>
      </c>
    </row>
    <row r="935">
      <c r="A935" t="s">
        <v>225</v>
      </c>
      <c r="B935" t="s">
        <v>227</v>
      </c>
      <c r="C935" s="67" t="n">
        <v>2028</v>
      </c>
      <c r="D935" t="s">
        <v>176</v>
      </c>
      <c r="E935" s="68" t="n">
        <v>101797.96761407</v>
      </c>
      <c r="F935" s="69" t="n">
        <v>69019.933123165</v>
      </c>
      <c r="G935" s="70" t="n">
        <v>101797.96761407</v>
      </c>
      <c r="H935" s="71" t="n">
        <v>69019.933123165</v>
      </c>
      <c r="I935" s="72" t="str">
        <f>H935-F935</f>
      </c>
      <c r="J935" s="73" t="str">
        <f>G935-E935</f>
      </c>
    </row>
    <row r="936">
      <c r="A936" t="s">
        <v>225</v>
      </c>
      <c r="B936" t="s">
        <v>227</v>
      </c>
      <c r="C936" s="67" t="n">
        <v>2028</v>
      </c>
      <c r="D936" t="s">
        <v>180</v>
      </c>
      <c r="E936" s="68" t="n">
        <v>352702.955101608</v>
      </c>
      <c r="F936" s="69" t="n">
        <v>325185.501516383</v>
      </c>
      <c r="G936" s="70" t="n">
        <v>354965.535819133</v>
      </c>
      <c r="H936" s="71" t="n">
        <v>325690.683016893</v>
      </c>
      <c r="I936" s="72" t="str">
        <f>H936-F936</f>
      </c>
      <c r="J936" s="73" t="str">
        <f>G936-E936</f>
      </c>
    </row>
    <row r="937">
      <c r="A937" t="s">
        <v>225</v>
      </c>
      <c r="B937" t="s">
        <v>227</v>
      </c>
      <c r="C937" s="67" t="n">
        <v>2028</v>
      </c>
      <c r="D937" t="s">
        <v>183</v>
      </c>
      <c r="E937" s="68" t="n">
        <v>601000.099455964</v>
      </c>
      <c r="F937" s="69" t="n">
        <v>355709.675632238</v>
      </c>
      <c r="G937" s="70" t="n">
        <v>612031.659444751</v>
      </c>
      <c r="H937" s="71" t="n">
        <v>356073.571438059</v>
      </c>
      <c r="I937" s="72" t="str">
        <f>H937-F937</f>
      </c>
      <c r="J937" s="73" t="str">
        <f>G937-E937</f>
      </c>
    </row>
    <row r="938">
      <c r="A938" t="s">
        <v>225</v>
      </c>
      <c r="B938" t="s">
        <v>227</v>
      </c>
      <c r="C938" s="67" t="n">
        <v>2028</v>
      </c>
      <c r="D938" t="s">
        <v>186</v>
      </c>
      <c r="E938" s="68" t="n">
        <v>431889.06819888</v>
      </c>
      <c r="F938" s="69" t="n">
        <v>221699.498254986</v>
      </c>
      <c r="G938" s="70" t="n">
        <v>437159.755191958</v>
      </c>
      <c r="H938" s="71" t="n">
        <v>221908.958563303</v>
      </c>
      <c r="I938" s="72" t="str">
        <f>H938-F938</f>
      </c>
      <c r="J938" s="73" t="str">
        <f>G938-E938</f>
      </c>
    </row>
    <row r="939">
      <c r="A939" t="s">
        <v>225</v>
      </c>
      <c r="B939" t="s">
        <v>227</v>
      </c>
      <c r="C939" s="67" t="n">
        <v>2028</v>
      </c>
      <c r="D939" t="s">
        <v>366</v>
      </c>
      <c r="E939" s="68" t="n">
        <v>44510.0649629929</v>
      </c>
      <c r="F939" s="69" t="n">
        <v>7131.07016356498</v>
      </c>
      <c r="G939" s="70" t="n">
        <v>44510.0649629929</v>
      </c>
      <c r="H939" s="71" t="n">
        <v>7131.07016356498</v>
      </c>
      <c r="I939" s="72" t="str">
        <f>H939-F939</f>
      </c>
      <c r="J939" s="73" t="str">
        <f>G939-E939</f>
      </c>
    </row>
    <row r="940">
      <c r="A940" t="s">
        <v>225</v>
      </c>
      <c r="B940" t="s">
        <v>227</v>
      </c>
      <c r="C940" s="67" t="n">
        <v>2029</v>
      </c>
      <c r="D940" t="s">
        <v>169</v>
      </c>
      <c r="E940" s="68" t="n">
        <v>14181.8461255932</v>
      </c>
      <c r="F940" s="69" t="n">
        <v>10301.2295792609</v>
      </c>
      <c r="G940" s="70" t="n">
        <v>14181.4236375467</v>
      </c>
      <c r="H940" s="71" t="n">
        <v>10301.2295792609</v>
      </c>
      <c r="I940" s="72" t="str">
        <f>H940-F940</f>
      </c>
      <c r="J940" s="73" t="str">
        <f>G940-E940</f>
      </c>
    </row>
    <row r="941">
      <c r="A941" t="s">
        <v>225</v>
      </c>
      <c r="B941" t="s">
        <v>227</v>
      </c>
      <c r="C941" s="67" t="n">
        <v>2029</v>
      </c>
      <c r="D941" t="s">
        <v>208</v>
      </c>
      <c r="E941" s="68" t="n">
        <v>1064178.69701571</v>
      </c>
      <c r="F941" s="69" t="n">
        <v>161033.007567955</v>
      </c>
      <c r="G941" s="70" t="n">
        <v>1082252.39423074</v>
      </c>
      <c r="H941" s="71" t="n">
        <v>161161.062132093</v>
      </c>
      <c r="I941" s="72" t="str">
        <f>H941-F941</f>
      </c>
      <c r="J941" s="73" t="str">
        <f>G941-E941</f>
      </c>
    </row>
    <row r="942">
      <c r="A942" t="s">
        <v>225</v>
      </c>
      <c r="B942" t="s">
        <v>227</v>
      </c>
      <c r="C942" s="67" t="n">
        <v>2029</v>
      </c>
      <c r="D942" t="s">
        <v>176</v>
      </c>
      <c r="E942" s="68" t="n">
        <v>105117.166255859</v>
      </c>
      <c r="F942" s="69" t="n">
        <v>71042.0544294395</v>
      </c>
      <c r="G942" s="70" t="n">
        <v>105114.693344183</v>
      </c>
      <c r="H942" s="71" t="n">
        <v>71042.0544294395</v>
      </c>
      <c r="I942" s="72" t="str">
        <f>H942-F942</f>
      </c>
      <c r="J942" s="73" t="str">
        <f>G942-E942</f>
      </c>
    </row>
    <row r="943">
      <c r="A943" t="s">
        <v>225</v>
      </c>
      <c r="B943" t="s">
        <v>227</v>
      </c>
      <c r="C943" s="67" t="n">
        <v>2029</v>
      </c>
      <c r="D943" t="s">
        <v>180</v>
      </c>
      <c r="E943" s="68" t="n">
        <v>360531.260038346</v>
      </c>
      <c r="F943" s="69" t="n">
        <v>333077.818640766</v>
      </c>
      <c r="G943" s="70" t="n">
        <v>363896.204247168</v>
      </c>
      <c r="H943" s="71" t="n">
        <v>334292.677138926</v>
      </c>
      <c r="I943" s="72" t="str">
        <f>H943-F943</f>
      </c>
      <c r="J943" s="73" t="str">
        <f>G943-E943</f>
      </c>
    </row>
    <row r="944">
      <c r="A944" t="s">
        <v>225</v>
      </c>
      <c r="B944" t="s">
        <v>227</v>
      </c>
      <c r="C944" s="67" t="n">
        <v>2029</v>
      </c>
      <c r="D944" t="s">
        <v>183</v>
      </c>
      <c r="E944" s="68" t="n">
        <v>611335.211854547</v>
      </c>
      <c r="F944" s="69" t="n">
        <v>366516.733347036</v>
      </c>
      <c r="G944" s="70" t="n">
        <v>627726.336898794</v>
      </c>
      <c r="H944" s="71" t="n">
        <v>367575.22274735</v>
      </c>
      <c r="I944" s="72" t="str">
        <f>H944-F944</f>
      </c>
      <c r="J944" s="73" t="str">
        <f>G944-E944</f>
      </c>
    </row>
    <row r="945">
      <c r="A945" t="s">
        <v>225</v>
      </c>
      <c r="B945" t="s">
        <v>227</v>
      </c>
      <c r="C945" s="67" t="n">
        <v>2029</v>
      </c>
      <c r="D945" t="s">
        <v>186</v>
      </c>
      <c r="E945" s="68" t="n">
        <v>442917.211556661</v>
      </c>
      <c r="F945" s="69" t="n">
        <v>231119.918009301</v>
      </c>
      <c r="G945" s="70" t="n">
        <v>450786.134013569</v>
      </c>
      <c r="H945" s="71" t="n">
        <v>231708.01887569</v>
      </c>
      <c r="I945" s="72" t="str">
        <f>H945-F945</f>
      </c>
      <c r="J945" s="73" t="str">
        <f>G945-E945</f>
      </c>
    </row>
    <row r="946">
      <c r="A946" t="s">
        <v>225</v>
      </c>
      <c r="B946" t="s">
        <v>227</v>
      </c>
      <c r="C946" s="67" t="n">
        <v>2029</v>
      </c>
      <c r="D946" t="s">
        <v>366</v>
      </c>
      <c r="E946" s="68" t="n">
        <v>44600.3125824681</v>
      </c>
      <c r="F946" s="69" t="n">
        <v>7178.21931597252</v>
      </c>
      <c r="G946" s="70" t="n">
        <v>44600.2614435955</v>
      </c>
      <c r="H946" s="71" t="n">
        <v>7178.21931597252</v>
      </c>
      <c r="I946" s="72" t="str">
        <f>H946-F946</f>
      </c>
      <c r="J946" s="73" t="str">
        <f>G946-E946</f>
      </c>
    </row>
    <row r="947">
      <c r="A947" t="s">
        <v>225</v>
      </c>
      <c r="B947" t="s">
        <v>227</v>
      </c>
      <c r="C947" s="67" t="n">
        <v>2030</v>
      </c>
      <c r="D947" t="s">
        <v>169</v>
      </c>
      <c r="E947" s="68" t="n">
        <v>14632.4667972739</v>
      </c>
      <c r="F947" s="69" t="n">
        <v>10630.3538572792</v>
      </c>
      <c r="G947" s="70" t="n">
        <v>14630.9263575645</v>
      </c>
      <c r="H947" s="71" t="n">
        <v>10630.2702680602</v>
      </c>
      <c r="I947" s="72" t="str">
        <f>H947-F947</f>
      </c>
      <c r="J947" s="73" t="str">
        <f>G947-E947</f>
      </c>
    </row>
    <row r="948">
      <c r="A948" t="s">
        <v>225</v>
      </c>
      <c r="B948" t="s">
        <v>227</v>
      </c>
      <c r="C948" s="67" t="n">
        <v>2030</v>
      </c>
      <c r="D948" t="s">
        <v>208</v>
      </c>
      <c r="E948" s="68" t="n">
        <v>1071409.02642171</v>
      </c>
      <c r="F948" s="69" t="n">
        <v>169059.555800625</v>
      </c>
      <c r="G948" s="70" t="n">
        <v>1094956.84444967</v>
      </c>
      <c r="H948" s="71" t="n">
        <v>169314.834038038</v>
      </c>
      <c r="I948" s="72" t="str">
        <f>H948-F948</f>
      </c>
      <c r="J948" s="73" t="str">
        <f>G948-E948</f>
      </c>
    </row>
    <row r="949">
      <c r="A949" t="s">
        <v>225</v>
      </c>
      <c r="B949" t="s">
        <v>227</v>
      </c>
      <c r="C949" s="67" t="n">
        <v>2030</v>
      </c>
      <c r="D949" t="s">
        <v>176</v>
      </c>
      <c r="E949" s="68" t="n">
        <v>108402.848898942</v>
      </c>
      <c r="F949" s="69" t="n">
        <v>73121.1823928759</v>
      </c>
      <c r="G949" s="70" t="n">
        <v>108393.77376612</v>
      </c>
      <c r="H949" s="71" t="n">
        <v>73120.8011068864</v>
      </c>
      <c r="I949" s="72" t="str">
        <f>H949-F949</f>
      </c>
      <c r="J949" s="73" t="str">
        <f>G949-E949</f>
      </c>
    </row>
    <row r="950">
      <c r="A950" t="s">
        <v>225</v>
      </c>
      <c r="B950" t="s">
        <v>227</v>
      </c>
      <c r="C950" s="67" t="n">
        <v>2030</v>
      </c>
      <c r="D950" t="s">
        <v>180</v>
      </c>
      <c r="E950" s="68" t="n">
        <v>368299.719003206</v>
      </c>
      <c r="F950" s="69" t="n">
        <v>340856.210670154</v>
      </c>
      <c r="G950" s="70" t="n">
        <v>372741.795461264</v>
      </c>
      <c r="H950" s="71" t="n">
        <v>342889.635366394</v>
      </c>
      <c r="I950" s="72" t="str">
        <f>H950-F950</f>
      </c>
      <c r="J950" s="73" t="str">
        <f>G950-E950</f>
      </c>
    </row>
    <row r="951">
      <c r="A951" t="s">
        <v>225</v>
      </c>
      <c r="B951" t="s">
        <v>227</v>
      </c>
      <c r="C951" s="67" t="n">
        <v>2030</v>
      </c>
      <c r="D951" t="s">
        <v>183</v>
      </c>
      <c r="E951" s="68" t="n">
        <v>621527.113668628</v>
      </c>
      <c r="F951" s="69" t="n">
        <v>376889.609943199</v>
      </c>
      <c r="G951" s="70" t="n">
        <v>643154.211305628</v>
      </c>
      <c r="H951" s="71" t="n">
        <v>378940.231267445</v>
      </c>
      <c r="I951" s="72" t="str">
        <f>H951-F951</f>
      </c>
      <c r="J951" s="73" t="str">
        <f>G951-E951</f>
      </c>
    </row>
    <row r="952">
      <c r="A952" t="s">
        <v>225</v>
      </c>
      <c r="B952" t="s">
        <v>227</v>
      </c>
      <c r="C952" s="67" t="n">
        <v>2030</v>
      </c>
      <c r="D952" t="s">
        <v>186</v>
      </c>
      <c r="E952" s="68" t="n">
        <v>453931.986049178</v>
      </c>
      <c r="F952" s="69" t="n">
        <v>240200.999443039</v>
      </c>
      <c r="G952" s="70" t="n">
        <v>464360.518103772</v>
      </c>
      <c r="H952" s="71" t="n">
        <v>241310.309903655</v>
      </c>
      <c r="I952" s="72" t="str">
        <f>H952-F952</f>
      </c>
      <c r="J952" s="73" t="str">
        <f>G952-E952</f>
      </c>
    </row>
    <row r="953">
      <c r="A953" t="s">
        <v>225</v>
      </c>
      <c r="B953" t="s">
        <v>227</v>
      </c>
      <c r="C953" s="67" t="n">
        <v>2030</v>
      </c>
      <c r="D953" t="s">
        <v>366</v>
      </c>
      <c r="E953" s="68" t="n">
        <v>44647.4551440355</v>
      </c>
      <c r="F953" s="69" t="n">
        <v>7223.11113007725</v>
      </c>
      <c r="G953" s="70" t="n">
        <v>44647.268915283</v>
      </c>
      <c r="H953" s="71" t="n">
        <v>7223.11031474236</v>
      </c>
      <c r="I953" s="72" t="str">
        <f>H953-F953</f>
      </c>
      <c r="J953" s="73" t="str">
        <f>G953-E953</f>
      </c>
    </row>
    <row r="954">
      <c r="A954" t="s">
        <v>225</v>
      </c>
      <c r="B954" t="s">
        <v>227</v>
      </c>
      <c r="C954" s="67" t="n">
        <v>2031</v>
      </c>
      <c r="D954" t="s">
        <v>169</v>
      </c>
      <c r="E954" s="68" t="n">
        <v>15083.9541045275</v>
      </c>
      <c r="F954" s="69" t="n">
        <v>10955.7886891968</v>
      </c>
      <c r="G954" s="70" t="n">
        <v>15080.3825495532</v>
      </c>
      <c r="H954" s="71" t="n">
        <v>10955.4255331558</v>
      </c>
      <c r="I954" s="72" t="str">
        <f>H954-F954</f>
      </c>
      <c r="J954" s="73" t="str">
        <f>G954-E954</f>
      </c>
    </row>
    <row r="955">
      <c r="A955" t="s">
        <v>225</v>
      </c>
      <c r="B955" t="s">
        <v>227</v>
      </c>
      <c r="C955" s="67" t="n">
        <v>2031</v>
      </c>
      <c r="D955" t="s">
        <v>208</v>
      </c>
      <c r="E955" s="68" t="n">
        <v>1078278.85307484</v>
      </c>
      <c r="F955" s="69" t="n">
        <v>177087.561837004</v>
      </c>
      <c r="G955" s="70" t="n">
        <v>1107027.69162894</v>
      </c>
      <c r="H955" s="71" t="n">
        <v>177510.906196669</v>
      </c>
      <c r="I955" s="72" t="str">
        <f>H955-F955</f>
      </c>
      <c r="J955" s="73" t="str">
        <f>G955-E955</f>
      </c>
    </row>
    <row r="956">
      <c r="A956" t="s">
        <v>225</v>
      </c>
      <c r="B956" t="s">
        <v>227</v>
      </c>
      <c r="C956" s="67" t="n">
        <v>2031</v>
      </c>
      <c r="D956" t="s">
        <v>176</v>
      </c>
      <c r="E956" s="68" t="n">
        <v>111654.078548386</v>
      </c>
      <c r="F956" s="69" t="n">
        <v>75231.8968246422</v>
      </c>
      <c r="G956" s="70" t="n">
        <v>111632.947554352</v>
      </c>
      <c r="H956" s="71" t="n">
        <v>75230.219664338</v>
      </c>
      <c r="I956" s="72" t="str">
        <f>H956-F956</f>
      </c>
      <c r="J956" s="73" t="str">
        <f>G956-E956</f>
      </c>
    </row>
    <row r="957">
      <c r="A957" t="s">
        <v>225</v>
      </c>
      <c r="B957" t="s">
        <v>227</v>
      </c>
      <c r="C957" s="67" t="n">
        <v>2031</v>
      </c>
      <c r="D957" t="s">
        <v>180</v>
      </c>
      <c r="E957" s="68" t="n">
        <v>375980.320899149</v>
      </c>
      <c r="F957" s="69" t="n">
        <v>348521.41009121</v>
      </c>
      <c r="G957" s="70" t="n">
        <v>381470.266781021</v>
      </c>
      <c r="H957" s="71" t="n">
        <v>351432.518672951</v>
      </c>
      <c r="I957" s="72" t="str">
        <f>H957-F957</f>
      </c>
      <c r="J957" s="73" t="str">
        <f>G957-E957</f>
      </c>
    </row>
    <row r="958">
      <c r="A958" t="s">
        <v>225</v>
      </c>
      <c r="B958" t="s">
        <v>227</v>
      </c>
      <c r="C958" s="67" t="n">
        <v>2031</v>
      </c>
      <c r="D958" t="s">
        <v>183</v>
      </c>
      <c r="E958" s="68" t="n">
        <v>631552.366850287</v>
      </c>
      <c r="F958" s="69" t="n">
        <v>386873.121621813</v>
      </c>
      <c r="G958" s="70" t="n">
        <v>658282.149268814</v>
      </c>
      <c r="H958" s="71" t="n">
        <v>390181.003020302</v>
      </c>
      <c r="I958" s="72" t="str">
        <f>H958-F958</f>
      </c>
      <c r="J958" s="73" t="str">
        <f>G958-E958</f>
      </c>
    </row>
    <row r="959">
      <c r="A959" t="s">
        <v>225</v>
      </c>
      <c r="B959" t="s">
        <v>227</v>
      </c>
      <c r="C959" s="67" t="n">
        <v>2031</v>
      </c>
      <c r="D959" t="s">
        <v>186</v>
      </c>
      <c r="E959" s="68" t="n">
        <v>464838.986431856</v>
      </c>
      <c r="F959" s="69" t="n">
        <v>249063.472986077</v>
      </c>
      <c r="G959" s="70" t="n">
        <v>477778.146047482</v>
      </c>
      <c r="H959" s="71" t="n">
        <v>250815.782662592</v>
      </c>
      <c r="I959" s="72" t="str">
        <f>H959-F959</f>
      </c>
      <c r="J959" s="73" t="str">
        <f>G959-E959</f>
      </c>
    </row>
    <row r="960">
      <c r="A960" t="s">
        <v>225</v>
      </c>
      <c r="B960" t="s">
        <v>227</v>
      </c>
      <c r="C960" s="67" t="n">
        <v>2031</v>
      </c>
      <c r="D960" t="s">
        <v>366</v>
      </c>
      <c r="E960" s="68" t="n">
        <v>44640.7771791154</v>
      </c>
      <c r="F960" s="69" t="n">
        <v>7266.769631265</v>
      </c>
      <c r="G960" s="70" t="n">
        <v>44640.3472954778</v>
      </c>
      <c r="H960" s="71" t="n">
        <v>7266.76600020754</v>
      </c>
      <c r="I960" s="72" t="str">
        <f>H960-F960</f>
      </c>
      <c r="J960" s="73" t="str">
        <f>G960-E960</f>
      </c>
    </row>
    <row r="961">
      <c r="A961" t="s">
        <v>225</v>
      </c>
      <c r="B961" t="s">
        <v>227</v>
      </c>
      <c r="C961" s="67" t="n">
        <v>2032</v>
      </c>
      <c r="D961" t="s">
        <v>169</v>
      </c>
      <c r="E961" s="68" t="n">
        <v>15537.9529938102</v>
      </c>
      <c r="F961" s="69" t="n">
        <v>11275.4544452948</v>
      </c>
      <c r="G961" s="70" t="n">
        <v>15531.2601955666</v>
      </c>
      <c r="H961" s="71" t="n">
        <v>11274.4954497352</v>
      </c>
      <c r="I961" s="72" t="str">
        <f>H961-F961</f>
      </c>
      <c r="J961" s="73" t="str">
        <f>G961-E961</f>
      </c>
    </row>
    <row r="962">
      <c r="A962" t="s">
        <v>225</v>
      </c>
      <c r="B962" t="s">
        <v>227</v>
      </c>
      <c r="C962" s="67" t="n">
        <v>2032</v>
      </c>
      <c r="D962" t="s">
        <v>208</v>
      </c>
      <c r="E962" s="68" t="n">
        <v>1084792.75725121</v>
      </c>
      <c r="F962" s="69" t="n">
        <v>185095.157970208</v>
      </c>
      <c r="G962" s="70" t="n">
        <v>1118477.32749824</v>
      </c>
      <c r="H962" s="71" t="n">
        <v>185725.999058801</v>
      </c>
      <c r="I962" s="72" t="str">
        <f>H962-F962</f>
      </c>
      <c r="J962" s="73" t="str">
        <f>G962-E962</f>
      </c>
    </row>
    <row r="963">
      <c r="A963" t="s">
        <v>225</v>
      </c>
      <c r="B963" t="s">
        <v>227</v>
      </c>
      <c r="C963" s="67" t="n">
        <v>2032</v>
      </c>
      <c r="D963" t="s">
        <v>176</v>
      </c>
      <c r="E963" s="68" t="n">
        <v>114874.943576335</v>
      </c>
      <c r="F963" s="69" t="n">
        <v>77357.5380914085</v>
      </c>
      <c r="G963" s="70" t="n">
        <v>114835.221802653</v>
      </c>
      <c r="H963" s="71" t="n">
        <v>77353.0610239329</v>
      </c>
      <c r="I963" s="72" t="str">
        <f>H963-F963</f>
      </c>
      <c r="J963" s="73" t="str">
        <f>G963-E963</f>
      </c>
    </row>
    <row r="964">
      <c r="A964" t="s">
        <v>225</v>
      </c>
      <c r="B964" t="s">
        <v>227</v>
      </c>
      <c r="C964" s="67" t="n">
        <v>2032</v>
      </c>
      <c r="D964" t="s">
        <v>180</v>
      </c>
      <c r="E964" s="68" t="n">
        <v>383494.432298223</v>
      </c>
      <c r="F964" s="69" t="n">
        <v>356016.768289326</v>
      </c>
      <c r="G964" s="70" t="n">
        <v>389998.376688754</v>
      </c>
      <c r="H964" s="71" t="n">
        <v>359834.546852866</v>
      </c>
      <c r="I964" s="72" t="str">
        <f>H964-F964</f>
      </c>
      <c r="J964" s="73" t="str">
        <f>G964-E964</f>
      </c>
    </row>
    <row r="965">
      <c r="A965" t="s">
        <v>225</v>
      </c>
      <c r="B965" t="s">
        <v>227</v>
      </c>
      <c r="C965" s="67" t="n">
        <v>2032</v>
      </c>
      <c r="D965" t="s">
        <v>183</v>
      </c>
      <c r="E965" s="68" t="n">
        <v>641439.698062403</v>
      </c>
      <c r="F965" s="69" t="n">
        <v>396519.025568069</v>
      </c>
      <c r="G965" s="70" t="n">
        <v>673133.888273266</v>
      </c>
      <c r="H965" s="71" t="n">
        <v>401318.286193472</v>
      </c>
      <c r="I965" s="72" t="str">
        <f>H965-F965</f>
      </c>
      <c r="J965" s="73" t="str">
        <f>G965-E965</f>
      </c>
    </row>
    <row r="966">
      <c r="A966" t="s">
        <v>225</v>
      </c>
      <c r="B966" t="s">
        <v>227</v>
      </c>
      <c r="C966" s="67" t="n">
        <v>2032</v>
      </c>
      <c r="D966" t="s">
        <v>186</v>
      </c>
      <c r="E966" s="68" t="n">
        <v>475515.558207705</v>
      </c>
      <c r="F966" s="69" t="n">
        <v>257846.930514685</v>
      </c>
      <c r="G966" s="70" t="n">
        <v>490904.70344578</v>
      </c>
      <c r="H966" s="71" t="n">
        <v>260346.937343717</v>
      </c>
      <c r="I966" s="72" t="str">
        <f>H966-F966</f>
      </c>
      <c r="J966" s="73" t="str">
        <f>G966-E966</f>
      </c>
    </row>
    <row r="967">
      <c r="A967" t="s">
        <v>225</v>
      </c>
      <c r="B967" t="s">
        <v>227</v>
      </c>
      <c r="C967" s="67" t="n">
        <v>2032</v>
      </c>
      <c r="D967" t="s">
        <v>366</v>
      </c>
      <c r="E967" s="68" t="n">
        <v>44584.046390388</v>
      </c>
      <c r="F967" s="69" t="n">
        <v>7308.69935918266</v>
      </c>
      <c r="G967" s="70" t="n">
        <v>44583.2455015959</v>
      </c>
      <c r="H967" s="71" t="n">
        <v>7308.68956833998</v>
      </c>
      <c r="I967" s="72" t="str">
        <f>H967-F967</f>
      </c>
      <c r="J967" s="73" t="str">
        <f>G967-E967</f>
      </c>
    </row>
    <row r="968">
      <c r="A968" t="s">
        <v>225</v>
      </c>
      <c r="B968" t="s">
        <v>227</v>
      </c>
      <c r="C968" s="67" t="n">
        <v>2033</v>
      </c>
      <c r="D968" t="s">
        <v>169</v>
      </c>
      <c r="E968" s="68" t="n">
        <v>15994.7724486213</v>
      </c>
      <c r="F968" s="69" t="n">
        <v>11588.9190726741</v>
      </c>
      <c r="G968" s="70" t="n">
        <v>15983.7175379286</v>
      </c>
      <c r="H968" s="71" t="n">
        <v>11586.9335708044</v>
      </c>
      <c r="I968" s="72" t="str">
        <f>H968-F968</f>
      </c>
      <c r="J968" s="73" t="str">
        <f>G968-E968</f>
      </c>
    </row>
    <row r="969">
      <c r="A969" t="s">
        <v>225</v>
      </c>
      <c r="B969" t="s">
        <v>227</v>
      </c>
      <c r="C969" s="67" t="n">
        <v>2033</v>
      </c>
      <c r="D969" t="s">
        <v>208</v>
      </c>
      <c r="E969" s="68" t="n">
        <v>1090874.77633427</v>
      </c>
      <c r="F969" s="69" t="n">
        <v>193076.973774398</v>
      </c>
      <c r="G969" s="70" t="n">
        <v>1129233.47845058</v>
      </c>
      <c r="H969" s="71" t="n">
        <v>193953.224223645</v>
      </c>
      <c r="I969" s="72" t="str">
        <f>H969-F969</f>
      </c>
      <c r="J969" s="73" t="str">
        <f>G969-E969</f>
      </c>
    </row>
    <row r="970">
      <c r="A970" t="s">
        <v>225</v>
      </c>
      <c r="B970" t="s">
        <v>227</v>
      </c>
      <c r="C970" s="67" t="n">
        <v>2033</v>
      </c>
      <c r="D970" t="s">
        <v>176</v>
      </c>
      <c r="E970" s="68" t="n">
        <v>118064.4381421</v>
      </c>
      <c r="F970" s="69" t="n">
        <v>79489.848671814</v>
      </c>
      <c r="G970" s="70" t="n">
        <v>117998.738437442</v>
      </c>
      <c r="H970" s="71" t="n">
        <v>79480.4761690429</v>
      </c>
      <c r="I970" s="72" t="str">
        <f>H970-F970</f>
      </c>
      <c r="J970" s="73" t="str">
        <f>G970-E970</f>
      </c>
    </row>
    <row r="971">
      <c r="A971" t="s">
        <v>225</v>
      </c>
      <c r="B971" t="s">
        <v>227</v>
      </c>
      <c r="C971" s="67" t="n">
        <v>2033</v>
      </c>
      <c r="D971" t="s">
        <v>180</v>
      </c>
      <c r="E971" s="68" t="n">
        <v>390872.974747264</v>
      </c>
      <c r="F971" s="69" t="n">
        <v>363318.891900982</v>
      </c>
      <c r="G971" s="70" t="n">
        <v>398354.344992358</v>
      </c>
      <c r="H971" s="71" t="n">
        <v>368051.624575443</v>
      </c>
      <c r="I971" s="72" t="str">
        <f>H971-F971</f>
      </c>
      <c r="J971" s="73" t="str">
        <f>G971-E971</f>
      </c>
    </row>
    <row r="972">
      <c r="A972" t="s">
        <v>225</v>
      </c>
      <c r="B972" t="s">
        <v>227</v>
      </c>
      <c r="C972" s="67" t="n">
        <v>2033</v>
      </c>
      <c r="D972" t="s">
        <v>183</v>
      </c>
      <c r="E972" s="68" t="n">
        <v>651123.895798845</v>
      </c>
      <c r="F972" s="69" t="n">
        <v>405849.648665111</v>
      </c>
      <c r="G972" s="70" t="n">
        <v>687634.699546926</v>
      </c>
      <c r="H972" s="71" t="n">
        <v>412348.075678578</v>
      </c>
      <c r="I972" s="72" t="str">
        <f>H972-F972</f>
      </c>
      <c r="J972" s="73" t="str">
        <f>G972-E972</f>
      </c>
    </row>
    <row r="973">
      <c r="A973" t="s">
        <v>225</v>
      </c>
      <c r="B973" t="s">
        <v>227</v>
      </c>
      <c r="C973" s="67" t="n">
        <v>2033</v>
      </c>
      <c r="D973" t="s">
        <v>186</v>
      </c>
      <c r="E973" s="68" t="n">
        <v>485980.036927235</v>
      </c>
      <c r="F973" s="69" t="n">
        <v>266547.081684792</v>
      </c>
      <c r="G973" s="70" t="n">
        <v>503751.109420694</v>
      </c>
      <c r="H973" s="71" t="n">
        <v>269883.407599987</v>
      </c>
      <c r="I973" s="72" t="str">
        <f>H973-F973</f>
      </c>
      <c r="J973" s="73" t="str">
        <f>G973-E973</f>
      </c>
    </row>
    <row r="974">
      <c r="A974" t="s">
        <v>225</v>
      </c>
      <c r="B974" t="s">
        <v>227</v>
      </c>
      <c r="C974" s="67" t="n">
        <v>2033</v>
      </c>
      <c r="D974" t="s">
        <v>366</v>
      </c>
      <c r="E974" s="68" t="n">
        <v>44484.9974252057</v>
      </c>
      <c r="F974" s="69" t="n">
        <v>7348.09478921527</v>
      </c>
      <c r="G974" s="70" t="n">
        <v>44483.6835898413</v>
      </c>
      <c r="H974" s="71" t="n">
        <v>7348.07414732206</v>
      </c>
      <c r="I974" s="72" t="str">
        <f>H974-F974</f>
      </c>
      <c r="J974" s="73" t="str">
        <f>G974-E974</f>
      </c>
    </row>
    <row r="975">
      <c r="A975" t="s">
        <v>225</v>
      </c>
      <c r="B975" t="s">
        <v>227</v>
      </c>
      <c r="C975" s="67" t="n">
        <v>2034</v>
      </c>
      <c r="D975" t="s">
        <v>169</v>
      </c>
      <c r="E975" s="68" t="n">
        <v>16453.7075132638</v>
      </c>
      <c r="F975" s="69" t="n">
        <v>11899.9304889841</v>
      </c>
      <c r="G975" s="70" t="n">
        <v>16436.9312806497</v>
      </c>
      <c r="H975" s="71" t="n">
        <v>11896.3823187386</v>
      </c>
      <c r="I975" s="72" t="str">
        <f>H975-F975</f>
      </c>
      <c r="J975" s="73" t="str">
        <f>G975-E975</f>
      </c>
    </row>
    <row r="976">
      <c r="A976" t="s">
        <v>225</v>
      </c>
      <c r="B976" t="s">
        <v>227</v>
      </c>
      <c r="C976" s="67" t="n">
        <v>2034</v>
      </c>
      <c r="D976" t="s">
        <v>208</v>
      </c>
      <c r="E976" s="68" t="n">
        <v>1096588.46653726</v>
      </c>
      <c r="F976" s="69" t="n">
        <v>200989.352972199</v>
      </c>
      <c r="G976" s="70" t="n">
        <v>1139357.01951607</v>
      </c>
      <c r="H976" s="71" t="n">
        <v>202147.27044605</v>
      </c>
      <c r="I976" s="72" t="str">
        <f>H976-F976</f>
      </c>
      <c r="J976" s="73" t="str">
        <f>G976-E976</f>
      </c>
    </row>
    <row r="977">
      <c r="A977" t="s">
        <v>225</v>
      </c>
      <c r="B977" t="s">
        <v>227</v>
      </c>
      <c r="C977" s="67" t="n">
        <v>2034</v>
      </c>
      <c r="D977" t="s">
        <v>176</v>
      </c>
      <c r="E977" s="68" t="n">
        <v>121205.17062567</v>
      </c>
      <c r="F977" s="69" t="n">
        <v>81611.8625014592</v>
      </c>
      <c r="G977" s="70" t="n">
        <v>121105.471839437</v>
      </c>
      <c r="H977" s="71" t="n">
        <v>81594.9482339212</v>
      </c>
      <c r="I977" s="72" t="str">
        <f>H977-F977</f>
      </c>
      <c r="J977" s="73" t="str">
        <f>G977-E977</f>
      </c>
    </row>
    <row r="978">
      <c r="A978" t="s">
        <v>225</v>
      </c>
      <c r="B978" t="s">
        <v>227</v>
      </c>
      <c r="C978" s="67" t="n">
        <v>2034</v>
      </c>
      <c r="D978" t="s">
        <v>180</v>
      </c>
      <c r="E978" s="68" t="n">
        <v>398139.825451365</v>
      </c>
      <c r="F978" s="69" t="n">
        <v>370386.148676567</v>
      </c>
      <c r="G978" s="70" t="n">
        <v>406559.867353788</v>
      </c>
      <c r="H978" s="71" t="n">
        <v>376028.132278335</v>
      </c>
      <c r="I978" s="72" t="str">
        <f>H978-F978</f>
      </c>
      <c r="J978" s="73" t="str">
        <f>G978-E978</f>
      </c>
    </row>
    <row r="979">
      <c r="A979" t="s">
        <v>225</v>
      </c>
      <c r="B979" t="s">
        <v>227</v>
      </c>
      <c r="C979" s="67" t="n">
        <v>2034</v>
      </c>
      <c r="D979" t="s">
        <v>183</v>
      </c>
      <c r="E979" s="68" t="n">
        <v>660526.011293988</v>
      </c>
      <c r="F979" s="69" t="n">
        <v>414879.767469767</v>
      </c>
      <c r="G979" s="70" t="n">
        <v>701691.677358768</v>
      </c>
      <c r="H979" s="71" t="n">
        <v>423259.100590806</v>
      </c>
      <c r="I979" s="72" t="str">
        <f>H979-F979</f>
      </c>
      <c r="J979" s="73" t="str">
        <f>G979-E979</f>
      </c>
    </row>
    <row r="980">
      <c r="A980" t="s">
        <v>225</v>
      </c>
      <c r="B980" t="s">
        <v>227</v>
      </c>
      <c r="C980" s="67" t="n">
        <v>2034</v>
      </c>
      <c r="D980" t="s">
        <v>186</v>
      </c>
      <c r="E980" s="68" t="n">
        <v>496325.759092475</v>
      </c>
      <c r="F980" s="69" t="n">
        <v>275237.277891567</v>
      </c>
      <c r="G980" s="70" t="n">
        <v>516406.53850878</v>
      </c>
      <c r="H980" s="71" t="n">
        <v>279484.980285229</v>
      </c>
      <c r="I980" s="72" t="str">
        <f>H980-F980</f>
      </c>
      <c r="J980" s="73" t="str">
        <f>G980-E980</f>
      </c>
    </row>
    <row r="981">
      <c r="A981" t="s">
        <v>225</v>
      </c>
      <c r="B981" t="s">
        <v>227</v>
      </c>
      <c r="C981" s="67" t="n">
        <v>2034</v>
      </c>
      <c r="D981" t="s">
        <v>366</v>
      </c>
      <c r="E981" s="68" t="n">
        <v>44357.1639941135</v>
      </c>
      <c r="F981" s="69" t="n">
        <v>7385.07839680074</v>
      </c>
      <c r="G981" s="70" t="n">
        <v>44355.184450179</v>
      </c>
      <c r="H981" s="71" t="n">
        <v>7385.04094675217</v>
      </c>
      <c r="I981" s="72" t="str">
        <f>H981-F981</f>
      </c>
      <c r="J981" s="73" t="str">
        <f>G981-E981</f>
      </c>
    </row>
    <row r="982">
      <c r="A982" t="s">
        <v>225</v>
      </c>
      <c r="B982" t="s">
        <v>227</v>
      </c>
      <c r="C982" s="67" t="n">
        <v>2035</v>
      </c>
      <c r="D982" t="s">
        <v>169</v>
      </c>
      <c r="E982" s="68" t="n">
        <v>16916.1658800138</v>
      </c>
      <c r="F982" s="69" t="n">
        <v>12208.796433262</v>
      </c>
      <c r="G982" s="70" t="n">
        <v>16892.2141390053</v>
      </c>
      <c r="H982" s="71" t="n">
        <v>12203.0577178634</v>
      </c>
      <c r="I982" s="72" t="str">
        <f>H982-F982</f>
      </c>
      <c r="J982" s="73" t="str">
        <f>G982-E982</f>
      </c>
    </row>
    <row r="983">
      <c r="A983" t="s">
        <v>225</v>
      </c>
      <c r="B983" t="s">
        <v>227</v>
      </c>
      <c r="C983" s="67" t="n">
        <v>2035</v>
      </c>
      <c r="D983" t="s">
        <v>208</v>
      </c>
      <c r="E983" s="68" t="n">
        <v>1102053.66401488</v>
      </c>
      <c r="F983" s="69" t="n">
        <v>208816.958200861</v>
      </c>
      <c r="G983" s="70" t="n">
        <v>1148972.16574985</v>
      </c>
      <c r="H983" s="71" t="n">
        <v>210290.980527925</v>
      </c>
      <c r="I983" s="72" t="str">
        <f>H983-F983</f>
      </c>
      <c r="J983" s="73" t="str">
        <f>G983-E983</f>
      </c>
    </row>
    <row r="984">
      <c r="A984" t="s">
        <v>225</v>
      </c>
      <c r="B984" t="s">
        <v>227</v>
      </c>
      <c r="C984" s="67" t="n">
        <v>2035</v>
      </c>
      <c r="D984" t="s">
        <v>176</v>
      </c>
      <c r="E984" s="68" t="n">
        <v>124290.381665195</v>
      </c>
      <c r="F984" s="69" t="n">
        <v>83722.7103218418</v>
      </c>
      <c r="G984" s="70" t="n">
        <v>124148.207195844</v>
      </c>
      <c r="H984" s="71" t="n">
        <v>83695.1178728798</v>
      </c>
      <c r="I984" s="72" t="str">
        <f>H984-F984</f>
      </c>
      <c r="J984" s="73" t="str">
        <f>G984-E984</f>
      </c>
    </row>
    <row r="985">
      <c r="A985" t="s">
        <v>225</v>
      </c>
      <c r="B985" t="s">
        <v>227</v>
      </c>
      <c r="C985" s="67" t="n">
        <v>2035</v>
      </c>
      <c r="D985" t="s">
        <v>180</v>
      </c>
      <c r="E985" s="68" t="n">
        <v>405217.012718335</v>
      </c>
      <c r="F985" s="69" t="n">
        <v>377252.840764304</v>
      </c>
      <c r="G985" s="70" t="n">
        <v>414533.160603145</v>
      </c>
      <c r="H985" s="71" t="n">
        <v>383788.762526672</v>
      </c>
      <c r="I985" s="72" t="str">
        <f>H985-F985</f>
      </c>
      <c r="J985" s="73" t="str">
        <f>G985-E985</f>
      </c>
    </row>
    <row r="986">
      <c r="A986" t="s">
        <v>225</v>
      </c>
      <c r="B986" t="s">
        <v>227</v>
      </c>
      <c r="C986" s="67" t="n">
        <v>2035</v>
      </c>
      <c r="D986" t="s">
        <v>183</v>
      </c>
      <c r="E986" s="68" t="n">
        <v>669678.733333413</v>
      </c>
      <c r="F986" s="69" t="n">
        <v>423664.289057481</v>
      </c>
      <c r="G986" s="70" t="n">
        <v>715331.788822102</v>
      </c>
      <c r="H986" s="71" t="n">
        <v>434082.031551195</v>
      </c>
      <c r="I986" s="72" t="str">
        <f>H986-F986</f>
      </c>
      <c r="J986" s="73" t="str">
        <f>G986-E986</f>
      </c>
    </row>
    <row r="987">
      <c r="A987" t="s">
        <v>225</v>
      </c>
      <c r="B987" t="s">
        <v>227</v>
      </c>
      <c r="C987" s="67" t="n">
        <v>2035</v>
      </c>
      <c r="D987" t="s">
        <v>186</v>
      </c>
      <c r="E987" s="68" t="n">
        <v>506507.427666437</v>
      </c>
      <c r="F987" s="69" t="n">
        <v>283928.379867989</v>
      </c>
      <c r="G987" s="70" t="n">
        <v>528818.371883953</v>
      </c>
      <c r="H987" s="71" t="n">
        <v>289150.802435983</v>
      </c>
      <c r="I987" s="72" t="str">
        <f>H987-F987</f>
      </c>
      <c r="J987" s="73" t="str">
        <f>G987-E987</f>
      </c>
    </row>
    <row r="988">
      <c r="A988" t="s">
        <v>225</v>
      </c>
      <c r="B988" t="s">
        <v>227</v>
      </c>
      <c r="C988" s="67" t="n">
        <v>2035</v>
      </c>
      <c r="D988" t="s">
        <v>366</v>
      </c>
      <c r="E988" s="68" t="n">
        <v>44209.5130672451</v>
      </c>
      <c r="F988" s="69" t="n">
        <v>7420.04019001099</v>
      </c>
      <c r="G988" s="70" t="n">
        <v>44206.7073067121</v>
      </c>
      <c r="H988" s="71" t="n">
        <v>7419.97885519321</v>
      </c>
      <c r="I988" s="72" t="str">
        <f>H988-F988</f>
      </c>
      <c r="J988" s="73" t="str">
        <f>G988-E988</f>
      </c>
    </row>
    <row r="989">
      <c r="A989" t="s">
        <v>225</v>
      </c>
      <c r="B989" t="s">
        <v>227</v>
      </c>
      <c r="C989" s="67" t="n">
        <v>2036</v>
      </c>
      <c r="D989" t="s">
        <v>169</v>
      </c>
      <c r="E989" s="68" t="n">
        <v>17383.3168691907</v>
      </c>
      <c r="F989" s="69" t="n">
        <v>12515.5376159398</v>
      </c>
      <c r="G989" s="70" t="n">
        <v>17350.6546269342</v>
      </c>
      <c r="H989" s="71" t="n">
        <v>12506.9021026876</v>
      </c>
      <c r="I989" s="72" t="str">
        <f>H989-F989</f>
      </c>
      <c r="J989" s="73" t="str">
        <f>G989-E989</f>
      </c>
    </row>
    <row r="990">
      <c r="A990" t="s">
        <v>225</v>
      </c>
      <c r="B990" t="s">
        <v>227</v>
      </c>
      <c r="C990" s="67" t="n">
        <v>2036</v>
      </c>
      <c r="D990" t="s">
        <v>208</v>
      </c>
      <c r="E990" s="68" t="n">
        <v>1107444.77800683</v>
      </c>
      <c r="F990" s="69" t="n">
        <v>216548.045808458</v>
      </c>
      <c r="G990" s="70" t="n">
        <v>1158266.13775829</v>
      </c>
      <c r="H990" s="71" t="n">
        <v>218370.687575925</v>
      </c>
      <c r="I990" s="72" t="str">
        <f>H990-F990</f>
      </c>
      <c r="J990" s="73" t="str">
        <f>G990-E990</f>
      </c>
    </row>
    <row r="991">
      <c r="A991" t="s">
        <v>225</v>
      </c>
      <c r="B991" t="s">
        <v>227</v>
      </c>
      <c r="C991" s="67" t="n">
        <v>2036</v>
      </c>
      <c r="D991" t="s">
        <v>176</v>
      </c>
      <c r="E991" s="68" t="n">
        <v>127331.922371049</v>
      </c>
      <c r="F991" s="69" t="n">
        <v>85807.3897366242</v>
      </c>
      <c r="G991" s="70" t="n">
        <v>127138.451085333</v>
      </c>
      <c r="H991" s="71" t="n">
        <v>85765.5647353171</v>
      </c>
      <c r="I991" s="72" t="str">
        <f>H991-F991</f>
      </c>
      <c r="J991" s="73" t="str">
        <f>G991-E991</f>
      </c>
    </row>
    <row r="992">
      <c r="A992" t="s">
        <v>225</v>
      </c>
      <c r="B992" t="s">
        <v>227</v>
      </c>
      <c r="C992" s="67" t="n">
        <v>2036</v>
      </c>
      <c r="D992" t="s">
        <v>180</v>
      </c>
      <c r="E992" s="68" t="n">
        <v>412065.775460595</v>
      </c>
      <c r="F992" s="69" t="n">
        <v>383880.094968472</v>
      </c>
      <c r="G992" s="70" t="n">
        <v>422232.659922133</v>
      </c>
      <c r="H992" s="71" t="n">
        <v>391285.955739587</v>
      </c>
      <c r="I992" s="72" t="str">
        <f>H992-F992</f>
      </c>
      <c r="J992" s="73" t="str">
        <f>G992-E992</f>
      </c>
    </row>
    <row r="993">
      <c r="A993" t="s">
        <v>225</v>
      </c>
      <c r="B993" t="s">
        <v>227</v>
      </c>
      <c r="C993" s="67" t="n">
        <v>2036</v>
      </c>
      <c r="D993" t="s">
        <v>183</v>
      </c>
      <c r="E993" s="68" t="n">
        <v>678564.851071411</v>
      </c>
      <c r="F993" s="69" t="n">
        <v>432158.661698622</v>
      </c>
      <c r="G993" s="70" t="n">
        <v>728531.610160843</v>
      </c>
      <c r="H993" s="71" t="n">
        <v>444747.907566169</v>
      </c>
      <c r="I993" s="72" t="str">
        <f>H993-F993</f>
      </c>
      <c r="J993" s="73" t="str">
        <f>G993-E993</f>
      </c>
    </row>
    <row r="994">
      <c r="A994" t="s">
        <v>225</v>
      </c>
      <c r="B994" t="s">
        <v>227</v>
      </c>
      <c r="C994" s="67" t="n">
        <v>2036</v>
      </c>
      <c r="D994" t="s">
        <v>186</v>
      </c>
      <c r="E994" s="68" t="n">
        <v>516592.014344838</v>
      </c>
      <c r="F994" s="69" t="n">
        <v>292629.451624146</v>
      </c>
      <c r="G994" s="70" t="n">
        <v>541052.28077363</v>
      </c>
      <c r="H994" s="71" t="n">
        <v>298879.611309733</v>
      </c>
      <c r="I994" s="72" t="str">
        <f>H994-F994</f>
      </c>
      <c r="J994" s="73" t="str">
        <f>G994-E994</f>
      </c>
    </row>
    <row r="995">
      <c r="A995" t="s">
        <v>225</v>
      </c>
      <c r="B995" t="s">
        <v>227</v>
      </c>
      <c r="C995" s="67" t="n">
        <v>2036</v>
      </c>
      <c r="D995" t="s">
        <v>366</v>
      </c>
      <c r="E995" s="68" t="n">
        <v>44053.7959210101</v>
      </c>
      <c r="F995" s="69" t="n">
        <v>7453.42836881505</v>
      </c>
      <c r="G995" s="70" t="n">
        <v>44049.9983782722</v>
      </c>
      <c r="H995" s="71" t="n">
        <v>7453.3351271514</v>
      </c>
      <c r="I995" s="72" t="str">
        <f>H995-F995</f>
      </c>
      <c r="J995" s="73" t="str">
        <f>G995-E995</f>
      </c>
    </row>
    <row r="996">
      <c r="A996" t="s">
        <v>225</v>
      </c>
      <c r="B996" t="s">
        <v>227</v>
      </c>
      <c r="C996" s="67" t="n">
        <v>2037</v>
      </c>
      <c r="D996" t="s">
        <v>169</v>
      </c>
      <c r="E996" s="68" t="n">
        <v>17855.4819824134</v>
      </c>
      <c r="F996" s="69" t="n">
        <v>12819.8032972091</v>
      </c>
      <c r="G996" s="70" t="n">
        <v>17812.5035281772</v>
      </c>
      <c r="H996" s="71" t="n">
        <v>12807.5012683992</v>
      </c>
      <c r="I996" s="72" t="str">
        <f>H996-F996</f>
      </c>
      <c r="J996" s="73" t="str">
        <f>G996-E996</f>
      </c>
    </row>
    <row r="997">
      <c r="A997" t="s">
        <v>225</v>
      </c>
      <c r="B997" t="s">
        <v>227</v>
      </c>
      <c r="C997" s="67" t="n">
        <v>2037</v>
      </c>
      <c r="D997" t="s">
        <v>208</v>
      </c>
      <c r="E997" s="68" t="n">
        <v>1112874.4852564</v>
      </c>
      <c r="F997" s="69" t="n">
        <v>224171.424937781</v>
      </c>
      <c r="G997" s="70" t="n">
        <v>1167364.66541375</v>
      </c>
      <c r="H997" s="71" t="n">
        <v>226373.365626062</v>
      </c>
      <c r="I997" s="72" t="str">
        <f>H997-F997</f>
      </c>
      <c r="J997" s="73" t="str">
        <f>G997-E997</f>
      </c>
    </row>
    <row r="998">
      <c r="A998" t="s">
        <v>225</v>
      </c>
      <c r="B998" t="s">
        <v>227</v>
      </c>
      <c r="C998" s="67" t="n">
        <v>2037</v>
      </c>
      <c r="D998" t="s">
        <v>176</v>
      </c>
      <c r="E998" s="68" t="n">
        <v>130345.977938266</v>
      </c>
      <c r="F998" s="69" t="n">
        <v>87845.8297863186</v>
      </c>
      <c r="G998" s="70" t="n">
        <v>130092.112965313</v>
      </c>
      <c r="H998" s="71" t="n">
        <v>87785.8739142287</v>
      </c>
      <c r="I998" s="72" t="str">
        <f>H998-F998</f>
      </c>
      <c r="J998" s="73" t="str">
        <f>G998-E998</f>
      </c>
    </row>
    <row r="999">
      <c r="A999" t="s">
        <v>225</v>
      </c>
      <c r="B999" t="s">
        <v>227</v>
      </c>
      <c r="C999" s="67" t="n">
        <v>2037</v>
      </c>
      <c r="D999" t="s">
        <v>180</v>
      </c>
      <c r="E999" s="68" t="n">
        <v>418703.513980454</v>
      </c>
      <c r="F999" s="69" t="n">
        <v>390229.175389353</v>
      </c>
      <c r="G999" s="70" t="n">
        <v>429674.679324948</v>
      </c>
      <c r="H999" s="71" t="n">
        <v>398473.813386608</v>
      </c>
      <c r="I999" s="72" t="str">
        <f>H999-F999</f>
      </c>
      <c r="J999" s="73" t="str">
        <f>G999-E999</f>
      </c>
    </row>
    <row r="1000">
      <c r="A1000" t="s">
        <v>225</v>
      </c>
      <c r="B1000" t="s">
        <v>227</v>
      </c>
      <c r="C1000" s="67" t="n">
        <v>2037</v>
      </c>
      <c r="D1000" t="s">
        <v>183</v>
      </c>
      <c r="E1000" s="68" t="n">
        <v>687160.681764846</v>
      </c>
      <c r="F1000" s="69" t="n">
        <v>440298.428502417</v>
      </c>
      <c r="G1000" s="70" t="n">
        <v>741261.427234993</v>
      </c>
      <c r="H1000" s="71" t="n">
        <v>455168.184528758</v>
      </c>
      <c r="I1000" s="72" t="str">
        <f>H1000-F1000</f>
      </c>
      <c r="J1000" s="73" t="str">
        <f>G1000-E1000</f>
      </c>
    </row>
    <row r="1001">
      <c r="A1001" t="s">
        <v>225</v>
      </c>
      <c r="B1001" t="s">
        <v>227</v>
      </c>
      <c r="C1001" s="67" t="n">
        <v>2037</v>
      </c>
      <c r="D1001" t="s">
        <v>186</v>
      </c>
      <c r="E1001" s="68" t="n">
        <v>526725.216307322</v>
      </c>
      <c r="F1001" s="69" t="n">
        <v>301343.928371741</v>
      </c>
      <c r="G1001" s="70" t="n">
        <v>553258.517761357</v>
      </c>
      <c r="H1001" s="71" t="n">
        <v>308666.043562302</v>
      </c>
      <c r="I1001" s="72" t="str">
        <f>H1001-F1001</f>
      </c>
      <c r="J1001" s="73" t="str">
        <f>G1001-E1001</f>
      </c>
    </row>
    <row r="1002">
      <c r="A1002" t="s">
        <v>225</v>
      </c>
      <c r="B1002" t="s">
        <v>227</v>
      </c>
      <c r="C1002" s="67" t="n">
        <v>2037</v>
      </c>
      <c r="D1002" t="s">
        <v>366</v>
      </c>
      <c r="E1002" s="68" t="n">
        <v>43891.4535794095</v>
      </c>
      <c r="F1002" s="69" t="n">
        <v>7485.77340208748</v>
      </c>
      <c r="G1002" s="70" t="n">
        <v>43886.4966397613</v>
      </c>
      <c r="H1002" s="71" t="n">
        <v>7485.63945861012</v>
      </c>
      <c r="I1002" s="72" t="str">
        <f>H1002-F1002</f>
      </c>
      <c r="J1002" s="73" t="str">
        <f>G1002-E1002</f>
      </c>
    </row>
    <row r="1003">
      <c r="A1003" t="s">
        <v>225</v>
      </c>
      <c r="B1003" t="s">
        <v>227</v>
      </c>
      <c r="C1003" s="67" t="n">
        <v>2038</v>
      </c>
      <c r="D1003" t="s">
        <v>169</v>
      </c>
      <c r="E1003" s="68" t="n">
        <v>18333.5758038698</v>
      </c>
      <c r="F1003" s="69" t="n">
        <v>13125.0476051583</v>
      </c>
      <c r="G1003" s="70" t="n">
        <v>18278.6195315823</v>
      </c>
      <c r="H1003" s="71" t="n">
        <v>13108.2586821674</v>
      </c>
      <c r="I1003" s="72" t="str">
        <f>H1003-F1003</f>
      </c>
      <c r="J1003" s="73" t="str">
        <f>G1003-E1003</f>
      </c>
    </row>
    <row r="1004">
      <c r="A1004" t="s">
        <v>225</v>
      </c>
      <c r="B1004" t="s">
        <v>227</v>
      </c>
      <c r="C1004" s="67" t="n">
        <v>2038</v>
      </c>
      <c r="D1004" t="s">
        <v>208</v>
      </c>
      <c r="E1004" s="68" t="n">
        <v>1118372.77303414</v>
      </c>
      <c r="F1004" s="69" t="n">
        <v>231675.994126208</v>
      </c>
      <c r="G1004" s="70" t="n">
        <v>1176286.23006217</v>
      </c>
      <c r="H1004" s="71" t="n">
        <v>234286.302403295</v>
      </c>
      <c r="I1004" s="72" t="str">
        <f>H1004-F1004</f>
      </c>
      <c r="J1004" s="73" t="str">
        <f>G1004-E1004</f>
      </c>
    </row>
    <row r="1005">
      <c r="A1005" t="s">
        <v>225</v>
      </c>
      <c r="B1005" t="s">
        <v>227</v>
      </c>
      <c r="C1005" s="67" t="n">
        <v>2038</v>
      </c>
      <c r="D1005" t="s">
        <v>176</v>
      </c>
      <c r="E1005" s="68" t="n">
        <v>133328.255533692</v>
      </c>
      <c r="F1005" s="69" t="n">
        <v>89845.1721246263</v>
      </c>
      <c r="G1005" s="70" t="n">
        <v>133004.77137127</v>
      </c>
      <c r="H1005" s="71" t="n">
        <v>89762.9085046272</v>
      </c>
      <c r="I1005" s="72" t="str">
        <f>H1005-F1005</f>
      </c>
      <c r="J1005" s="73" t="str">
        <f>G1005-E1005</f>
      </c>
    </row>
    <row r="1006">
      <c r="A1006" t="s">
        <v>225</v>
      </c>
      <c r="B1006" t="s">
        <v>227</v>
      </c>
      <c r="C1006" s="67" t="n">
        <v>2038</v>
      </c>
      <c r="D1006" t="s">
        <v>180</v>
      </c>
      <c r="E1006" s="68" t="n">
        <v>425150.434139277</v>
      </c>
      <c r="F1006" s="69" t="n">
        <v>396336.41028345</v>
      </c>
      <c r="G1006" s="70" t="n">
        <v>436878.359538317</v>
      </c>
      <c r="H1006" s="71" t="n">
        <v>405384.957772321</v>
      </c>
      <c r="I1006" s="72" t="str">
        <f>H1006-F1006</f>
      </c>
      <c r="J1006" s="73" t="str">
        <f>G1006-E1006</f>
      </c>
    </row>
    <row r="1007">
      <c r="A1007" t="s">
        <v>225</v>
      </c>
      <c r="B1007" t="s">
        <v>227</v>
      </c>
      <c r="C1007" s="67" t="n">
        <v>2038</v>
      </c>
      <c r="D1007" t="s">
        <v>183</v>
      </c>
      <c r="E1007" s="68" t="n">
        <v>695511.654038055</v>
      </c>
      <c r="F1007" s="69" t="n">
        <v>448106.862400159</v>
      </c>
      <c r="G1007" s="70" t="n">
        <v>753560.822146793</v>
      </c>
      <c r="H1007" s="71" t="n">
        <v>465342.91786371</v>
      </c>
      <c r="I1007" s="72" t="str">
        <f>H1007-F1007</f>
      </c>
      <c r="J1007" s="73" t="str">
        <f>G1007-E1007</f>
      </c>
    </row>
    <row r="1008">
      <c r="A1008" t="s">
        <v>225</v>
      </c>
      <c r="B1008" t="s">
        <v>227</v>
      </c>
      <c r="C1008" s="67" t="n">
        <v>2038</v>
      </c>
      <c r="D1008" t="s">
        <v>186</v>
      </c>
      <c r="E1008" s="68" t="n">
        <v>536878.32439296</v>
      </c>
      <c r="F1008" s="69" t="n">
        <v>310031.283423422</v>
      </c>
      <c r="G1008" s="70" t="n">
        <v>565403.758799385</v>
      </c>
      <c r="H1008" s="71" t="n">
        <v>318461.022248122</v>
      </c>
      <c r="I1008" s="72" t="str">
        <f>H1008-F1008</f>
      </c>
      <c r="J1008" s="73" t="str">
        <f>G1008-E1008</f>
      </c>
    </row>
    <row r="1009">
      <c r="A1009" t="s">
        <v>225</v>
      </c>
      <c r="B1009" t="s">
        <v>227</v>
      </c>
      <c r="C1009" s="67" t="n">
        <v>2038</v>
      </c>
      <c r="D1009" t="s">
        <v>366</v>
      </c>
      <c r="E1009" s="68" t="n">
        <v>43737.0296647019</v>
      </c>
      <c r="F1009" s="69" t="n">
        <v>7517.95449446203</v>
      </c>
      <c r="G1009" s="70" t="n">
        <v>43730.7448506382</v>
      </c>
      <c r="H1009" s="71" t="n">
        <v>7517.77035327065</v>
      </c>
      <c r="I1009" s="72" t="str">
        <f>H1009-F1009</f>
      </c>
      <c r="J1009" s="73" t="str">
        <f>G1009-E1009</f>
      </c>
    </row>
    <row r="1010">
      <c r="A1010" t="s">
        <v>225</v>
      </c>
      <c r="B1010" t="s">
        <v>227</v>
      </c>
      <c r="C1010" s="67" t="n">
        <v>2039</v>
      </c>
      <c r="D1010" t="s">
        <v>169</v>
      </c>
      <c r="E1010" s="68" t="n">
        <v>18820.7584761122</v>
      </c>
      <c r="F1010" s="69" t="n">
        <v>13426.8059010483</v>
      </c>
      <c r="G1010" s="70" t="n">
        <v>18752.090499403</v>
      </c>
      <c r="H1010" s="71" t="n">
        <v>13404.6696202756</v>
      </c>
      <c r="I1010" s="72" t="str">
        <f>H1010-F1010</f>
      </c>
      <c r="J1010" s="73" t="str">
        <f>G1010-E1010</f>
      </c>
    </row>
    <row r="1011">
      <c r="A1011" t="s">
        <v>225</v>
      </c>
      <c r="B1011" t="s">
        <v>227</v>
      </c>
      <c r="C1011" s="67" t="n">
        <v>2039</v>
      </c>
      <c r="D1011" t="s">
        <v>208</v>
      </c>
      <c r="E1011" s="68" t="n">
        <v>1123639.10906623</v>
      </c>
      <c r="F1011" s="69" t="n">
        <v>239086.275336518</v>
      </c>
      <c r="G1011" s="70" t="n">
        <v>1184738.39184491</v>
      </c>
      <c r="H1011" s="71" t="n">
        <v>242132.191153164</v>
      </c>
      <c r="I1011" s="72" t="str">
        <f>H1011-F1011</f>
      </c>
      <c r="J1011" s="73" t="str">
        <f>G1011-E1011</f>
      </c>
    </row>
    <row r="1012">
      <c r="A1012" t="s">
        <v>225</v>
      </c>
      <c r="B1012" t="s">
        <v>227</v>
      </c>
      <c r="C1012" s="67" t="n">
        <v>2039</v>
      </c>
      <c r="D1012" t="s">
        <v>176</v>
      </c>
      <c r="E1012" s="68" t="n">
        <v>136274.521440947</v>
      </c>
      <c r="F1012" s="69" t="n">
        <v>91825.3641966989</v>
      </c>
      <c r="G1012" s="70" t="n">
        <v>135872.13136763</v>
      </c>
      <c r="H1012" s="71" t="n">
        <v>91716.3663536023</v>
      </c>
      <c r="I1012" s="72" t="str">
        <f>H1012-F1012</f>
      </c>
      <c r="J1012" s="73" t="str">
        <f>G1012-E1012</f>
      </c>
    </row>
    <row r="1013">
      <c r="A1013" t="s">
        <v>225</v>
      </c>
      <c r="B1013" t="s">
        <v>227</v>
      </c>
      <c r="C1013" s="67" t="n">
        <v>2039</v>
      </c>
      <c r="D1013" t="s">
        <v>180</v>
      </c>
      <c r="E1013" s="68" t="n">
        <v>431467.357264524</v>
      </c>
      <c r="F1013" s="69" t="n">
        <v>402304.149037573</v>
      </c>
      <c r="G1013" s="70" t="n">
        <v>443905.980748337</v>
      </c>
      <c r="H1013" s="71" t="n">
        <v>412120.21350488</v>
      </c>
      <c r="I1013" s="72" t="str">
        <f>H1013-F1013</f>
      </c>
      <c r="J1013" s="73" t="str">
        <f>G1013-E1013</f>
      </c>
    </row>
    <row r="1014">
      <c r="A1014" t="s">
        <v>225</v>
      </c>
      <c r="B1014" t="s">
        <v>227</v>
      </c>
      <c r="C1014" s="67" t="n">
        <v>2039</v>
      </c>
      <c r="D1014" t="s">
        <v>183</v>
      </c>
      <c r="E1014" s="68" t="n">
        <v>703704.26385556</v>
      </c>
      <c r="F1014" s="69" t="n">
        <v>455604.208076432</v>
      </c>
      <c r="G1014" s="70" t="n">
        <v>765528.467838857</v>
      </c>
      <c r="H1014" s="71" t="n">
        <v>475269.787528918</v>
      </c>
      <c r="I1014" s="72" t="str">
        <f>H1014-F1014</f>
      </c>
      <c r="J1014" s="73" t="str">
        <f>G1014-E1014</f>
      </c>
    </row>
    <row r="1015">
      <c r="A1015" t="s">
        <v>225</v>
      </c>
      <c r="B1015" t="s">
        <v>227</v>
      </c>
      <c r="C1015" s="67" t="n">
        <v>2039</v>
      </c>
      <c r="D1015" t="s">
        <v>186</v>
      </c>
      <c r="E1015" s="68" t="n">
        <v>546981.498676896</v>
      </c>
      <c r="F1015" s="69" t="n">
        <v>318681.017472252</v>
      </c>
      <c r="G1015" s="70" t="n">
        <v>577414.514396235</v>
      </c>
      <c r="H1015" s="71" t="n">
        <v>328246.401276368</v>
      </c>
      <c r="I1015" s="72" t="str">
        <f>H1015-F1015</f>
      </c>
      <c r="J1015" s="73" t="str">
        <f>G1015-E1015</f>
      </c>
    </row>
    <row r="1016">
      <c r="A1016" t="s">
        <v>225</v>
      </c>
      <c r="B1016" t="s">
        <v>227</v>
      </c>
      <c r="C1016" s="67" t="n">
        <v>2039</v>
      </c>
      <c r="D1016" t="s">
        <v>366</v>
      </c>
      <c r="E1016" s="68" t="n">
        <v>43596.6272956094</v>
      </c>
      <c r="F1016" s="69" t="n">
        <v>7547.80426684069</v>
      </c>
      <c r="G1016" s="70" t="n">
        <v>43588.845456637</v>
      </c>
      <c r="H1016" s="71" t="n">
        <v>7547.5598608641</v>
      </c>
      <c r="I1016" s="72" t="str">
        <f>H1016-F1016</f>
      </c>
      <c r="J1016" s="73" t="str">
        <f>G1016-E1016</f>
      </c>
    </row>
    <row r="1017">
      <c r="A1017" t="s">
        <v>225</v>
      </c>
      <c r="B1017" t="s">
        <v>227</v>
      </c>
      <c r="C1017" s="67" t="n">
        <v>2040</v>
      </c>
      <c r="D1017" t="s">
        <v>169</v>
      </c>
      <c r="E1017" s="68" t="n">
        <v>19319.9357635985</v>
      </c>
      <c r="F1017" s="69" t="n">
        <v>13727.3644872878</v>
      </c>
      <c r="G1017" s="70" t="n">
        <v>19235.7365429273</v>
      </c>
      <c r="H1017" s="71" t="n">
        <v>13698.9721681132</v>
      </c>
      <c r="I1017" s="72" t="str">
        <f>H1017-F1017</f>
      </c>
      <c r="J1017" s="73" t="str">
        <f>G1017-E1017</f>
      </c>
    </row>
    <row r="1018">
      <c r="A1018" t="s">
        <v>225</v>
      </c>
      <c r="B1018" t="s">
        <v>227</v>
      </c>
      <c r="C1018" s="67" t="n">
        <v>2040</v>
      </c>
      <c r="D1018" t="s">
        <v>208</v>
      </c>
      <c r="E1018" s="68" t="n">
        <v>1128582.31303206</v>
      </c>
      <c r="F1018" s="69" t="n">
        <v>246387.526616616</v>
      </c>
      <c r="G1018" s="70" t="n">
        <v>1192634.43006365</v>
      </c>
      <c r="H1018" s="71" t="n">
        <v>249894.478827588</v>
      </c>
      <c r="I1018" s="72" t="str">
        <f>H1018-F1018</f>
      </c>
      <c r="J1018" s="73" t="str">
        <f>G1018-E1018</f>
      </c>
    </row>
    <row r="1019">
      <c r="A1019" t="s">
        <v>225</v>
      </c>
      <c r="B1019" t="s">
        <v>227</v>
      </c>
      <c r="C1019" s="67" t="n">
        <v>2040</v>
      </c>
      <c r="D1019" t="s">
        <v>176</v>
      </c>
      <c r="E1019" s="68" t="n">
        <v>139180.397883043</v>
      </c>
      <c r="F1019" s="69" t="n">
        <v>93777.2443786378</v>
      </c>
      <c r="G1019" s="70" t="n">
        <v>138689.796610277</v>
      </c>
      <c r="H1019" s="71" t="n">
        <v>93636.8967600593</v>
      </c>
      <c r="I1019" s="72" t="str">
        <f>H1019-F1019</f>
      </c>
      <c r="J1019" s="73" t="str">
        <f>G1019-E1019</f>
      </c>
    </row>
    <row r="1020">
      <c r="A1020" t="s">
        <v>225</v>
      </c>
      <c r="B1020" t="s">
        <v>227</v>
      </c>
      <c r="C1020" s="67" t="n">
        <v>2040</v>
      </c>
      <c r="D1020" t="s">
        <v>180</v>
      </c>
      <c r="E1020" s="68" t="n">
        <v>437736.075725189</v>
      </c>
      <c r="F1020" s="69" t="n">
        <v>408076.907974495</v>
      </c>
      <c r="G1020" s="70" t="n">
        <v>450841.764596063</v>
      </c>
      <c r="H1020" s="71" t="n">
        <v>418620.908948174</v>
      </c>
      <c r="I1020" s="72" t="str">
        <f>H1020-F1020</f>
      </c>
      <c r="J1020" s="73" t="str">
        <f>G1020-E1020</f>
      </c>
    </row>
    <row r="1021">
      <c r="A1021" t="s">
        <v>225</v>
      </c>
      <c r="B1021" t="s">
        <v>227</v>
      </c>
      <c r="C1021" s="67" t="n">
        <v>2040</v>
      </c>
      <c r="D1021" t="s">
        <v>183</v>
      </c>
      <c r="E1021" s="68" t="n">
        <v>711667.154643983</v>
      </c>
      <c r="F1021" s="69" t="n">
        <v>462807.866005812</v>
      </c>
      <c r="G1021" s="70" t="n">
        <v>777088.496702091</v>
      </c>
      <c r="H1021" s="71" t="n">
        <v>484947.105425179</v>
      </c>
      <c r="I1021" s="72" t="str">
        <f>H1021-F1021</f>
      </c>
      <c r="J1021" s="73" t="str">
        <f>G1021-E1021</f>
      </c>
    </row>
    <row r="1022">
      <c r="A1022" t="s">
        <v>225</v>
      </c>
      <c r="B1022" t="s">
        <v>227</v>
      </c>
      <c r="C1022" s="67" t="n">
        <v>2040</v>
      </c>
      <c r="D1022" t="s">
        <v>186</v>
      </c>
      <c r="E1022" s="68" t="n">
        <v>557100.758058678</v>
      </c>
      <c r="F1022" s="69" t="n">
        <v>327316.71453698</v>
      </c>
      <c r="G1022" s="70" t="n">
        <v>589359.733832842</v>
      </c>
      <c r="H1022" s="71" t="n">
        <v>338039.010430446</v>
      </c>
      <c r="I1022" s="72" t="str">
        <f>H1022-F1022</f>
      </c>
      <c r="J1022" s="73" t="str">
        <f>G1022-E1022</f>
      </c>
    </row>
    <row r="1023">
      <c r="A1023" t="s">
        <v>225</v>
      </c>
      <c r="B1023" t="s">
        <v>227</v>
      </c>
      <c r="C1023" s="67" t="n">
        <v>2040</v>
      </c>
      <c r="D1023" t="s">
        <v>366</v>
      </c>
      <c r="E1023" s="68" t="n">
        <v>43474.3078221467</v>
      </c>
      <c r="F1023" s="69" t="n">
        <v>7574.04074893533</v>
      </c>
      <c r="G1023" s="70" t="n">
        <v>43464.8596818836</v>
      </c>
      <c r="H1023" s="71" t="n">
        <v>7573.72556082699</v>
      </c>
      <c r="I1023" s="72" t="str">
        <f>H1023-F1023</f>
      </c>
      <c r="J1023" s="73" t="str">
        <f>G1023-E1023</f>
      </c>
    </row>
    <row r="1024">
      <c r="A1024" t="s">
        <v>225</v>
      </c>
      <c r="B1024" t="s">
        <v>227</v>
      </c>
      <c r="C1024" s="67" t="n">
        <v>2041</v>
      </c>
      <c r="D1024" t="s">
        <v>169</v>
      </c>
      <c r="E1024" s="68" t="n">
        <v>19828.9015456084</v>
      </c>
      <c r="F1024" s="69" t="n">
        <v>14027.2153402691</v>
      </c>
      <c r="G1024" s="70" t="n">
        <v>19727.283486384</v>
      </c>
      <c r="H1024" s="71" t="n">
        <v>13991.6066902828</v>
      </c>
      <c r="I1024" s="72" t="str">
        <f>H1024-F1024</f>
      </c>
      <c r="J1024" s="73" t="str">
        <f>G1024-E1024</f>
      </c>
    </row>
    <row r="1025">
      <c r="A1025" t="s">
        <v>225</v>
      </c>
      <c r="B1025" t="s">
        <v>227</v>
      </c>
      <c r="C1025" s="67" t="n">
        <v>2041</v>
      </c>
      <c r="D1025" t="s">
        <v>208</v>
      </c>
      <c r="E1025" s="68" t="n">
        <v>1133204.22706213</v>
      </c>
      <c r="F1025" s="69" t="n">
        <v>253606.963203003</v>
      </c>
      <c r="G1025" s="70" t="n">
        <v>1199988.17586749</v>
      </c>
      <c r="H1025" s="71" t="n">
        <v>257599.044002988</v>
      </c>
      <c r="I1025" s="72" t="str">
        <f>H1025-F1025</f>
      </c>
      <c r="J1025" s="73" t="str">
        <f>G1025-E1025</f>
      </c>
    </row>
    <row r="1026">
      <c r="A1026" t="s">
        <v>225</v>
      </c>
      <c r="B1026" t="s">
        <v>227</v>
      </c>
      <c r="C1026" s="67" t="n">
        <v>2041</v>
      </c>
      <c r="D1026" t="s">
        <v>176</v>
      </c>
      <c r="E1026" s="68" t="n">
        <v>142063.84538021</v>
      </c>
      <c r="F1026" s="69" t="n">
        <v>95703.4777902372</v>
      </c>
      <c r="G1026" s="70" t="n">
        <v>141475.570851386</v>
      </c>
      <c r="H1026" s="71" t="n">
        <v>95527.0063786807</v>
      </c>
      <c r="I1026" s="72" t="str">
        <f>H1026-F1026</f>
      </c>
      <c r="J1026" s="73" t="str">
        <f>G1026-E1026</f>
      </c>
    </row>
    <row r="1027">
      <c r="A1027" t="s">
        <v>225</v>
      </c>
      <c r="B1027" t="s">
        <v>227</v>
      </c>
      <c r="C1027" s="67" t="n">
        <v>2041</v>
      </c>
      <c r="D1027" t="s">
        <v>180</v>
      </c>
      <c r="E1027" s="68" t="n">
        <v>443968.340483268</v>
      </c>
      <c r="F1027" s="69" t="n">
        <v>413771.47558984</v>
      </c>
      <c r="G1027" s="70" t="n">
        <v>457698.128134802</v>
      </c>
      <c r="H1027" s="71" t="n">
        <v>425005.77720965</v>
      </c>
      <c r="I1027" s="72" t="str">
        <f>H1027-F1027</f>
      </c>
      <c r="J1027" s="73" t="str">
        <f>G1027-E1027</f>
      </c>
    </row>
    <row r="1028">
      <c r="A1028" t="s">
        <v>225</v>
      </c>
      <c r="B1028" t="s">
        <v>227</v>
      </c>
      <c r="C1028" s="67" t="n">
        <v>2041</v>
      </c>
      <c r="D1028" t="s">
        <v>183</v>
      </c>
      <c r="E1028" s="68" t="n">
        <v>719446.563267722</v>
      </c>
      <c r="F1028" s="69" t="n">
        <v>469750.356173081</v>
      </c>
      <c r="G1028" s="70" t="n">
        <v>788293.242756689</v>
      </c>
      <c r="H1028" s="71" t="n">
        <v>494390.873248259</v>
      </c>
      <c r="I1028" s="72" t="str">
        <f>H1028-F1028</f>
      </c>
      <c r="J1028" s="73" t="str">
        <f>G1028-E1028</f>
      </c>
    </row>
    <row r="1029">
      <c r="A1029" t="s">
        <v>225</v>
      </c>
      <c r="B1029" t="s">
        <v>227</v>
      </c>
      <c r="C1029" s="67" t="n">
        <v>2041</v>
      </c>
      <c r="D1029" t="s">
        <v>186</v>
      </c>
      <c r="E1029" s="68" t="n">
        <v>567156.625675009</v>
      </c>
      <c r="F1029" s="69" t="n">
        <v>336026.626612333</v>
      </c>
      <c r="G1029" s="70" t="n">
        <v>601155.340946961</v>
      </c>
      <c r="H1029" s="71" t="n">
        <v>347924.766327078</v>
      </c>
      <c r="I1029" s="72" t="str">
        <f>H1029-F1029</f>
      </c>
      <c r="J1029" s="73" t="str">
        <f>G1029-E1029</f>
      </c>
    </row>
    <row r="1030">
      <c r="A1030" t="s">
        <v>225</v>
      </c>
      <c r="B1030" t="s">
        <v>227</v>
      </c>
      <c r="C1030" s="67" t="n">
        <v>2041</v>
      </c>
      <c r="D1030" t="s">
        <v>366</v>
      </c>
      <c r="E1030" s="68" t="n">
        <v>43372.218142999</v>
      </c>
      <c r="F1030" s="69" t="n">
        <v>7596.39236366654</v>
      </c>
      <c r="G1030" s="70" t="n">
        <v>43360.9356755525</v>
      </c>
      <c r="H1030" s="71" t="n">
        <v>7595.99533386821</v>
      </c>
      <c r="I1030" s="72" t="str">
        <f>H1030-F1030</f>
      </c>
      <c r="J1030" s="73" t="str">
        <f>G1030-E1030</f>
      </c>
    </row>
    <row r="1031">
      <c r="A1031" t="s">
        <v>225</v>
      </c>
      <c r="B1031" t="s">
        <v>227</v>
      </c>
      <c r="C1031" s="67" t="n">
        <v>2042</v>
      </c>
      <c r="D1031" t="s">
        <v>169</v>
      </c>
      <c r="E1031" s="68" t="n">
        <v>20343.2523435798</v>
      </c>
      <c r="F1031" s="69" t="n">
        <v>14328.4658498655</v>
      </c>
      <c r="G1031" s="70" t="n">
        <v>20222.2683991647</v>
      </c>
      <c r="H1031" s="71" t="n">
        <v>14284.6169088399</v>
      </c>
      <c r="I1031" s="72" t="str">
        <f>H1031-F1031</f>
      </c>
      <c r="J1031" s="73" t="str">
        <f>G1031-E1031</f>
      </c>
    </row>
    <row r="1032">
      <c r="A1032" t="s">
        <v>225</v>
      </c>
      <c r="B1032" t="s">
        <v>227</v>
      </c>
      <c r="C1032" s="67" t="n">
        <v>2042</v>
      </c>
      <c r="D1032" t="s">
        <v>208</v>
      </c>
      <c r="E1032" s="68" t="n">
        <v>1137497.6252325</v>
      </c>
      <c r="F1032" s="69" t="n">
        <v>260789.061457014</v>
      </c>
      <c r="G1032" s="70" t="n">
        <v>1206799.58929471</v>
      </c>
      <c r="H1032" s="71" t="n">
        <v>265289.409116733</v>
      </c>
      <c r="I1032" s="72" t="str">
        <f>H1032-F1032</f>
      </c>
      <c r="J1032" s="73" t="str">
        <f>G1032-E1032</f>
      </c>
    </row>
    <row r="1033">
      <c r="A1033" t="s">
        <v>225</v>
      </c>
      <c r="B1033" t="s">
        <v>227</v>
      </c>
      <c r="C1033" s="67" t="n">
        <v>2042</v>
      </c>
      <c r="D1033" t="s">
        <v>176</v>
      </c>
      <c r="E1033" s="68" t="n">
        <v>144943.79771133</v>
      </c>
      <c r="F1033" s="69" t="n">
        <v>97623.7024508226</v>
      </c>
      <c r="G1033" s="70" t="n">
        <v>144248.066926011</v>
      </c>
      <c r="H1033" s="71" t="n">
        <v>97406.1569770963</v>
      </c>
      <c r="I1033" s="72" t="str">
        <f>H1033-F1033</f>
      </c>
      <c r="J1033" s="73" t="str">
        <f>G1033-E1033</f>
      </c>
    </row>
    <row r="1034">
      <c r="A1034" t="s">
        <v>225</v>
      </c>
      <c r="B1034" t="s">
        <v>227</v>
      </c>
      <c r="C1034" s="67" t="n">
        <v>2042</v>
      </c>
      <c r="D1034" t="s">
        <v>180</v>
      </c>
      <c r="E1034" s="68" t="n">
        <v>450175.608728078</v>
      </c>
      <c r="F1034" s="69" t="n">
        <v>419507.552865092</v>
      </c>
      <c r="G1034" s="70" t="n">
        <v>464487.038990191</v>
      </c>
      <c r="H1034" s="71" t="n">
        <v>431397.042999706</v>
      </c>
      <c r="I1034" s="72" t="str">
        <f>H1034-F1034</f>
      </c>
      <c r="J1034" s="73" t="str">
        <f>G1034-E1034</f>
      </c>
    </row>
    <row r="1035">
      <c r="A1035" t="s">
        <v>225</v>
      </c>
      <c r="B1035" t="s">
        <v>227</v>
      </c>
      <c r="C1035" s="67" t="n">
        <v>2042</v>
      </c>
      <c r="D1035" t="s">
        <v>183</v>
      </c>
      <c r="E1035" s="68" t="n">
        <v>727118.619931894</v>
      </c>
      <c r="F1035" s="69" t="n">
        <v>476449.583067336</v>
      </c>
      <c r="G1035" s="70" t="n">
        <v>799225.499121645</v>
      </c>
      <c r="H1035" s="71" t="n">
        <v>503603.803809569</v>
      </c>
      <c r="I1035" s="72" t="str">
        <f>H1035-F1035</f>
      </c>
      <c r="J1035" s="73" t="str">
        <f>G1035-E1035</f>
      </c>
    </row>
    <row r="1036">
      <c r="A1036" t="s">
        <v>225</v>
      </c>
      <c r="B1036" t="s">
        <v>227</v>
      </c>
      <c r="C1036" s="67" t="n">
        <v>2042</v>
      </c>
      <c r="D1036" t="s">
        <v>186</v>
      </c>
      <c r="E1036" s="68" t="n">
        <v>577020.749540926</v>
      </c>
      <c r="F1036" s="69" t="n">
        <v>344841.12671679</v>
      </c>
      <c r="G1036" s="70" t="n">
        <v>612664.177038008</v>
      </c>
      <c r="H1036" s="71" t="n">
        <v>357930.939504437</v>
      </c>
      <c r="I1036" s="72" t="str">
        <f>H1036-F1036</f>
      </c>
      <c r="J1036" s="73" t="str">
        <f>G1036-E1036</f>
      </c>
    </row>
    <row r="1037">
      <c r="A1037" t="s">
        <v>225</v>
      </c>
      <c r="B1037" t="s">
        <v>227</v>
      </c>
      <c r="C1037" s="67" t="n">
        <v>2042</v>
      </c>
      <c r="D1037" t="s">
        <v>366</v>
      </c>
      <c r="E1037" s="68" t="n">
        <v>43292.0126548178</v>
      </c>
      <c r="F1037" s="69" t="n">
        <v>7617.08346152591</v>
      </c>
      <c r="G1037" s="70" t="n">
        <v>43278.7284816073</v>
      </c>
      <c r="H1037" s="71" t="n">
        <v>7616.59280355029</v>
      </c>
      <c r="I1037" s="72" t="str">
        <f>H1037-F1037</f>
      </c>
      <c r="J1037" s="73" t="str">
        <f>G1037-E1037</f>
      </c>
    </row>
    <row r="1038">
      <c r="A1038" t="s">
        <v>225</v>
      </c>
      <c r="B1038" t="s">
        <v>227</v>
      </c>
      <c r="C1038" s="67" t="n">
        <v>2043</v>
      </c>
      <c r="D1038" t="s">
        <v>169</v>
      </c>
      <c r="E1038" s="68" t="n">
        <v>20862.9505490984</v>
      </c>
      <c r="F1038" s="69" t="n">
        <v>14626.0466227553</v>
      </c>
      <c r="G1038" s="70" t="n">
        <v>20720.5482054553</v>
      </c>
      <c r="H1038" s="71" t="n">
        <v>14572.8831532714</v>
      </c>
      <c r="I1038" s="72" t="str">
        <f>H1038-F1038</f>
      </c>
      <c r="J1038" s="73" t="str">
        <f>G1038-E1038</f>
      </c>
    </row>
    <row r="1039">
      <c r="A1039" t="s">
        <v>225</v>
      </c>
      <c r="B1039" t="s">
        <v>227</v>
      </c>
      <c r="C1039" s="67" t="n">
        <v>2043</v>
      </c>
      <c r="D1039" t="s">
        <v>208</v>
      </c>
      <c r="E1039" s="68" t="n">
        <v>1141437.47543332</v>
      </c>
      <c r="F1039" s="69" t="n">
        <v>267920.573435018</v>
      </c>
      <c r="G1039" s="70" t="n">
        <v>1213049.26096591</v>
      </c>
      <c r="H1039" s="71" t="n">
        <v>272950.435419178</v>
      </c>
      <c r="I1039" s="72" t="str">
        <f>H1039-F1039</f>
      </c>
      <c r="J1039" s="73" t="str">
        <f>G1039-E1039</f>
      </c>
    </row>
    <row r="1040">
      <c r="A1040" t="s">
        <v>225</v>
      </c>
      <c r="B1040" t="s">
        <v>227</v>
      </c>
      <c r="C1040" s="67" t="n">
        <v>2043</v>
      </c>
      <c r="D1040" t="s">
        <v>176</v>
      </c>
      <c r="E1040" s="68" t="n">
        <v>147807.034549113</v>
      </c>
      <c r="F1040" s="69" t="n">
        <v>99535.1350451299</v>
      </c>
      <c r="G1040" s="70" t="n">
        <v>146993.814208207</v>
      </c>
      <c r="H1040" s="71" t="n">
        <v>99271.3911680729</v>
      </c>
      <c r="I1040" s="72" t="str">
        <f>H1040-F1040</f>
      </c>
      <c r="J1040" s="73" t="str">
        <f>G1040-E1040</f>
      </c>
    </row>
    <row r="1041">
      <c r="A1041" t="s">
        <v>225</v>
      </c>
      <c r="B1041" t="s">
        <v>227</v>
      </c>
      <c r="C1041" s="67" t="n">
        <v>2043</v>
      </c>
      <c r="D1041" t="s">
        <v>180</v>
      </c>
      <c r="E1041" s="68" t="n">
        <v>456305.776256948</v>
      </c>
      <c r="F1041" s="69" t="n">
        <v>425174.072504283</v>
      </c>
      <c r="G1041" s="70" t="n">
        <v>471154.839580669</v>
      </c>
      <c r="H1041" s="71" t="n">
        <v>437679.988471842</v>
      </c>
      <c r="I1041" s="72" t="str">
        <f>H1041-F1041</f>
      </c>
      <c r="J1041" s="73" t="str">
        <f>G1041-E1041</f>
      </c>
    </row>
    <row r="1042">
      <c r="A1042" t="s">
        <v>225</v>
      </c>
      <c r="B1042" t="s">
        <v>227</v>
      </c>
      <c r="C1042" s="67" t="n">
        <v>2043</v>
      </c>
      <c r="D1042" t="s">
        <v>183</v>
      </c>
      <c r="E1042" s="68" t="n">
        <v>734799.734783074</v>
      </c>
      <c r="F1042" s="69" t="n">
        <v>482942.191781873</v>
      </c>
      <c r="G1042" s="70" t="n">
        <v>810014.772834319</v>
      </c>
      <c r="H1042" s="71" t="n">
        <v>512610.449179313</v>
      </c>
      <c r="I1042" s="72" t="str">
        <f>H1042-F1042</f>
      </c>
      <c r="J1042" s="73" t="str">
        <f>G1042-E1042</f>
      </c>
    </row>
    <row r="1043">
      <c r="A1043" t="s">
        <v>225</v>
      </c>
      <c r="B1043" t="s">
        <v>227</v>
      </c>
      <c r="C1043" s="67" t="n">
        <v>2043</v>
      </c>
      <c r="D1043" t="s">
        <v>186</v>
      </c>
      <c r="E1043" s="68" t="n">
        <v>586757.009716559</v>
      </c>
      <c r="F1043" s="69" t="n">
        <v>353670.208353432</v>
      </c>
      <c r="G1043" s="70" t="n">
        <v>623953.356494139</v>
      </c>
      <c r="H1043" s="71" t="n">
        <v>367959.059248153</v>
      </c>
      <c r="I1043" s="72" t="str">
        <f>H1043-F1043</f>
      </c>
      <c r="J1043" s="73" t="str">
        <f>G1043-E1043</f>
      </c>
    </row>
    <row r="1044">
      <c r="A1044" t="s">
        <v>225</v>
      </c>
      <c r="B1044" t="s">
        <v>227</v>
      </c>
      <c r="C1044" s="67" t="n">
        <v>2043</v>
      </c>
      <c r="D1044" t="s">
        <v>366</v>
      </c>
      <c r="E1044" s="68" t="n">
        <v>43247.5918008303</v>
      </c>
      <c r="F1044" s="69" t="n">
        <v>7635.23484723783</v>
      </c>
      <c r="G1044" s="70" t="n">
        <v>43232.1385441846</v>
      </c>
      <c r="H1044" s="71" t="n">
        <v>7634.63809790975</v>
      </c>
      <c r="I1044" s="72" t="str">
        <f>H1044-F1044</f>
      </c>
      <c r="J1044" s="73" t="str">
        <f>G1044-E1044</f>
      </c>
    </row>
    <row r="1045">
      <c r="A1045" t="s">
        <v>225</v>
      </c>
      <c r="B1045" t="s">
        <v>227</v>
      </c>
      <c r="C1045" s="67" t="n">
        <v>2044</v>
      </c>
      <c r="D1045" t="s">
        <v>169</v>
      </c>
      <c r="E1045" s="68" t="n">
        <v>21386.2162097251</v>
      </c>
      <c r="F1045" s="69" t="n">
        <v>14925.0238992429</v>
      </c>
      <c r="G1045" s="70" t="n">
        <v>21220.2473713984</v>
      </c>
      <c r="H1045" s="71" t="n">
        <v>14861.4315691186</v>
      </c>
      <c r="I1045" s="72" t="str">
        <f>H1045-F1045</f>
      </c>
      <c r="J1045" s="73" t="str">
        <f>G1045-E1045</f>
      </c>
    </row>
    <row r="1046">
      <c r="A1046" t="s">
        <v>225</v>
      </c>
      <c r="B1046" t="s">
        <v>227</v>
      </c>
      <c r="C1046" s="67" t="n">
        <v>2044</v>
      </c>
      <c r="D1046" t="s">
        <v>208</v>
      </c>
      <c r="E1046" s="68" t="n">
        <v>1145251.38825661</v>
      </c>
      <c r="F1046" s="69" t="n">
        <v>274927.799199727</v>
      </c>
      <c r="G1046" s="70" t="n">
        <v>1218988.4670045</v>
      </c>
      <c r="H1046" s="71" t="n">
        <v>280506.441535508</v>
      </c>
      <c r="I1046" s="72" t="str">
        <f>H1046-F1046</f>
      </c>
      <c r="J1046" s="73" t="str">
        <f>G1046-E1046</f>
      </c>
    </row>
    <row r="1047">
      <c r="A1047" t="s">
        <v>225</v>
      </c>
      <c r="B1047" t="s">
        <v>227</v>
      </c>
      <c r="C1047" s="67" t="n">
        <v>2044</v>
      </c>
      <c r="D1047" t="s">
        <v>176</v>
      </c>
      <c r="E1047" s="68" t="n">
        <v>150637.152074256</v>
      </c>
      <c r="F1047" s="69" t="n">
        <v>101427.489887634</v>
      </c>
      <c r="G1047" s="70" t="n">
        <v>149696.213967301</v>
      </c>
      <c r="H1047" s="71" t="n">
        <v>101112.290089553</v>
      </c>
      <c r="I1047" s="72" t="str">
        <f>H1047-F1047</f>
      </c>
      <c r="J1047" s="73" t="str">
        <f>G1047-E1047</f>
      </c>
    </row>
    <row r="1048">
      <c r="A1048" t="s">
        <v>225</v>
      </c>
      <c r="B1048" t="s">
        <v>227</v>
      </c>
      <c r="C1048" s="67" t="n">
        <v>2044</v>
      </c>
      <c r="D1048" t="s">
        <v>180</v>
      </c>
      <c r="E1048" s="68" t="n">
        <v>462242.342577976</v>
      </c>
      <c r="F1048" s="69" t="n">
        <v>430719.329496167</v>
      </c>
      <c r="G1048" s="70" t="n">
        <v>477581.314836645</v>
      </c>
      <c r="H1048" s="71" t="n">
        <v>443800.637197395</v>
      </c>
      <c r="I1048" s="72" t="str">
        <f>H1048-F1048</f>
      </c>
      <c r="J1048" s="73" t="str">
        <f>G1048-E1048</f>
      </c>
    </row>
    <row r="1049">
      <c r="A1049" t="s">
        <v>225</v>
      </c>
      <c r="B1049" t="s">
        <v>227</v>
      </c>
      <c r="C1049" s="67" t="n">
        <v>2044</v>
      </c>
      <c r="D1049" t="s">
        <v>183</v>
      </c>
      <c r="E1049" s="68" t="n">
        <v>742561.267042478</v>
      </c>
      <c r="F1049" s="69" t="n">
        <v>489247.447480261</v>
      </c>
      <c r="G1049" s="70" t="n">
        <v>820742.370121934</v>
      </c>
      <c r="H1049" s="71" t="n">
        <v>521420.170330997</v>
      </c>
      <c r="I1049" s="72" t="str">
        <f>H1049-F1049</f>
      </c>
      <c r="J1049" s="73" t="str">
        <f>G1049-E1049</f>
      </c>
    </row>
    <row r="1050">
      <c r="A1050" t="s">
        <v>225</v>
      </c>
      <c r="B1050" t="s">
        <v>227</v>
      </c>
      <c r="C1050" s="67" t="n">
        <v>2044</v>
      </c>
      <c r="D1050" t="s">
        <v>186</v>
      </c>
      <c r="E1050" s="68" t="n">
        <v>596366.932095125</v>
      </c>
      <c r="F1050" s="69" t="n">
        <v>362431.946959492</v>
      </c>
      <c r="G1050" s="70" t="n">
        <v>635024.546467649</v>
      </c>
      <c r="H1050" s="71" t="n">
        <v>377918.589898958</v>
      </c>
      <c r="I1050" s="72" t="str">
        <f>H1050-F1050</f>
      </c>
      <c r="J1050" s="73" t="str">
        <f>G1050-E1050</f>
      </c>
    </row>
    <row r="1051">
      <c r="A1051" t="s">
        <v>225</v>
      </c>
      <c r="B1051" t="s">
        <v>227</v>
      </c>
      <c r="C1051" s="67" t="n">
        <v>2044</v>
      </c>
      <c r="D1051" t="s">
        <v>366</v>
      </c>
      <c r="E1051" s="68" t="n">
        <v>43220.4173056242</v>
      </c>
      <c r="F1051" s="69" t="n">
        <v>7653.43785493145</v>
      </c>
      <c r="G1051" s="70" t="n">
        <v>43202.6300388595</v>
      </c>
      <c r="H1051" s="71" t="n">
        <v>7652.72182573668</v>
      </c>
      <c r="I1051" s="72" t="str">
        <f>H1051-F1051</f>
      </c>
      <c r="J1051" s="73" t="str">
        <f>G1051-E1051</f>
      </c>
    </row>
    <row r="1052">
      <c r="A1052" t="s">
        <v>225</v>
      </c>
      <c r="B1052" t="s">
        <v>227</v>
      </c>
      <c r="C1052" s="67" t="n">
        <v>2045</v>
      </c>
      <c r="D1052" t="s">
        <v>169</v>
      </c>
      <c r="E1052" s="68" t="n">
        <v>21909.339044748</v>
      </c>
      <c r="F1052" s="69" t="n">
        <v>15223.469875941</v>
      </c>
      <c r="G1052" s="70" t="n">
        <v>21717.6165215297</v>
      </c>
      <c r="H1052" s="71" t="n">
        <v>15148.2979562423</v>
      </c>
      <c r="I1052" s="72" t="str">
        <f>H1052-F1052</f>
      </c>
      <c r="J1052" s="73" t="str">
        <f>G1052-E1052</f>
      </c>
    </row>
    <row r="1053">
      <c r="A1053" t="s">
        <v>225</v>
      </c>
      <c r="B1053" t="s">
        <v>227</v>
      </c>
      <c r="C1053" s="67" t="n">
        <v>2045</v>
      </c>
      <c r="D1053" t="s">
        <v>208</v>
      </c>
      <c r="E1053" s="68" t="n">
        <v>1148978.83790847</v>
      </c>
      <c r="F1053" s="69" t="n">
        <v>281780.638165718</v>
      </c>
      <c r="G1053" s="70" t="n">
        <v>1224668.96644768</v>
      </c>
      <c r="H1053" s="71" t="n">
        <v>287925.043222784</v>
      </c>
      <c r="I1053" s="72" t="str">
        <f>H1053-F1053</f>
      </c>
      <c r="J1053" s="73" t="str">
        <f>G1053-E1053</f>
      </c>
    </row>
    <row r="1054">
      <c r="A1054" t="s">
        <v>225</v>
      </c>
      <c r="B1054" t="s">
        <v>227</v>
      </c>
      <c r="C1054" s="67" t="n">
        <v>2045</v>
      </c>
      <c r="D1054" t="s">
        <v>176</v>
      </c>
      <c r="E1054" s="68" t="n">
        <v>153416.971208278</v>
      </c>
      <c r="F1054" s="69" t="n">
        <v>103307.347235205</v>
      </c>
      <c r="G1054" s="70" t="n">
        <v>152338.052815886</v>
      </c>
      <c r="H1054" s="71" t="n">
        <v>102935.314985138</v>
      </c>
      <c r="I1054" s="72" t="str">
        <f>H1054-F1054</f>
      </c>
      <c r="J1054" s="73" t="str">
        <f>G1054-E1054</f>
      </c>
    </row>
    <row r="1055">
      <c r="A1055" t="s">
        <v>225</v>
      </c>
      <c r="B1055" t="s">
        <v>227</v>
      </c>
      <c r="C1055" s="67" t="n">
        <v>2045</v>
      </c>
      <c r="D1055" t="s">
        <v>180</v>
      </c>
      <c r="E1055" s="68" t="n">
        <v>467943.374007731</v>
      </c>
      <c r="F1055" s="69" t="n">
        <v>436103.916966411</v>
      </c>
      <c r="G1055" s="70" t="n">
        <v>483723.516122198</v>
      </c>
      <c r="H1055" s="71" t="n">
        <v>449717.558047709</v>
      </c>
      <c r="I1055" s="72" t="str">
        <f>H1055-F1055</f>
      </c>
      <c r="J1055" s="73" t="str">
        <f>G1055-E1055</f>
      </c>
    </row>
    <row r="1056">
      <c r="A1056" t="s">
        <v>225</v>
      </c>
      <c r="B1056" t="s">
        <v>227</v>
      </c>
      <c r="C1056" s="67" t="n">
        <v>2045</v>
      </c>
      <c r="D1056" t="s">
        <v>183</v>
      </c>
      <c r="E1056" s="68" t="n">
        <v>750456.763539779</v>
      </c>
      <c r="F1056" s="69" t="n">
        <v>495340.045849591</v>
      </c>
      <c r="G1056" s="70" t="n">
        <v>831470.210098177</v>
      </c>
      <c r="H1056" s="71" t="n">
        <v>529994.226959208</v>
      </c>
      <c r="I1056" s="72" t="str">
        <f>H1056-F1056</f>
      </c>
      <c r="J1056" s="73" t="str">
        <f>G1056-E1056</f>
      </c>
    </row>
    <row r="1057">
      <c r="A1057" t="s">
        <v>225</v>
      </c>
      <c r="B1057" t="s">
        <v>227</v>
      </c>
      <c r="C1057" s="67" t="n">
        <v>2045</v>
      </c>
      <c r="D1057" t="s">
        <v>186</v>
      </c>
      <c r="E1057" s="68" t="n">
        <v>605712.345841508</v>
      </c>
      <c r="F1057" s="69" t="n">
        <v>371076.113679198</v>
      </c>
      <c r="G1057" s="70" t="n">
        <v>645730.44769896</v>
      </c>
      <c r="H1057" s="71" t="n">
        <v>387750.678781898</v>
      </c>
      <c r="I1057" s="72" t="str">
        <f>H1057-F1057</f>
      </c>
      <c r="J1057" s="73" t="str">
        <f>G1057-E1057</f>
      </c>
    </row>
    <row r="1058">
      <c r="A1058" t="s">
        <v>225</v>
      </c>
      <c r="B1058" t="s">
        <v>227</v>
      </c>
      <c r="C1058" s="67" t="n">
        <v>2045</v>
      </c>
      <c r="D1058" t="s">
        <v>366</v>
      </c>
      <c r="E1058" s="68" t="n">
        <v>43210.8870213259</v>
      </c>
      <c r="F1058" s="69" t="n">
        <v>7672.91741270135</v>
      </c>
      <c r="G1058" s="70" t="n">
        <v>43190.6037513161</v>
      </c>
      <c r="H1058" s="71" t="n">
        <v>7672.06822678464</v>
      </c>
      <c r="I1058" s="72" t="str">
        <f>H1058-F1058</f>
      </c>
      <c r="J1058" s="73" t="str">
        <f>G1058-E1058</f>
      </c>
    </row>
    <row r="1059">
      <c r="A1059" t="s">
        <v>225</v>
      </c>
      <c r="B1059" t="s">
        <v>227</v>
      </c>
      <c r="C1059" s="67" t="n">
        <v>2046</v>
      </c>
      <c r="D1059" t="s">
        <v>169</v>
      </c>
      <c r="E1059" s="68" t="n">
        <v>22430.6803020705</v>
      </c>
      <c r="F1059" s="69" t="n">
        <v>15524.8927603764</v>
      </c>
      <c r="G1059" s="70" t="n">
        <v>22210.9745219107</v>
      </c>
      <c r="H1059" s="71" t="n">
        <v>15436.8918612077</v>
      </c>
      <c r="I1059" s="72" t="str">
        <f>H1059-F1059</f>
      </c>
      <c r="J1059" s="73" t="str">
        <f>G1059-E1059</f>
      </c>
    </row>
    <row r="1060">
      <c r="A1060" t="s">
        <v>225</v>
      </c>
      <c r="B1060" t="s">
        <v>227</v>
      </c>
      <c r="C1060" s="67" t="n">
        <v>2046</v>
      </c>
      <c r="D1060" t="s">
        <v>208</v>
      </c>
      <c r="E1060" s="68" t="n">
        <v>1152642.80155369</v>
      </c>
      <c r="F1060" s="69" t="n">
        <v>288441.493106117</v>
      </c>
      <c r="G1060" s="70" t="n">
        <v>1230125.0687767</v>
      </c>
      <c r="H1060" s="71" t="n">
        <v>295165.877208802</v>
      </c>
      <c r="I1060" s="72" t="str">
        <f>H1060-F1060</f>
      </c>
      <c r="J1060" s="73" t="str">
        <f>G1060-E1060</f>
      </c>
    </row>
    <row r="1061">
      <c r="A1061" t="s">
        <v>225</v>
      </c>
      <c r="B1061" t="s">
        <v>227</v>
      </c>
      <c r="C1061" s="67" t="n">
        <v>2046</v>
      </c>
      <c r="D1061" t="s">
        <v>176</v>
      </c>
      <c r="E1061" s="68" t="n">
        <v>156146.47988308</v>
      </c>
      <c r="F1061" s="69" t="n">
        <v>105165.498615017</v>
      </c>
      <c r="G1061" s="70" t="n">
        <v>154919.185199882</v>
      </c>
      <c r="H1061" s="71" t="n">
        <v>104731.133984312</v>
      </c>
      <c r="I1061" s="72" t="str">
        <f>H1061-F1061</f>
      </c>
      <c r="J1061" s="73" t="str">
        <f>G1061-E1061</f>
      </c>
    </row>
    <row r="1062">
      <c r="A1062" t="s">
        <v>225</v>
      </c>
      <c r="B1062" t="s">
        <v>227</v>
      </c>
      <c r="C1062" s="67" t="n">
        <v>2046</v>
      </c>
      <c r="D1062" t="s">
        <v>180</v>
      </c>
      <c r="E1062" s="68" t="n">
        <v>473387.585255211</v>
      </c>
      <c r="F1062" s="69" t="n">
        <v>441211.239021261</v>
      </c>
      <c r="G1062" s="70" t="n">
        <v>489559.569488497</v>
      </c>
      <c r="H1062" s="71" t="n">
        <v>455310.080020589</v>
      </c>
      <c r="I1062" s="72" t="str">
        <f>H1062-F1062</f>
      </c>
      <c r="J1062" s="73" t="str">
        <f>G1062-E1062</f>
      </c>
    </row>
    <row r="1063">
      <c r="A1063" t="s">
        <v>225</v>
      </c>
      <c r="B1063" t="s">
        <v>227</v>
      </c>
      <c r="C1063" s="67" t="n">
        <v>2046</v>
      </c>
      <c r="D1063" t="s">
        <v>183</v>
      </c>
      <c r="E1063" s="68" t="n">
        <v>758323.7648434</v>
      </c>
      <c r="F1063" s="69" t="n">
        <v>501331.079374886</v>
      </c>
      <c r="G1063" s="70" t="n">
        <v>842022.211146035</v>
      </c>
      <c r="H1063" s="71" t="n">
        <v>538440.168228285</v>
      </c>
      <c r="I1063" s="72" t="str">
        <f>H1063-F1063</f>
      </c>
      <c r="J1063" s="73" t="str">
        <f>G1063-E1063</f>
      </c>
    </row>
    <row r="1064">
      <c r="A1064" t="s">
        <v>225</v>
      </c>
      <c r="B1064" t="s">
        <v>227</v>
      </c>
      <c r="C1064" s="67" t="n">
        <v>2046</v>
      </c>
      <c r="D1064" t="s">
        <v>186</v>
      </c>
      <c r="E1064" s="68" t="n">
        <v>614749.729861905</v>
      </c>
      <c r="F1064" s="69" t="n">
        <v>379586.746376996</v>
      </c>
      <c r="G1064" s="70" t="n">
        <v>656023.203848247</v>
      </c>
      <c r="H1064" s="71" t="n">
        <v>397431.950602612</v>
      </c>
      <c r="I1064" s="72" t="str">
        <f>H1064-F1064</f>
      </c>
      <c r="J1064" s="73" t="str">
        <f>G1064-E1064</f>
      </c>
    </row>
    <row r="1065">
      <c r="A1065" t="s">
        <v>225</v>
      </c>
      <c r="B1065" t="s">
        <v>227</v>
      </c>
      <c r="C1065" s="67" t="n">
        <v>2046</v>
      </c>
      <c r="D1065" t="s">
        <v>366</v>
      </c>
      <c r="E1065" s="68" t="n">
        <v>43219.2539141429</v>
      </c>
      <c r="F1065" s="69" t="n">
        <v>7694.5537156005</v>
      </c>
      <c r="G1065" s="70" t="n">
        <v>43196.3103231123</v>
      </c>
      <c r="H1065" s="71" t="n">
        <v>7693.55704865625</v>
      </c>
      <c r="I1065" s="72" t="str">
        <f>H1065-F1065</f>
      </c>
      <c r="J1065" s="73" t="str">
        <f>G1065-E1065</f>
      </c>
    </row>
    <row r="1066">
      <c r="A1066" t="s">
        <v>225</v>
      </c>
      <c r="B1066" t="s">
        <v>227</v>
      </c>
      <c r="C1066" s="67" t="n">
        <v>2047</v>
      </c>
      <c r="D1066" t="s">
        <v>169</v>
      </c>
      <c r="E1066" s="68" t="n">
        <v>22949.6419403254</v>
      </c>
      <c r="F1066" s="69" t="n">
        <v>15830.6589817605</v>
      </c>
      <c r="G1066" s="70" t="n">
        <v>22699.6629629007</v>
      </c>
      <c r="H1066" s="71" t="n">
        <v>15728.4854947303</v>
      </c>
      <c r="I1066" s="72" t="str">
        <f>H1066-F1066</f>
      </c>
      <c r="J1066" s="73" t="str">
        <f>G1066-E1066</f>
      </c>
    </row>
    <row r="1067">
      <c r="A1067" t="s">
        <v>225</v>
      </c>
      <c r="B1067" t="s">
        <v>227</v>
      </c>
      <c r="C1067" s="67" t="n">
        <v>2047</v>
      </c>
      <c r="D1067" t="s">
        <v>208</v>
      </c>
      <c r="E1067" s="68" t="n">
        <v>1156157.93268322</v>
      </c>
      <c r="F1067" s="69" t="n">
        <v>294864.826005433</v>
      </c>
      <c r="G1067" s="70" t="n">
        <v>1235274.66521773</v>
      </c>
      <c r="H1067" s="71" t="n">
        <v>302180.550312501</v>
      </c>
      <c r="I1067" s="72" t="str">
        <f>H1067-F1067</f>
      </c>
      <c r="J1067" s="73" t="str">
        <f>G1067-E1067</f>
      </c>
    </row>
    <row r="1068">
      <c r="A1068" t="s">
        <v>225</v>
      </c>
      <c r="B1068" t="s">
        <v>227</v>
      </c>
      <c r="C1068" s="67" t="n">
        <v>2047</v>
      </c>
      <c r="D1068" t="s">
        <v>176</v>
      </c>
      <c r="E1068" s="68" t="n">
        <v>158822.131167096</v>
      </c>
      <c r="F1068" s="69" t="n">
        <v>106990.005928556</v>
      </c>
      <c r="G1068" s="70" t="n">
        <v>157435.937342911</v>
      </c>
      <c r="H1068" s="71" t="n">
        <v>106487.677760342</v>
      </c>
      <c r="I1068" s="72" t="str">
        <f>H1068-F1068</f>
      </c>
      <c r="J1068" s="73" t="str">
        <f>G1068-E1068</f>
      </c>
    </row>
    <row r="1069">
      <c r="A1069" t="s">
        <v>225</v>
      </c>
      <c r="B1069" t="s">
        <v>227</v>
      </c>
      <c r="C1069" s="67" t="n">
        <v>2047</v>
      </c>
      <c r="D1069" t="s">
        <v>180</v>
      </c>
      <c r="E1069" s="68" t="n">
        <v>478534.188706163</v>
      </c>
      <c r="F1069" s="69" t="n">
        <v>446004.104788603</v>
      </c>
      <c r="G1069" s="70" t="n">
        <v>495047.331680699</v>
      </c>
      <c r="H1069" s="71" t="n">
        <v>460539.427749469</v>
      </c>
      <c r="I1069" s="72" t="str">
        <f>H1069-F1069</f>
      </c>
      <c r="J1069" s="73" t="str">
        <f>G1069-E1069</f>
      </c>
    </row>
    <row r="1070">
      <c r="A1070" t="s">
        <v>225</v>
      </c>
      <c r="B1070" t="s">
        <v>227</v>
      </c>
      <c r="C1070" s="67" t="n">
        <v>2047</v>
      </c>
      <c r="D1070" t="s">
        <v>183</v>
      </c>
      <c r="E1070" s="68" t="n">
        <v>766119.378118143</v>
      </c>
      <c r="F1070" s="69" t="n">
        <v>507355.401483235</v>
      </c>
      <c r="G1070" s="70" t="n">
        <v>852357.036896631</v>
      </c>
      <c r="H1070" s="71" t="n">
        <v>546892.884748123</v>
      </c>
      <c r="I1070" s="72" t="str">
        <f>H1070-F1070</f>
      </c>
      <c r="J1070" s="73" t="str">
        <f>G1070-E1070</f>
      </c>
    </row>
    <row r="1071">
      <c r="A1071" t="s">
        <v>225</v>
      </c>
      <c r="B1071" t="s">
        <v>227</v>
      </c>
      <c r="C1071" s="67" t="n">
        <v>2047</v>
      </c>
      <c r="D1071" t="s">
        <v>186</v>
      </c>
      <c r="E1071" s="68" t="n">
        <v>623533.983427347</v>
      </c>
      <c r="F1071" s="69" t="n">
        <v>387947.282574648</v>
      </c>
      <c r="G1071" s="70" t="n">
        <v>665960.530537607</v>
      </c>
      <c r="H1071" s="71" t="n">
        <v>406938.309858621</v>
      </c>
      <c r="I1071" s="72" t="str">
        <f>H1071-F1071</f>
      </c>
      <c r="J1071" s="73" t="str">
        <f>G1071-E1071</f>
      </c>
    </row>
    <row r="1072">
      <c r="A1072" t="s">
        <v>225</v>
      </c>
      <c r="B1072" t="s">
        <v>227</v>
      </c>
      <c r="C1072" s="67" t="n">
        <v>2047</v>
      </c>
      <c r="D1072" t="s">
        <v>366</v>
      </c>
      <c r="E1072" s="68" t="n">
        <v>43243.4061603705</v>
      </c>
      <c r="F1072" s="69" t="n">
        <v>7717.42337733066</v>
      </c>
      <c r="G1072" s="70" t="n">
        <v>43217.6341923504</v>
      </c>
      <c r="H1072" s="71" t="n">
        <v>7716.26452507886</v>
      </c>
      <c r="I1072" s="72" t="str">
        <f>H1072-F1072</f>
      </c>
      <c r="J1072" s="73" t="str">
        <f>G1072-E1072</f>
      </c>
    </row>
    <row r="1073">
      <c r="A1073" t="s">
        <v>225</v>
      </c>
      <c r="B1073" t="s">
        <v>227</v>
      </c>
      <c r="C1073" s="67" t="n">
        <v>2048</v>
      </c>
      <c r="D1073" t="s">
        <v>169</v>
      </c>
      <c r="E1073" s="68" t="n">
        <v>23462.3271807307</v>
      </c>
      <c r="F1073" s="69" t="n">
        <v>16142.8982897224</v>
      </c>
      <c r="G1073" s="70" t="n">
        <v>23179.7775298232</v>
      </c>
      <c r="H1073" s="71" t="n">
        <v>16025.2187605858</v>
      </c>
      <c r="I1073" s="72" t="str">
        <f>H1073-F1073</f>
      </c>
      <c r="J1073" s="73" t="str">
        <f>G1073-E1073</f>
      </c>
    </row>
    <row r="1074">
      <c r="A1074" t="s">
        <v>225</v>
      </c>
      <c r="B1074" t="s">
        <v>227</v>
      </c>
      <c r="C1074" s="67" t="n">
        <v>2048</v>
      </c>
      <c r="D1074" t="s">
        <v>208</v>
      </c>
      <c r="E1074" s="68" t="n">
        <v>1159601.12286498</v>
      </c>
      <c r="F1074" s="69" t="n">
        <v>301047.589468566</v>
      </c>
      <c r="G1074" s="70" t="n">
        <v>1240209.10376068</v>
      </c>
      <c r="H1074" s="71" t="n">
        <v>308964.310377282</v>
      </c>
      <c r="I1074" s="72" t="str">
        <f>H1074-F1074</f>
      </c>
      <c r="J1074" s="73" t="str">
        <f>G1074-E1074</f>
      </c>
    </row>
    <row r="1075">
      <c r="A1075" t="s">
        <v>225</v>
      </c>
      <c r="B1075" t="s">
        <v>227</v>
      </c>
      <c r="C1075" s="67" t="n">
        <v>2048</v>
      </c>
      <c r="D1075" t="s">
        <v>176</v>
      </c>
      <c r="E1075" s="68" t="n">
        <v>161432.520990951</v>
      </c>
      <c r="F1075" s="69" t="n">
        <v>108781.282256024</v>
      </c>
      <c r="G1075" s="70" t="n">
        <v>159877.069557409</v>
      </c>
      <c r="H1075" s="71" t="n">
        <v>108205.309376064</v>
      </c>
      <c r="I1075" s="72" t="str">
        <f>H1075-F1075</f>
      </c>
      <c r="J1075" s="73" t="str">
        <f>G1075-E1075</f>
      </c>
    </row>
    <row r="1076">
      <c r="A1076" t="s">
        <v>225</v>
      </c>
      <c r="B1076" t="s">
        <v>227</v>
      </c>
      <c r="C1076" s="67" t="n">
        <v>2048</v>
      </c>
      <c r="D1076" t="s">
        <v>180</v>
      </c>
      <c r="E1076" s="68" t="n">
        <v>483445.149038843</v>
      </c>
      <c r="F1076" s="69" t="n">
        <v>450630.617185934</v>
      </c>
      <c r="G1076" s="70" t="n">
        <v>500251.963676638</v>
      </c>
      <c r="H1076" s="71" t="n">
        <v>465558.478994868</v>
      </c>
      <c r="I1076" s="72" t="str">
        <f>H1076-F1076</f>
      </c>
      <c r="J1076" s="73" t="str">
        <f>G1076-E1076</f>
      </c>
    </row>
    <row r="1077">
      <c r="A1077" t="s">
        <v>225</v>
      </c>
      <c r="B1077" t="s">
        <v>227</v>
      </c>
      <c r="C1077" s="67" t="n">
        <v>2048</v>
      </c>
      <c r="D1077" t="s">
        <v>183</v>
      </c>
      <c r="E1077" s="68" t="n">
        <v>773792.413949794</v>
      </c>
      <c r="F1077" s="69" t="n">
        <v>513296.922354178</v>
      </c>
      <c r="G1077" s="70" t="n">
        <v>862421.197666068</v>
      </c>
      <c r="H1077" s="71" t="n">
        <v>555219.254274076</v>
      </c>
      <c r="I1077" s="72" t="str">
        <f>H1077-F1077</f>
      </c>
      <c r="J1077" s="73" t="str">
        <f>G1077-E1077</f>
      </c>
    </row>
    <row r="1078">
      <c r="A1078" t="s">
        <v>225</v>
      </c>
      <c r="B1078" t="s">
        <v>227</v>
      </c>
      <c r="C1078" s="67" t="n">
        <v>2048</v>
      </c>
      <c r="D1078" t="s">
        <v>186</v>
      </c>
      <c r="E1078" s="68" t="n">
        <v>632059.660351117</v>
      </c>
      <c r="F1078" s="69" t="n">
        <v>396117.577388597</v>
      </c>
      <c r="G1078" s="70" t="n">
        <v>675538.067131439</v>
      </c>
      <c r="H1078" s="71" t="n">
        <v>416221.145643516</v>
      </c>
      <c r="I1078" s="72" t="str">
        <f>H1078-F1078</f>
      </c>
      <c r="J1078" s="73" t="str">
        <f>G1078-E1078</f>
      </c>
    </row>
    <row r="1079">
      <c r="A1079" t="s">
        <v>225</v>
      </c>
      <c r="B1079" t="s">
        <v>227</v>
      </c>
      <c r="C1079" s="67" t="n">
        <v>2048</v>
      </c>
      <c r="D1079" t="s">
        <v>366</v>
      </c>
      <c r="E1079" s="68" t="n">
        <v>43275.8796699013</v>
      </c>
      <c r="F1079" s="69" t="n">
        <v>7742.30472323384</v>
      </c>
      <c r="G1079" s="70" t="n">
        <v>43247.1165682685</v>
      </c>
      <c r="H1079" s="71" t="n">
        <v>7740.96823230914</v>
      </c>
      <c r="I1079" s="72" t="str">
        <f>H1079-F1079</f>
      </c>
      <c r="J1079" s="73" t="str">
        <f>G1079-E1079</f>
      </c>
    </row>
    <row r="1080">
      <c r="A1080" t="s">
        <v>225</v>
      </c>
      <c r="B1080" t="s">
        <v>227</v>
      </c>
      <c r="C1080" s="67" t="n">
        <v>2049</v>
      </c>
      <c r="D1080" t="s">
        <v>169</v>
      </c>
      <c r="E1080" s="68" t="n">
        <v>23967.7321897673</v>
      </c>
      <c r="F1080" s="69" t="n">
        <v>16457.1530203972</v>
      </c>
      <c r="G1080" s="70" t="n">
        <v>23650.3614840449</v>
      </c>
      <c r="H1080" s="71" t="n">
        <v>16322.61151708</v>
      </c>
      <c r="I1080" s="72" t="str">
        <f>H1080-F1080</f>
      </c>
      <c r="J1080" s="73" t="str">
        <f>G1080-E1080</f>
      </c>
    </row>
    <row r="1081">
      <c r="A1081" t="s">
        <v>225</v>
      </c>
      <c r="B1081" t="s">
        <v>227</v>
      </c>
      <c r="C1081" s="67" t="n">
        <v>2049</v>
      </c>
      <c r="D1081" t="s">
        <v>208</v>
      </c>
      <c r="E1081" s="68" t="n">
        <v>1162992.87426294</v>
      </c>
      <c r="F1081" s="69" t="n">
        <v>307003.233321684</v>
      </c>
      <c r="G1081" s="70" t="n">
        <v>1244958.37630862</v>
      </c>
      <c r="H1081" s="71" t="n">
        <v>315528.654574656</v>
      </c>
      <c r="I1081" s="72" t="str">
        <f>H1081-F1081</f>
      </c>
      <c r="J1081" s="73" t="str">
        <f>G1081-E1081</f>
      </c>
    </row>
    <row r="1082">
      <c r="A1082" t="s">
        <v>225</v>
      </c>
      <c r="B1082" t="s">
        <v>227</v>
      </c>
      <c r="C1082" s="67" t="n">
        <v>2049</v>
      </c>
      <c r="D1082" t="s">
        <v>176</v>
      </c>
      <c r="E1082" s="68" t="n">
        <v>163972.890560335</v>
      </c>
      <c r="F1082" s="69" t="n">
        <v>110537.634317432</v>
      </c>
      <c r="G1082" s="70" t="n">
        <v>162238.134685625</v>
      </c>
      <c r="H1082" s="71" t="n">
        <v>109882.371148655</v>
      </c>
      <c r="I1082" s="72" t="str">
        <f>H1082-F1082</f>
      </c>
      <c r="J1082" s="73" t="str">
        <f>G1082-E1082</f>
      </c>
    </row>
    <row r="1083">
      <c r="A1083" t="s">
        <v>225</v>
      </c>
      <c r="B1083" t="s">
        <v>227</v>
      </c>
      <c r="C1083" s="67" t="n">
        <v>2049</v>
      </c>
      <c r="D1083" t="s">
        <v>180</v>
      </c>
      <c r="E1083" s="68" t="n">
        <v>488160.170365727</v>
      </c>
      <c r="F1083" s="69" t="n">
        <v>455105.962243975</v>
      </c>
      <c r="G1083" s="70" t="n">
        <v>505215.900508139</v>
      </c>
      <c r="H1083" s="71" t="n">
        <v>470383.880162835</v>
      </c>
      <c r="I1083" s="72" t="str">
        <f>H1083-F1083</f>
      </c>
      <c r="J1083" s="73" t="str">
        <f>G1083-E1083</f>
      </c>
    </row>
    <row r="1084">
      <c r="A1084" t="s">
        <v>225</v>
      </c>
      <c r="B1084" t="s">
        <v>227</v>
      </c>
      <c r="C1084" s="67" t="n">
        <v>2049</v>
      </c>
      <c r="D1084" t="s">
        <v>183</v>
      </c>
      <c r="E1084" s="68" t="n">
        <v>781183.389452346</v>
      </c>
      <c r="F1084" s="69" t="n">
        <v>519089.199263892</v>
      </c>
      <c r="G1084" s="70" t="n">
        <v>872039.412561908</v>
      </c>
      <c r="H1084" s="71" t="n">
        <v>563337.765593671</v>
      </c>
      <c r="I1084" s="72" t="str">
        <f>H1084-F1084</f>
      </c>
      <c r="J1084" s="73" t="str">
        <f>G1084-E1084</f>
      </c>
    </row>
    <row r="1085">
      <c r="A1085" t="s">
        <v>225</v>
      </c>
      <c r="B1085" t="s">
        <v>227</v>
      </c>
      <c r="C1085" s="67" t="n">
        <v>2049</v>
      </c>
      <c r="D1085" t="s">
        <v>186</v>
      </c>
      <c r="E1085" s="68" t="n">
        <v>640365.363572145</v>
      </c>
      <c r="F1085" s="69" t="n">
        <v>404037.421710207</v>
      </c>
      <c r="G1085" s="70" t="n">
        <v>684799.519243418</v>
      </c>
      <c r="H1085" s="71" t="n">
        <v>425211.294806661</v>
      </c>
      <c r="I1085" s="72" t="str">
        <f>H1085-F1085</f>
      </c>
      <c r="J1085" s="73" t="str">
        <f>G1085-E1085</f>
      </c>
    </row>
    <row r="1086">
      <c r="A1086" t="s">
        <v>225</v>
      </c>
      <c r="B1086" t="s">
        <v>227</v>
      </c>
      <c r="C1086" s="67" t="n">
        <v>2049</v>
      </c>
      <c r="D1086" t="s">
        <v>366</v>
      </c>
      <c r="E1086" s="68" t="n">
        <v>43319.6016951108</v>
      </c>
      <c r="F1086" s="69" t="n">
        <v>7765.9552446886</v>
      </c>
      <c r="G1086" s="70" t="n">
        <v>43287.6941181752</v>
      </c>
      <c r="H1086" s="71" t="n">
        <v>7764.42505773382</v>
      </c>
      <c r="I1086" s="72" t="str">
        <f>H1086-F1086</f>
      </c>
      <c r="J1086" s="73" t="str">
        <f>G1086-E1086</f>
      </c>
    </row>
    <row r="1087">
      <c r="A1087" t="s">
        <v>225</v>
      </c>
      <c r="B1087" t="s">
        <v>227</v>
      </c>
      <c r="C1087" s="67" t="n">
        <v>2050</v>
      </c>
      <c r="D1087" t="s">
        <v>169</v>
      </c>
      <c r="E1087" s="68" t="n">
        <v>24464.818312831</v>
      </c>
      <c r="F1087" s="69" t="n">
        <v>16771.6838406083</v>
      </c>
      <c r="G1087" s="70" t="n">
        <v>24110.4306261692</v>
      </c>
      <c r="H1087" s="71" t="n">
        <v>16618.9237091261</v>
      </c>
      <c r="I1087" s="72" t="str">
        <f>H1087-F1087</f>
      </c>
      <c r="J1087" s="73" t="str">
        <f>G1087-E1087</f>
      </c>
    </row>
    <row r="1088">
      <c r="A1088" t="s">
        <v>225</v>
      </c>
      <c r="B1088" t="s">
        <v>227</v>
      </c>
      <c r="C1088" s="67" t="n">
        <v>2050</v>
      </c>
      <c r="D1088" t="s">
        <v>208</v>
      </c>
      <c r="E1088" s="68" t="n">
        <v>1166374.49168984</v>
      </c>
      <c r="F1088" s="69" t="n">
        <v>312726.204208111</v>
      </c>
      <c r="G1088" s="70" t="n">
        <v>1249574.98129843</v>
      </c>
      <c r="H1088" s="71" t="n">
        <v>321866.145423905</v>
      </c>
      <c r="I1088" s="72" t="str">
        <f>H1088-F1088</f>
      </c>
      <c r="J1088" s="73" t="str">
        <f>G1088-E1088</f>
      </c>
    </row>
    <row r="1089">
      <c r="A1089" t="s">
        <v>225</v>
      </c>
      <c r="B1089" t="s">
        <v>227</v>
      </c>
      <c r="C1089" s="67" t="n">
        <v>2050</v>
      </c>
      <c r="D1089" t="s">
        <v>176</v>
      </c>
      <c r="E1089" s="68" t="n">
        <v>166450.763497344</v>
      </c>
      <c r="F1089" s="69" t="n">
        <v>112236.292028317</v>
      </c>
      <c r="G1089" s="70" t="n">
        <v>164526.94959842</v>
      </c>
      <c r="H1089" s="71" t="n">
        <v>111496.260054028</v>
      </c>
      <c r="I1089" s="72" t="str">
        <f>H1089-F1089</f>
      </c>
      <c r="J1089" s="73" t="str">
        <f>G1089-E1089</f>
      </c>
    </row>
    <row r="1090">
      <c r="A1090" t="s">
        <v>225</v>
      </c>
      <c r="B1090" t="s">
        <v>227</v>
      </c>
      <c r="C1090" s="67" t="n">
        <v>2050</v>
      </c>
      <c r="D1090" t="s">
        <v>180</v>
      </c>
      <c r="E1090" s="68" t="n">
        <v>492663.270678272</v>
      </c>
      <c r="F1090" s="69" t="n">
        <v>459310.822052436</v>
      </c>
      <c r="G1090" s="70" t="n">
        <v>509923.794653266</v>
      </c>
      <c r="H1090" s="71" t="n">
        <v>474893.254554943</v>
      </c>
      <c r="I1090" s="72" t="str">
        <f>H1090-F1090</f>
      </c>
      <c r="J1090" s="73" t="str">
        <f>G1090-E1090</f>
      </c>
    </row>
    <row r="1091">
      <c r="A1091" t="s">
        <v>225</v>
      </c>
      <c r="B1091" t="s">
        <v>227</v>
      </c>
      <c r="C1091" s="67" t="n">
        <v>2050</v>
      </c>
      <c r="D1091" t="s">
        <v>183</v>
      </c>
      <c r="E1091" s="68" t="n">
        <v>788295.745760634</v>
      </c>
      <c r="F1091" s="69" t="n">
        <v>524790.093148401</v>
      </c>
      <c r="G1091" s="70" t="n">
        <v>881220.210178615</v>
      </c>
      <c r="H1091" s="71" t="n">
        <v>571305.130665456</v>
      </c>
      <c r="I1091" s="72" t="str">
        <f>H1091-F1091</f>
      </c>
      <c r="J1091" s="73" t="str">
        <f>G1091-E1091</f>
      </c>
    </row>
    <row r="1092">
      <c r="A1092" t="s">
        <v>225</v>
      </c>
      <c r="B1092" t="s">
        <v>227</v>
      </c>
      <c r="C1092" s="67" t="n">
        <v>2050</v>
      </c>
      <c r="D1092" t="s">
        <v>186</v>
      </c>
      <c r="E1092" s="68" t="n">
        <v>648530.76557082</v>
      </c>
      <c r="F1092" s="69" t="n">
        <v>411730.130755733</v>
      </c>
      <c r="G1092" s="70" t="n">
        <v>693833.375810026</v>
      </c>
      <c r="H1092" s="71" t="n">
        <v>433928.116842437</v>
      </c>
      <c r="I1092" s="72" t="str">
        <f>H1092-F1092</f>
      </c>
      <c r="J1092" s="73" t="str">
        <f>G1092-E1092</f>
      </c>
    </row>
    <row r="1093">
      <c r="A1093" t="s">
        <v>225</v>
      </c>
      <c r="B1093" t="s">
        <v>227</v>
      </c>
      <c r="C1093" s="67" t="n">
        <v>2050</v>
      </c>
      <c r="D1093" t="s">
        <v>366</v>
      </c>
      <c r="E1093" s="68" t="n">
        <v>43372.5303116136</v>
      </c>
      <c r="F1093" s="69" t="n">
        <v>7787.33278152255</v>
      </c>
      <c r="G1093" s="70" t="n">
        <v>43337.3340718481</v>
      </c>
      <c r="H1093" s="71" t="n">
        <v>7785.59251624651</v>
      </c>
      <c r="I1093" s="72" t="str">
        <f>H1093-F1093</f>
      </c>
      <c r="J1093" s="73" t="str">
        <f>G1093-E1093</f>
      </c>
    </row>
    <row r="1094">
      <c r="A1094" t="s">
        <v>76</v>
      </c>
      <c r="B1094" t="s">
        <v>367</v>
      </c>
      <c r="C1094" s="67" t="n">
        <v>2025</v>
      </c>
      <c r="D1094" t="s">
        <v>169</v>
      </c>
      <c r="E1094" s="68" t="n">
        <v>12347.3896757033</v>
      </c>
      <c r="F1094" s="69" t="n">
        <v>8975.30849722876</v>
      </c>
      <c r="G1094" s="70" t="n">
        <v>12347.3896757033</v>
      </c>
      <c r="H1094" s="71" t="n">
        <v>8975.30849722876</v>
      </c>
      <c r="I1094" s="72" t="str">
        <f>H1094-F1094</f>
      </c>
      <c r="J1094" s="73" t="str">
        <f>G1094-E1094</f>
      </c>
    </row>
    <row r="1095">
      <c r="A1095" t="s">
        <v>76</v>
      </c>
      <c r="B1095" t="s">
        <v>367</v>
      </c>
      <c r="C1095" s="67" t="n">
        <v>2025</v>
      </c>
      <c r="D1095" t="s">
        <v>208</v>
      </c>
      <c r="E1095" s="68" t="n">
        <v>1026043.97207164</v>
      </c>
      <c r="F1095" s="69" t="n">
        <v>129403.022830672</v>
      </c>
      <c r="G1095" s="70" t="n">
        <v>1026043.97207164</v>
      </c>
      <c r="H1095" s="71" t="n">
        <v>129403.022830672</v>
      </c>
      <c r="I1095" s="72" t="str">
        <f>H1095-F1095</f>
      </c>
      <c r="J1095" s="73" t="str">
        <f>G1095-E1095</f>
      </c>
    </row>
    <row r="1096">
      <c r="A1096" t="s">
        <v>76</v>
      </c>
      <c r="B1096" t="s">
        <v>367</v>
      </c>
      <c r="C1096" s="67" t="n">
        <v>2025</v>
      </c>
      <c r="D1096" t="s">
        <v>176</v>
      </c>
      <c r="E1096" s="68" t="n">
        <v>91684.5090142746</v>
      </c>
      <c r="F1096" s="69" t="n">
        <v>63318.7518252021</v>
      </c>
      <c r="G1096" s="70" t="n">
        <v>91684.5090142746</v>
      </c>
      <c r="H1096" s="71" t="n">
        <v>63318.7518252021</v>
      </c>
      <c r="I1096" s="72" t="str">
        <f>H1096-F1096</f>
      </c>
      <c r="J1096" s="73" t="str">
        <f>G1096-E1096</f>
      </c>
    </row>
    <row r="1097">
      <c r="A1097" t="s">
        <v>76</v>
      </c>
      <c r="B1097" t="s">
        <v>367</v>
      </c>
      <c r="C1097" s="67" t="n">
        <v>2025</v>
      </c>
      <c r="D1097" t="s">
        <v>180</v>
      </c>
      <c r="E1097" s="68" t="n">
        <v>327817.992111529</v>
      </c>
      <c r="F1097" s="69" t="n">
        <v>300216.82861998</v>
      </c>
      <c r="G1097" s="70" t="n">
        <v>327817.992111529</v>
      </c>
      <c r="H1097" s="71" t="n">
        <v>300216.82861998</v>
      </c>
      <c r="I1097" s="72" t="str">
        <f>H1097-F1097</f>
      </c>
      <c r="J1097" s="73" t="str">
        <f>G1097-E1097</f>
      </c>
    </row>
    <row r="1098">
      <c r="A1098" t="s">
        <v>76</v>
      </c>
      <c r="B1098" t="s">
        <v>367</v>
      </c>
      <c r="C1098" s="67" t="n">
        <v>2025</v>
      </c>
      <c r="D1098" t="s">
        <v>183</v>
      </c>
      <c r="E1098" s="68" t="n">
        <v>563964.128928848</v>
      </c>
      <c r="F1098" s="69" t="n">
        <v>321188.162987932</v>
      </c>
      <c r="G1098" s="70" t="n">
        <v>563964.128928848</v>
      </c>
      <c r="H1098" s="71" t="n">
        <v>321188.162987932</v>
      </c>
      <c r="I1098" s="72" t="str">
        <f>H1098-F1098</f>
      </c>
      <c r="J1098" s="73" t="str">
        <f>G1098-E1098</f>
      </c>
    </row>
    <row r="1099">
      <c r="A1099" t="s">
        <v>76</v>
      </c>
      <c r="B1099" t="s">
        <v>367</v>
      </c>
      <c r="C1099" s="67" t="n">
        <v>2025</v>
      </c>
      <c r="D1099" t="s">
        <v>186</v>
      </c>
      <c r="E1099" s="68" t="n">
        <v>396205.912797568</v>
      </c>
      <c r="F1099" s="69" t="n">
        <v>191954.713579597</v>
      </c>
      <c r="G1099" s="70" t="n">
        <v>396205.912797568</v>
      </c>
      <c r="H1099" s="71" t="n">
        <v>191954.713579597</v>
      </c>
      <c r="I1099" s="72" t="str">
        <f>H1099-F1099</f>
      </c>
      <c r="J1099" s="73" t="str">
        <f>G1099-E1099</f>
      </c>
    </row>
    <row r="1100">
      <c r="A1100" t="s">
        <v>76</v>
      </c>
      <c r="B1100" t="s">
        <v>367</v>
      </c>
      <c r="C1100" s="67" t="n">
        <v>2025</v>
      </c>
      <c r="D1100" t="s">
        <v>366</v>
      </c>
      <c r="E1100" s="68" t="n">
        <v>44024.8557845561</v>
      </c>
      <c r="F1100" s="69" t="n">
        <v>6961.02866951274</v>
      </c>
      <c r="G1100" s="70" t="n">
        <v>44024.8557845561</v>
      </c>
      <c r="H1100" s="71" t="n">
        <v>6961.02866951274</v>
      </c>
      <c r="I1100" s="72" t="str">
        <f>H1100-F1100</f>
      </c>
      <c r="J1100" s="73" t="str">
        <f>G1100-E1100</f>
      </c>
    </row>
    <row r="1101">
      <c r="A1101" t="s">
        <v>76</v>
      </c>
      <c r="B1101" t="s">
        <v>367</v>
      </c>
      <c r="C1101" s="67" t="n">
        <v>2026</v>
      </c>
      <c r="D1101" t="s">
        <v>169</v>
      </c>
      <c r="E1101" s="68" t="n">
        <v>12812.5054771883</v>
      </c>
      <c r="F1101" s="69" t="n">
        <v>9308.26420910955</v>
      </c>
      <c r="G1101" s="70" t="n">
        <v>12812.507871628</v>
      </c>
      <c r="H1101" s="71" t="n">
        <v>9308.26420910955</v>
      </c>
      <c r="I1101" s="72" t="str">
        <f>H1101-F1101</f>
      </c>
      <c r="J1101" s="73" t="str">
        <f>G1101-E1101</f>
      </c>
    </row>
    <row r="1102">
      <c r="A1102" t="s">
        <v>76</v>
      </c>
      <c r="B1102" t="s">
        <v>367</v>
      </c>
      <c r="C1102" s="67" t="n">
        <v>2026</v>
      </c>
      <c r="D1102" t="s">
        <v>208</v>
      </c>
      <c r="E1102" s="68" t="n">
        <v>1040293.93432531</v>
      </c>
      <c r="F1102" s="69" t="n">
        <v>137191.896136923</v>
      </c>
      <c r="G1102" s="70" t="n">
        <v>1040956.74283153</v>
      </c>
      <c r="H1102" s="71" t="n">
        <v>137191.896136923</v>
      </c>
      <c r="I1102" s="72" t="str">
        <f>H1102-F1102</f>
      </c>
      <c r="J1102" s="73" t="str">
        <f>G1102-E1102</f>
      </c>
    </row>
    <row r="1103">
      <c r="A1103" t="s">
        <v>76</v>
      </c>
      <c r="B1103" t="s">
        <v>367</v>
      </c>
      <c r="C1103" s="67" t="n">
        <v>2026</v>
      </c>
      <c r="D1103" t="s">
        <v>176</v>
      </c>
      <c r="E1103" s="68" t="n">
        <v>93502.9418338413</v>
      </c>
      <c r="F1103" s="69" t="n">
        <v>65164.4704134017</v>
      </c>
      <c r="G1103" s="70" t="n">
        <v>95077.1833035265</v>
      </c>
      <c r="H1103" s="71" t="n">
        <v>65164.4704134017</v>
      </c>
      <c r="I1103" s="72" t="str">
        <f>H1103-F1103</f>
      </c>
      <c r="J1103" s="73" t="str">
        <f>G1103-E1103</f>
      </c>
    </row>
    <row r="1104">
      <c r="A1104" t="s">
        <v>76</v>
      </c>
      <c r="B1104" t="s">
        <v>367</v>
      </c>
      <c r="C1104" s="67" t="n">
        <v>2026</v>
      </c>
      <c r="D1104" t="s">
        <v>180</v>
      </c>
      <c r="E1104" s="68" t="n">
        <v>331323.425863867</v>
      </c>
      <c r="F1104" s="69" t="n">
        <v>308606.943045308</v>
      </c>
      <c r="G1104" s="70" t="n">
        <v>336875.423495605</v>
      </c>
      <c r="H1104" s="71" t="n">
        <v>308606.943045308</v>
      </c>
      <c r="I1104" s="72" t="str">
        <f>H1104-F1104</f>
      </c>
      <c r="J1104" s="73" t="str">
        <f>G1104-E1104</f>
      </c>
    </row>
    <row r="1105">
      <c r="A1105" t="s">
        <v>76</v>
      </c>
      <c r="B1105" t="s">
        <v>367</v>
      </c>
      <c r="C1105" s="67" t="n">
        <v>2026</v>
      </c>
      <c r="D1105" t="s">
        <v>183</v>
      </c>
      <c r="E1105" s="68" t="n">
        <v>570428.791481773</v>
      </c>
      <c r="F1105" s="69" t="n">
        <v>332896.185768311</v>
      </c>
      <c r="G1105" s="70" t="n">
        <v>580111.541957649</v>
      </c>
      <c r="H1105" s="71" t="n">
        <v>332896.185768311</v>
      </c>
      <c r="I1105" s="72" t="str">
        <f>H1105-F1105</f>
      </c>
      <c r="J1105" s="73" t="str">
        <f>G1105-E1105</f>
      </c>
    </row>
    <row r="1106">
      <c r="A1106" t="s">
        <v>76</v>
      </c>
      <c r="B1106" t="s">
        <v>367</v>
      </c>
      <c r="C1106" s="67" t="n">
        <v>2026</v>
      </c>
      <c r="D1106" t="s">
        <v>186</v>
      </c>
      <c r="E1106" s="68" t="n">
        <v>403090.353858963</v>
      </c>
      <c r="F1106" s="69" t="n">
        <v>202008.199783237</v>
      </c>
      <c r="G1106" s="70" t="n">
        <v>409829.87281699</v>
      </c>
      <c r="H1106" s="71" t="n">
        <v>202008.199783237</v>
      </c>
      <c r="I1106" s="72" t="str">
        <f>H1106-F1106</f>
      </c>
      <c r="J1106" s="73" t="str">
        <f>G1106-E1106</f>
      </c>
    </row>
    <row r="1107">
      <c r="A1107" t="s">
        <v>76</v>
      </c>
      <c r="B1107" t="s">
        <v>367</v>
      </c>
      <c r="C1107" s="67" t="n">
        <v>2026</v>
      </c>
      <c r="D1107" t="s">
        <v>366</v>
      </c>
      <c r="E1107" s="68" t="n">
        <v>44219.1707517653</v>
      </c>
      <c r="F1107" s="69" t="n">
        <v>7023.77126872287</v>
      </c>
      <c r="G1107" s="70" t="n">
        <v>44219.1707517653</v>
      </c>
      <c r="H1107" s="71" t="n">
        <v>7023.77126872287</v>
      </c>
      <c r="I1107" s="72" t="str">
        <f>H1107-F1107</f>
      </c>
      <c r="J1107" s="73" t="str">
        <f>G1107-E1107</f>
      </c>
    </row>
    <row r="1108">
      <c r="A1108" t="s">
        <v>76</v>
      </c>
      <c r="B1108" t="s">
        <v>367</v>
      </c>
      <c r="C1108" s="67" t="n">
        <v>2027</v>
      </c>
      <c r="D1108" t="s">
        <v>169</v>
      </c>
      <c r="E1108" s="68" t="n">
        <v>13273.4768004316</v>
      </c>
      <c r="F1108" s="69" t="n">
        <v>9640.71491377271</v>
      </c>
      <c r="G1108" s="70" t="n">
        <v>13273.481772584</v>
      </c>
      <c r="H1108" s="71" t="n">
        <v>9640.71530777017</v>
      </c>
      <c r="I1108" s="72" t="str">
        <f>H1108-F1108</f>
      </c>
      <c r="J1108" s="73" t="str">
        <f>G1108-E1108</f>
      </c>
    </row>
    <row r="1109">
      <c r="A1109" t="s">
        <v>76</v>
      </c>
      <c r="B1109" t="s">
        <v>367</v>
      </c>
      <c r="C1109" s="67" t="n">
        <v>2027</v>
      </c>
      <c r="D1109" t="s">
        <v>208</v>
      </c>
      <c r="E1109" s="68" t="n">
        <v>1046371.1240492</v>
      </c>
      <c r="F1109" s="69" t="n">
        <v>145082.704176156</v>
      </c>
      <c r="G1109" s="70" t="n">
        <v>1055255.40879996</v>
      </c>
      <c r="H1109" s="71" t="n">
        <v>145087.130776418</v>
      </c>
      <c r="I1109" s="72" t="str">
        <f>H1109-F1109</f>
      </c>
      <c r="J1109" s="73" t="str">
        <f>G1109-E1109</f>
      </c>
    </row>
    <row r="1110">
      <c r="A1110" t="s">
        <v>76</v>
      </c>
      <c r="B1110" t="s">
        <v>367</v>
      </c>
      <c r="C1110" s="67" t="n">
        <v>2027</v>
      </c>
      <c r="D1110" t="s">
        <v>176</v>
      </c>
      <c r="E1110" s="68" t="n">
        <v>95218.4566796106</v>
      </c>
      <c r="F1110" s="69" t="n">
        <v>66801.3744571408</v>
      </c>
      <c r="G1110" s="70" t="n">
        <v>98448.8278839669</v>
      </c>
      <c r="H1110" s="71" t="n">
        <v>67068.0169086102</v>
      </c>
      <c r="I1110" s="72" t="str">
        <f>H1110-F1110</f>
      </c>
      <c r="J1110" s="73" t="str">
        <f>G1110-E1110</f>
      </c>
    </row>
    <row r="1111">
      <c r="A1111" t="s">
        <v>76</v>
      </c>
      <c r="B1111" t="s">
        <v>367</v>
      </c>
      <c r="C1111" s="67" t="n">
        <v>2027</v>
      </c>
      <c r="D1111" t="s">
        <v>180</v>
      </c>
      <c r="E1111" s="68" t="n">
        <v>333325.623392605</v>
      </c>
      <c r="F1111" s="69" t="n">
        <v>314713.248667617</v>
      </c>
      <c r="G1111" s="70" t="n">
        <v>345936.706716403</v>
      </c>
      <c r="H1111" s="71" t="n">
        <v>317119.553552555</v>
      </c>
      <c r="I1111" s="72" t="str">
        <f>H1111-F1111</f>
      </c>
      <c r="J1111" s="73" t="str">
        <f>G1111-E1111</f>
      </c>
    </row>
    <row r="1112">
      <c r="A1112" t="s">
        <v>76</v>
      </c>
      <c r="B1112" t="s">
        <v>367</v>
      </c>
      <c r="C1112" s="67" t="n">
        <v>2027</v>
      </c>
      <c r="D1112" t="s">
        <v>183</v>
      </c>
      <c r="E1112" s="68" t="n">
        <v>570031.867910164</v>
      </c>
      <c r="F1112" s="69" t="n">
        <v>343892.65181223</v>
      </c>
      <c r="G1112" s="70" t="n">
        <v>596148.832334676</v>
      </c>
      <c r="H1112" s="71" t="n">
        <v>344517.274659827</v>
      </c>
      <c r="I1112" s="72" t="str">
        <f>H1112-F1112</f>
      </c>
      <c r="J1112" s="73" t="str">
        <f>G1112-E1112</f>
      </c>
    </row>
    <row r="1113">
      <c r="A1113" t="s">
        <v>76</v>
      </c>
      <c r="B1113" t="s">
        <v>367</v>
      </c>
      <c r="C1113" s="67" t="n">
        <v>2027</v>
      </c>
      <c r="D1113" t="s">
        <v>186</v>
      </c>
      <c r="E1113" s="68" t="n">
        <v>406655.198395177</v>
      </c>
      <c r="F1113" s="69" t="n">
        <v>211484.249720903</v>
      </c>
      <c r="G1113" s="70" t="n">
        <v>423485.101321999</v>
      </c>
      <c r="H1113" s="71" t="n">
        <v>211995.488024171</v>
      </c>
      <c r="I1113" s="72" t="str">
        <f>H1113-F1113</f>
      </c>
      <c r="J1113" s="73" t="str">
        <f>G1113-E1113</f>
      </c>
    </row>
    <row r="1114">
      <c r="A1114" t="s">
        <v>76</v>
      </c>
      <c r="B1114" t="s">
        <v>367</v>
      </c>
      <c r="C1114" s="67" t="n">
        <v>2027</v>
      </c>
      <c r="D1114" t="s">
        <v>366</v>
      </c>
      <c r="E1114" s="68" t="n">
        <v>44384.2018393689</v>
      </c>
      <c r="F1114" s="69" t="n">
        <v>7080.05700568168</v>
      </c>
      <c r="G1114" s="70" t="n">
        <v>44384.2018393689</v>
      </c>
      <c r="H1114" s="71" t="n">
        <v>7080.05700568168</v>
      </c>
      <c r="I1114" s="72" t="str">
        <f>H1114-F1114</f>
      </c>
      <c r="J1114" s="73" t="str">
        <f>G1114-E1114</f>
      </c>
    </row>
    <row r="1115">
      <c r="A1115" t="s">
        <v>76</v>
      </c>
      <c r="B1115" t="s">
        <v>367</v>
      </c>
      <c r="C1115" s="67" t="n">
        <v>2028</v>
      </c>
      <c r="D1115" t="s">
        <v>169</v>
      </c>
      <c r="E1115" s="68" t="n">
        <v>13730.781870156</v>
      </c>
      <c r="F1115" s="69" t="n">
        <v>9971.45360199631</v>
      </c>
      <c r="G1115" s="70" t="n">
        <v>13729.5005000864</v>
      </c>
      <c r="H1115" s="71" t="n">
        <v>9971.45472163389</v>
      </c>
      <c r="I1115" s="72" t="str">
        <f>H1115-F1115</f>
      </c>
      <c r="J1115" s="73" t="str">
        <f>G1115-E1115</f>
      </c>
    </row>
    <row r="1116">
      <c r="A1116" t="s">
        <v>76</v>
      </c>
      <c r="B1116" t="s">
        <v>367</v>
      </c>
      <c r="C1116" s="67" t="n">
        <v>2028</v>
      </c>
      <c r="D1116" t="s">
        <v>208</v>
      </c>
      <c r="E1116" s="68" t="n">
        <v>1052265.96472566</v>
      </c>
      <c r="F1116" s="69" t="n">
        <v>153013.092595449</v>
      </c>
      <c r="G1116" s="70" t="n">
        <v>1069005.07088018</v>
      </c>
      <c r="H1116" s="71" t="n">
        <v>153077.867387244</v>
      </c>
      <c r="I1116" s="72" t="str">
        <f>H1116-F1116</f>
      </c>
      <c r="J1116" s="73" t="str">
        <f>G1116-E1116</f>
      </c>
    </row>
    <row r="1117">
      <c r="A1117" t="s">
        <v>76</v>
      </c>
      <c r="B1117" t="s">
        <v>367</v>
      </c>
      <c r="C1117" s="67" t="n">
        <v>2028</v>
      </c>
      <c r="D1117" t="s">
        <v>176</v>
      </c>
      <c r="E1117" s="68" t="n">
        <v>96840.0145533371</v>
      </c>
      <c r="F1117" s="69" t="n">
        <v>68272.9787560484</v>
      </c>
      <c r="G1117" s="70" t="n">
        <v>101797.96761407</v>
      </c>
      <c r="H1117" s="71" t="n">
        <v>69019.933123165</v>
      </c>
      <c r="I1117" s="72" t="str">
        <f>H1117-F1117</f>
      </c>
      <c r="J1117" s="73" t="str">
        <f>G1117-E1117</f>
      </c>
    </row>
    <row r="1118">
      <c r="A1118" t="s">
        <v>76</v>
      </c>
      <c r="B1118" t="s">
        <v>367</v>
      </c>
      <c r="C1118" s="67" t="n">
        <v>2028</v>
      </c>
      <c r="D1118" t="s">
        <v>180</v>
      </c>
      <c r="E1118" s="68" t="n">
        <v>335188.043914943</v>
      </c>
      <c r="F1118" s="69" t="n">
        <v>319194.526140449</v>
      </c>
      <c r="G1118" s="70" t="n">
        <v>354965.535819133</v>
      </c>
      <c r="H1118" s="71" t="n">
        <v>325690.683016893</v>
      </c>
      <c r="I1118" s="72" t="str">
        <f>H1118-F1118</f>
      </c>
      <c r="J1118" s="73" t="str">
        <f>G1118-E1118</f>
      </c>
    </row>
    <row r="1119">
      <c r="A1119" t="s">
        <v>76</v>
      </c>
      <c r="B1119" t="s">
        <v>367</v>
      </c>
      <c r="C1119" s="67" t="n">
        <v>2028</v>
      </c>
      <c r="D1119" t="s">
        <v>183</v>
      </c>
      <c r="E1119" s="68" t="n">
        <v>569561.883664215</v>
      </c>
      <c r="F1119" s="69" t="n">
        <v>353802.050143881</v>
      </c>
      <c r="G1119" s="70" t="n">
        <v>612031.659444751</v>
      </c>
      <c r="H1119" s="71" t="n">
        <v>356073.571438059</v>
      </c>
      <c r="I1119" s="72" t="str">
        <f>H1119-F1119</f>
      </c>
      <c r="J1119" s="73" t="str">
        <f>G1119-E1119</f>
      </c>
    </row>
    <row r="1120">
      <c r="A1120" t="s">
        <v>76</v>
      </c>
      <c r="B1120" t="s">
        <v>367</v>
      </c>
      <c r="C1120" s="67" t="n">
        <v>2028</v>
      </c>
      <c r="D1120" t="s">
        <v>186</v>
      </c>
      <c r="E1120" s="68" t="n">
        <v>410113.777547607</v>
      </c>
      <c r="F1120" s="69" t="n">
        <v>220196.358012615</v>
      </c>
      <c r="G1120" s="70" t="n">
        <v>437159.755191958</v>
      </c>
      <c r="H1120" s="71" t="n">
        <v>221908.958563303</v>
      </c>
      <c r="I1120" s="72" t="str">
        <f>H1120-F1120</f>
      </c>
      <c r="J1120" s="73" t="str">
        <f>G1120-E1120</f>
      </c>
    </row>
    <row r="1121">
      <c r="A1121" t="s">
        <v>76</v>
      </c>
      <c r="B1121" t="s">
        <v>367</v>
      </c>
      <c r="C1121" s="67" t="n">
        <v>2028</v>
      </c>
      <c r="D1121" t="s">
        <v>366</v>
      </c>
      <c r="E1121" s="68" t="n">
        <v>44510.2333732059</v>
      </c>
      <c r="F1121" s="69" t="n">
        <v>7131.07016356498</v>
      </c>
      <c r="G1121" s="70" t="n">
        <v>44510.0649629929</v>
      </c>
      <c r="H1121" s="71" t="n">
        <v>7131.07016356498</v>
      </c>
      <c r="I1121" s="72" t="str">
        <f>H1121-F1121</f>
      </c>
      <c r="J1121" s="73" t="str">
        <f>G1121-E1121</f>
      </c>
    </row>
    <row r="1122">
      <c r="A1122" t="s">
        <v>76</v>
      </c>
      <c r="B1122" t="s">
        <v>367</v>
      </c>
      <c r="C1122" s="67" t="n">
        <v>2029</v>
      </c>
      <c r="D1122" t="s">
        <v>169</v>
      </c>
      <c r="E1122" s="68" t="n">
        <v>14186.5588506462</v>
      </c>
      <c r="F1122" s="69" t="n">
        <v>10301.4719421837</v>
      </c>
      <c r="G1122" s="70" t="n">
        <v>14181.4236375467</v>
      </c>
      <c r="H1122" s="71" t="n">
        <v>10301.2295792609</v>
      </c>
      <c r="I1122" s="72" t="str">
        <f>H1122-F1122</f>
      </c>
      <c r="J1122" s="73" t="str">
        <f>G1122-E1122</f>
      </c>
    </row>
    <row r="1123">
      <c r="A1123" t="s">
        <v>76</v>
      </c>
      <c r="B1123" t="s">
        <v>367</v>
      </c>
      <c r="C1123" s="67" t="n">
        <v>2029</v>
      </c>
      <c r="D1123" t="s">
        <v>208</v>
      </c>
      <c r="E1123" s="68" t="n">
        <v>1058045.28271058</v>
      </c>
      <c r="F1123" s="69" t="n">
        <v>160980.741960448</v>
      </c>
      <c r="G1123" s="70" t="n">
        <v>1082252.39423074</v>
      </c>
      <c r="H1123" s="71" t="n">
        <v>161161.062132093</v>
      </c>
      <c r="I1123" s="72" t="str">
        <f>H1123-F1123</f>
      </c>
      <c r="J1123" s="73" t="str">
        <f>G1123-E1123</f>
      </c>
    </row>
    <row r="1124">
      <c r="A1124" t="s">
        <v>76</v>
      </c>
      <c r="B1124" t="s">
        <v>367</v>
      </c>
      <c r="C1124" s="67" t="n">
        <v>2029</v>
      </c>
      <c r="D1124" t="s">
        <v>176</v>
      </c>
      <c r="E1124" s="68" t="n">
        <v>98368.2828665676</v>
      </c>
      <c r="F1124" s="69" t="n">
        <v>69640.3609946896</v>
      </c>
      <c r="G1124" s="70" t="n">
        <v>105114.693344183</v>
      </c>
      <c r="H1124" s="71" t="n">
        <v>71042.0544294395</v>
      </c>
      <c r="I1124" s="72" t="str">
        <f>H1124-F1124</f>
      </c>
      <c r="J1124" s="73" t="str">
        <f>G1124-E1124</f>
      </c>
    </row>
    <row r="1125">
      <c r="A1125" t="s">
        <v>76</v>
      </c>
      <c r="B1125" t="s">
        <v>367</v>
      </c>
      <c r="C1125" s="67" t="n">
        <v>2029</v>
      </c>
      <c r="D1125" t="s">
        <v>180</v>
      </c>
      <c r="E1125" s="68" t="n">
        <v>336865.064312816</v>
      </c>
      <c r="F1125" s="69" t="n">
        <v>322792.131351793</v>
      </c>
      <c r="G1125" s="70" t="n">
        <v>363896.204247168</v>
      </c>
      <c r="H1125" s="71" t="n">
        <v>334292.677138926</v>
      </c>
      <c r="I1125" s="72" t="str">
        <f>H1125-F1125</f>
      </c>
      <c r="J1125" s="73" t="str">
        <f>G1125-E1125</f>
      </c>
    </row>
    <row r="1126">
      <c r="A1126" t="s">
        <v>76</v>
      </c>
      <c r="B1126" t="s">
        <v>367</v>
      </c>
      <c r="C1126" s="67" t="n">
        <v>2029</v>
      </c>
      <c r="D1126" t="s">
        <v>183</v>
      </c>
      <c r="E1126" s="68" t="n">
        <v>569018.657691489</v>
      </c>
      <c r="F1126" s="69" t="n">
        <v>362716.041790367</v>
      </c>
      <c r="G1126" s="70" t="n">
        <v>627726.336898794</v>
      </c>
      <c r="H1126" s="71" t="n">
        <v>367575.22274735</v>
      </c>
      <c r="I1126" s="72" t="str">
        <f>H1126-F1126</f>
      </c>
      <c r="J1126" s="73" t="str">
        <f>G1126-E1126</f>
      </c>
    </row>
    <row r="1127">
      <c r="A1127" t="s">
        <v>76</v>
      </c>
      <c r="B1127" t="s">
        <v>367</v>
      </c>
      <c r="C1127" s="67" t="n">
        <v>2029</v>
      </c>
      <c r="D1127" t="s">
        <v>186</v>
      </c>
      <c r="E1127" s="68" t="n">
        <v>413430.761814828</v>
      </c>
      <c r="F1127" s="69" t="n">
        <v>228198.968180471</v>
      </c>
      <c r="G1127" s="70" t="n">
        <v>450786.134013569</v>
      </c>
      <c r="H1127" s="71" t="n">
        <v>231708.01887569</v>
      </c>
      <c r="I1127" s="72" t="str">
        <f>H1127-F1127</f>
      </c>
      <c r="J1127" s="73" t="str">
        <f>G1127-E1127</f>
      </c>
    </row>
    <row r="1128">
      <c r="A1128" t="s">
        <v>76</v>
      </c>
      <c r="B1128" t="s">
        <v>367</v>
      </c>
      <c r="C1128" s="67" t="n">
        <v>2029</v>
      </c>
      <c r="D1128" t="s">
        <v>366</v>
      </c>
      <c r="E1128" s="68" t="n">
        <v>44600.9294417461</v>
      </c>
      <c r="F1128" s="69" t="n">
        <v>7178.22168141818</v>
      </c>
      <c r="G1128" s="70" t="n">
        <v>44600.2614435955</v>
      </c>
      <c r="H1128" s="71" t="n">
        <v>7178.21931597252</v>
      </c>
      <c r="I1128" s="72" t="str">
        <f>H1128-F1128</f>
      </c>
      <c r="J1128" s="73" t="str">
        <f>G1128-E1128</f>
      </c>
    </row>
    <row r="1129">
      <c r="A1129" t="s">
        <v>76</v>
      </c>
      <c r="B1129" t="s">
        <v>367</v>
      </c>
      <c r="C1129" s="67" t="n">
        <v>2030</v>
      </c>
      <c r="D1129" t="s">
        <v>169</v>
      </c>
      <c r="E1129" s="68" t="n">
        <v>14643.4466531343</v>
      </c>
      <c r="F1129" s="69" t="n">
        <v>10631.4213999093</v>
      </c>
      <c r="G1129" s="70" t="n">
        <v>14630.9263575645</v>
      </c>
      <c r="H1129" s="71" t="n">
        <v>10630.2702680602</v>
      </c>
      <c r="I1129" s="72" t="str">
        <f>H1129-F1129</f>
      </c>
      <c r="J1129" s="73" t="str">
        <f>G1129-E1129</f>
      </c>
    </row>
    <row r="1130">
      <c r="A1130" t="s">
        <v>76</v>
      </c>
      <c r="B1130" t="s">
        <v>367</v>
      </c>
      <c r="C1130" s="67" t="n">
        <v>2030</v>
      </c>
      <c r="D1130" t="s">
        <v>208</v>
      </c>
      <c r="E1130" s="68" t="n">
        <v>1063679.67700037</v>
      </c>
      <c r="F1130" s="69" t="n">
        <v>168965.410734501</v>
      </c>
      <c r="G1130" s="70" t="n">
        <v>1094956.84444967</v>
      </c>
      <c r="H1130" s="71" t="n">
        <v>169314.834038038</v>
      </c>
      <c r="I1130" s="72" t="str">
        <f>H1130-F1130</f>
      </c>
      <c r="J1130" s="73" t="str">
        <f>G1130-E1130</f>
      </c>
    </row>
    <row r="1131">
      <c r="A1131" t="s">
        <v>76</v>
      </c>
      <c r="B1131" t="s">
        <v>367</v>
      </c>
      <c r="C1131" s="67" t="n">
        <v>2030</v>
      </c>
      <c r="D1131" t="s">
        <v>176</v>
      </c>
      <c r="E1131" s="68" t="n">
        <v>99806.565788115</v>
      </c>
      <c r="F1131" s="69" t="n">
        <v>70920.0182303512</v>
      </c>
      <c r="G1131" s="70" t="n">
        <v>108393.77376612</v>
      </c>
      <c r="H1131" s="71" t="n">
        <v>73120.8011068864</v>
      </c>
      <c r="I1131" s="72" t="str">
        <f>H1131-F1131</f>
      </c>
      <c r="J1131" s="73" t="str">
        <f>G1131-E1131</f>
      </c>
    </row>
    <row r="1132">
      <c r="A1132" t="s">
        <v>76</v>
      </c>
      <c r="B1132" t="s">
        <v>367</v>
      </c>
      <c r="C1132" s="67" t="n">
        <v>2030</v>
      </c>
      <c r="D1132" t="s">
        <v>180</v>
      </c>
      <c r="E1132" s="68" t="n">
        <v>338384.993858302</v>
      </c>
      <c r="F1132" s="69" t="n">
        <v>325791.441660479</v>
      </c>
      <c r="G1132" s="70" t="n">
        <v>372741.795461264</v>
      </c>
      <c r="H1132" s="71" t="n">
        <v>342889.635366394</v>
      </c>
      <c r="I1132" s="72" t="str">
        <f>H1132-F1132</f>
      </c>
      <c r="J1132" s="73" t="str">
        <f>G1132-E1132</f>
      </c>
    </row>
    <row r="1133">
      <c r="A1133" t="s">
        <v>76</v>
      </c>
      <c r="B1133" t="s">
        <v>367</v>
      </c>
      <c r="C1133" s="67" t="n">
        <v>2030</v>
      </c>
      <c r="D1133" t="s">
        <v>183</v>
      </c>
      <c r="E1133" s="68" t="n">
        <v>568353.035196143</v>
      </c>
      <c r="F1133" s="69" t="n">
        <v>370634.193314394</v>
      </c>
      <c r="G1133" s="70" t="n">
        <v>643154.211305628</v>
      </c>
      <c r="H1133" s="71" t="n">
        <v>378940.231267445</v>
      </c>
      <c r="I1133" s="72" t="str">
        <f>H1133-F1133</f>
      </c>
      <c r="J1133" s="73" t="str">
        <f>G1133-E1133</f>
      </c>
    </row>
    <row r="1134">
      <c r="A1134" t="s">
        <v>76</v>
      </c>
      <c r="B1134" t="s">
        <v>367</v>
      </c>
      <c r="C1134" s="67" t="n">
        <v>2030</v>
      </c>
      <c r="D1134" t="s">
        <v>186</v>
      </c>
      <c r="E1134" s="68" t="n">
        <v>416624.774532172</v>
      </c>
      <c r="F1134" s="69" t="n">
        <v>235479.627553933</v>
      </c>
      <c r="G1134" s="70" t="n">
        <v>464360.518103772</v>
      </c>
      <c r="H1134" s="71" t="n">
        <v>241310.309903655</v>
      </c>
      <c r="I1134" s="72" t="str">
        <f>H1134-F1134</f>
      </c>
      <c r="J1134" s="73" t="str">
        <f>G1134-E1134</f>
      </c>
    </row>
    <row r="1135">
      <c r="A1135" t="s">
        <v>76</v>
      </c>
      <c r="B1135" t="s">
        <v>367</v>
      </c>
      <c r="C1135" s="67" t="n">
        <v>2030</v>
      </c>
      <c r="D1135" t="s">
        <v>366</v>
      </c>
      <c r="E1135" s="68" t="n">
        <v>44648.8834346377</v>
      </c>
      <c r="F1135" s="69" t="n">
        <v>7223.12181459048</v>
      </c>
      <c r="G1135" s="70" t="n">
        <v>44647.268915283</v>
      </c>
      <c r="H1135" s="71" t="n">
        <v>7223.11031474236</v>
      </c>
      <c r="I1135" s="72" t="str">
        <f>H1135-F1135</f>
      </c>
      <c r="J1135" s="73" t="str">
        <f>G1135-E1135</f>
      </c>
    </row>
    <row r="1136">
      <c r="A1136" t="s">
        <v>76</v>
      </c>
      <c r="B1136" t="s">
        <v>367</v>
      </c>
      <c r="C1136" s="67" t="n">
        <v>2031</v>
      </c>
      <c r="D1136" t="s">
        <v>169</v>
      </c>
      <c r="E1136" s="68" t="n">
        <v>15104.6321748467</v>
      </c>
      <c r="F1136" s="69" t="n">
        <v>10958.6335113313</v>
      </c>
      <c r="G1136" s="70" t="n">
        <v>15080.3825495532</v>
      </c>
      <c r="H1136" s="71" t="n">
        <v>10955.4255331558</v>
      </c>
      <c r="I1136" s="72" t="str">
        <f>H1136-F1136</f>
      </c>
      <c r="J1136" s="73" t="str">
        <f>G1136-E1136</f>
      </c>
    </row>
    <row r="1137">
      <c r="A1137" t="s">
        <v>76</v>
      </c>
      <c r="B1137" t="s">
        <v>367</v>
      </c>
      <c r="C1137" s="67" t="n">
        <v>2031</v>
      </c>
      <c r="D1137" t="s">
        <v>208</v>
      </c>
      <c r="E1137" s="68" t="n">
        <v>1069761.68401247</v>
      </c>
      <c r="F1137" s="69" t="n">
        <v>176941.16056005</v>
      </c>
      <c r="G1137" s="70" t="n">
        <v>1107027.69162894</v>
      </c>
      <c r="H1137" s="71" t="n">
        <v>177510.906196669</v>
      </c>
      <c r="I1137" s="72" t="str">
        <f>H1137-F1137</f>
      </c>
      <c r="J1137" s="73" t="str">
        <f>G1137-E1137</f>
      </c>
    </row>
    <row r="1138">
      <c r="A1138" t="s">
        <v>76</v>
      </c>
      <c r="B1138" t="s">
        <v>367</v>
      </c>
      <c r="C1138" s="67" t="n">
        <v>2031</v>
      </c>
      <c r="D1138" t="s">
        <v>176</v>
      </c>
      <c r="E1138" s="68" t="n">
        <v>102863.038333154</v>
      </c>
      <c r="F1138" s="69" t="n">
        <v>72109.5233752518</v>
      </c>
      <c r="G1138" s="70" t="n">
        <v>111632.947554352</v>
      </c>
      <c r="H1138" s="71" t="n">
        <v>75230.219664338</v>
      </c>
      <c r="I1138" s="72" t="str">
        <f>H1138-F1138</f>
      </c>
      <c r="J1138" s="73" t="str">
        <f>G1138-E1138</f>
      </c>
    </row>
    <row r="1139">
      <c r="A1139" t="s">
        <v>76</v>
      </c>
      <c r="B1139" t="s">
        <v>367</v>
      </c>
      <c r="C1139" s="67" t="n">
        <v>2031</v>
      </c>
      <c r="D1139" t="s">
        <v>180</v>
      </c>
      <c r="E1139" s="68" t="n">
        <v>345425.934521182</v>
      </c>
      <c r="F1139" s="69" t="n">
        <v>328323.157481287</v>
      </c>
      <c r="G1139" s="70" t="n">
        <v>381470.266781021</v>
      </c>
      <c r="H1139" s="71" t="n">
        <v>351432.518672951</v>
      </c>
      <c r="I1139" s="72" t="str">
        <f>H1139-F1139</f>
      </c>
      <c r="J1139" s="73" t="str">
        <f>G1139-E1139</f>
      </c>
    </row>
    <row r="1140">
      <c r="A1140" t="s">
        <v>76</v>
      </c>
      <c r="B1140" t="s">
        <v>367</v>
      </c>
      <c r="C1140" s="67" t="n">
        <v>2031</v>
      </c>
      <c r="D1140" t="s">
        <v>183</v>
      </c>
      <c r="E1140" s="68" t="n">
        <v>577187.165407039</v>
      </c>
      <c r="F1140" s="69" t="n">
        <v>377648.341046526</v>
      </c>
      <c r="G1140" s="70" t="n">
        <v>658282.149268814</v>
      </c>
      <c r="H1140" s="71" t="n">
        <v>390181.003020302</v>
      </c>
      <c r="I1140" s="72" t="str">
        <f>H1140-F1140</f>
      </c>
      <c r="J1140" s="73" t="str">
        <f>G1140-E1140</f>
      </c>
    </row>
    <row r="1141">
      <c r="A1141" t="s">
        <v>76</v>
      </c>
      <c r="B1141" t="s">
        <v>367</v>
      </c>
      <c r="C1141" s="67" t="n">
        <v>2031</v>
      </c>
      <c r="D1141" t="s">
        <v>186</v>
      </c>
      <c r="E1141" s="68" t="n">
        <v>426637.055517877</v>
      </c>
      <c r="F1141" s="69" t="n">
        <v>242194.142940747</v>
      </c>
      <c r="G1141" s="70" t="n">
        <v>477778.146047482</v>
      </c>
      <c r="H1141" s="71" t="n">
        <v>250815.782662592</v>
      </c>
      <c r="I1141" s="72" t="str">
        <f>H1141-F1141</f>
      </c>
      <c r="J1141" s="73" t="str">
        <f>G1141-E1141</f>
      </c>
    </row>
    <row r="1142">
      <c r="A1142" t="s">
        <v>76</v>
      </c>
      <c r="B1142" t="s">
        <v>367</v>
      </c>
      <c r="C1142" s="67" t="n">
        <v>2031</v>
      </c>
      <c r="D1142" t="s">
        <v>366</v>
      </c>
      <c r="E1142" s="68" t="n">
        <v>44643.4450728846</v>
      </c>
      <c r="F1142" s="69" t="n">
        <v>7266.79878699681</v>
      </c>
      <c r="G1142" s="70" t="n">
        <v>44640.3472954778</v>
      </c>
      <c r="H1142" s="71" t="n">
        <v>7266.76600020754</v>
      </c>
      <c r="I1142" s="72" t="str">
        <f>H1142-F1142</f>
      </c>
      <c r="J1142" s="73" t="str">
        <f>G1142-E1142</f>
      </c>
    </row>
    <row r="1143">
      <c r="A1143" t="s">
        <v>76</v>
      </c>
      <c r="B1143" t="s">
        <v>367</v>
      </c>
      <c r="C1143" s="67" t="n">
        <v>2032</v>
      </c>
      <c r="D1143" t="s">
        <v>169</v>
      </c>
      <c r="E1143" s="68" t="n">
        <v>15572.2975583583</v>
      </c>
      <c r="F1143" s="69" t="n">
        <v>11281.3958534754</v>
      </c>
      <c r="G1143" s="70" t="n">
        <v>15531.2601955666</v>
      </c>
      <c r="H1143" s="71" t="n">
        <v>11274.4954497352</v>
      </c>
      <c r="I1143" s="72" t="str">
        <f>H1143-F1143</f>
      </c>
      <c r="J1143" s="73" t="str">
        <f>G1143-E1143</f>
      </c>
    </row>
    <row r="1144">
      <c r="A1144" t="s">
        <v>76</v>
      </c>
      <c r="B1144" t="s">
        <v>367</v>
      </c>
      <c r="C1144" s="67" t="n">
        <v>2032</v>
      </c>
      <c r="D1144" t="s">
        <v>208</v>
      </c>
      <c r="E1144" s="68" t="n">
        <v>1075620.0764999</v>
      </c>
      <c r="F1144" s="69" t="n">
        <v>184892.467641457</v>
      </c>
      <c r="G1144" s="70" t="n">
        <v>1118477.32749824</v>
      </c>
      <c r="H1144" s="71" t="n">
        <v>185725.999058801</v>
      </c>
      <c r="I1144" s="72" t="str">
        <f>H1144-F1144</f>
      </c>
      <c r="J1144" s="73" t="str">
        <f>G1144-E1144</f>
      </c>
    </row>
    <row r="1145">
      <c r="A1145" t="s">
        <v>76</v>
      </c>
      <c r="B1145" t="s">
        <v>367</v>
      </c>
      <c r="C1145" s="67" t="n">
        <v>2032</v>
      </c>
      <c r="D1145" t="s">
        <v>176</v>
      </c>
      <c r="E1145" s="68" t="n">
        <v>105912.215044368</v>
      </c>
      <c r="F1145" s="69" t="n">
        <v>73495.6317964275</v>
      </c>
      <c r="G1145" s="70" t="n">
        <v>114835.221802653</v>
      </c>
      <c r="H1145" s="71" t="n">
        <v>77353.0610239329</v>
      </c>
      <c r="I1145" s="72" t="str">
        <f>H1145-F1145</f>
      </c>
      <c r="J1145" s="73" t="str">
        <f>G1145-E1145</f>
      </c>
    </row>
    <row r="1146">
      <c r="A1146" t="s">
        <v>76</v>
      </c>
      <c r="B1146" t="s">
        <v>367</v>
      </c>
      <c r="C1146" s="67" t="n">
        <v>2032</v>
      </c>
      <c r="D1146" t="s">
        <v>180</v>
      </c>
      <c r="E1146" s="68" t="n">
        <v>352347.912218434</v>
      </c>
      <c r="F1146" s="69" t="n">
        <v>332976.253935242</v>
      </c>
      <c r="G1146" s="70" t="n">
        <v>389998.376688754</v>
      </c>
      <c r="H1146" s="71" t="n">
        <v>359834.546852866</v>
      </c>
      <c r="I1146" s="72" t="str">
        <f>H1146-F1146</f>
      </c>
      <c r="J1146" s="73" t="str">
        <f>G1146-E1146</f>
      </c>
    </row>
    <row r="1147">
      <c r="A1147" t="s">
        <v>76</v>
      </c>
      <c r="B1147" t="s">
        <v>367</v>
      </c>
      <c r="C1147" s="67" t="n">
        <v>2032</v>
      </c>
      <c r="D1147" t="s">
        <v>183</v>
      </c>
      <c r="E1147" s="68" t="n">
        <v>585986.530786059</v>
      </c>
      <c r="F1147" s="69" t="n">
        <v>384509.956804215</v>
      </c>
      <c r="G1147" s="70" t="n">
        <v>673133.888273266</v>
      </c>
      <c r="H1147" s="71" t="n">
        <v>401318.286193472</v>
      </c>
      <c r="I1147" s="72" t="str">
        <f>H1147-F1147</f>
      </c>
      <c r="J1147" s="73" t="str">
        <f>G1147-E1147</f>
      </c>
    </row>
    <row r="1148">
      <c r="A1148" t="s">
        <v>76</v>
      </c>
      <c r="B1148" t="s">
        <v>367</v>
      </c>
      <c r="C1148" s="67" t="n">
        <v>2032</v>
      </c>
      <c r="D1148" t="s">
        <v>186</v>
      </c>
      <c r="E1148" s="68" t="n">
        <v>436510.274096544</v>
      </c>
      <c r="F1148" s="69" t="n">
        <v>249108.675939111</v>
      </c>
      <c r="G1148" s="70" t="n">
        <v>490904.70344578</v>
      </c>
      <c r="H1148" s="71" t="n">
        <v>260346.937343717</v>
      </c>
      <c r="I1148" s="72" t="str">
        <f>H1148-F1148</f>
      </c>
      <c r="J1148" s="73" t="str">
        <f>G1148-E1148</f>
      </c>
    </row>
    <row r="1149">
      <c r="A1149" t="s">
        <v>76</v>
      </c>
      <c r="B1149" t="s">
        <v>367</v>
      </c>
      <c r="C1149" s="67" t="n">
        <v>2032</v>
      </c>
      <c r="D1149" t="s">
        <v>366</v>
      </c>
      <c r="E1149" s="68" t="n">
        <v>44588.4334169393</v>
      </c>
      <c r="F1149" s="69" t="n">
        <v>7308.76152662183</v>
      </c>
      <c r="G1149" s="70" t="n">
        <v>44583.2455015959</v>
      </c>
      <c r="H1149" s="71" t="n">
        <v>7308.68956833998</v>
      </c>
      <c r="I1149" s="72" t="str">
        <f>H1149-F1149</f>
      </c>
      <c r="J1149" s="73" t="str">
        <f>G1149-E1149</f>
      </c>
    </row>
    <row r="1150">
      <c r="A1150" t="s">
        <v>76</v>
      </c>
      <c r="B1150" t="s">
        <v>367</v>
      </c>
      <c r="C1150" s="67" t="n">
        <v>2033</v>
      </c>
      <c r="D1150" t="s">
        <v>169</v>
      </c>
      <c r="E1150" s="68" t="n">
        <v>16045.653150606</v>
      </c>
      <c r="F1150" s="69" t="n">
        <v>11599.6336257731</v>
      </c>
      <c r="G1150" s="70" t="n">
        <v>15983.7175379286</v>
      </c>
      <c r="H1150" s="71" t="n">
        <v>11586.9335708044</v>
      </c>
      <c r="I1150" s="72" t="str">
        <f>H1150-F1150</f>
      </c>
      <c r="J1150" s="73" t="str">
        <f>G1150-E1150</f>
      </c>
    </row>
    <row r="1151">
      <c r="A1151" t="s">
        <v>76</v>
      </c>
      <c r="B1151" t="s">
        <v>367</v>
      </c>
      <c r="C1151" s="67" t="n">
        <v>2033</v>
      </c>
      <c r="D1151" t="s">
        <v>208</v>
      </c>
      <c r="E1151" s="68" t="n">
        <v>1081149.21299338</v>
      </c>
      <c r="F1151" s="69" t="n">
        <v>192815.655043744</v>
      </c>
      <c r="G1151" s="70" t="n">
        <v>1129233.47845058</v>
      </c>
      <c r="H1151" s="71" t="n">
        <v>193953.224223645</v>
      </c>
      <c r="I1151" s="72" t="str">
        <f>H1151-F1151</f>
      </c>
      <c r="J1151" s="73" t="str">
        <f>G1151-E1151</f>
      </c>
    </row>
    <row r="1152">
      <c r="A1152" t="s">
        <v>76</v>
      </c>
      <c r="B1152" t="s">
        <v>367</v>
      </c>
      <c r="C1152" s="67" t="n">
        <v>2033</v>
      </c>
      <c r="D1152" t="s">
        <v>176</v>
      </c>
      <c r="E1152" s="68" t="n">
        <v>108947.277499057</v>
      </c>
      <c r="F1152" s="69" t="n">
        <v>75026.0864309368</v>
      </c>
      <c r="G1152" s="70" t="n">
        <v>117998.738437442</v>
      </c>
      <c r="H1152" s="71" t="n">
        <v>79480.4761690429</v>
      </c>
      <c r="I1152" s="72" t="str">
        <f>H1152-F1152</f>
      </c>
      <c r="J1152" s="73" t="str">
        <f>G1152-E1152</f>
      </c>
    </row>
    <row r="1153">
      <c r="A1153" t="s">
        <v>76</v>
      </c>
      <c r="B1153" t="s">
        <v>367</v>
      </c>
      <c r="C1153" s="67" t="n">
        <v>2033</v>
      </c>
      <c r="D1153" t="s">
        <v>180</v>
      </c>
      <c r="E1153" s="68" t="n">
        <v>359175.270897123</v>
      </c>
      <c r="F1153" s="69" t="n">
        <v>338329.649983862</v>
      </c>
      <c r="G1153" s="70" t="n">
        <v>398354.344992358</v>
      </c>
      <c r="H1153" s="71" t="n">
        <v>368051.624575443</v>
      </c>
      <c r="I1153" s="72" t="str">
        <f>H1153-F1153</f>
      </c>
      <c r="J1153" s="73" t="str">
        <f>G1153-E1153</f>
      </c>
    </row>
    <row r="1154">
      <c r="A1154" t="s">
        <v>76</v>
      </c>
      <c r="B1154" t="s">
        <v>367</v>
      </c>
      <c r="C1154" s="67" t="n">
        <v>2033</v>
      </c>
      <c r="D1154" t="s">
        <v>183</v>
      </c>
      <c r="E1154" s="68" t="n">
        <v>594663.877983534</v>
      </c>
      <c r="F1154" s="69" t="n">
        <v>391224.642398738</v>
      </c>
      <c r="G1154" s="70" t="n">
        <v>687634.699546926</v>
      </c>
      <c r="H1154" s="71" t="n">
        <v>412348.075678578</v>
      </c>
      <c r="I1154" s="72" t="str">
        <f>H1154-F1154</f>
      </c>
      <c r="J1154" s="73" t="str">
        <f>G1154-E1154</f>
      </c>
    </row>
    <row r="1155">
      <c r="A1155" t="s">
        <v>76</v>
      </c>
      <c r="B1155" t="s">
        <v>367</v>
      </c>
      <c r="C1155" s="67" t="n">
        <v>2033</v>
      </c>
      <c r="D1155" t="s">
        <v>186</v>
      </c>
      <c r="E1155" s="68" t="n">
        <v>446240.610656813</v>
      </c>
      <c r="F1155" s="69" t="n">
        <v>256120.072698736</v>
      </c>
      <c r="G1155" s="70" t="n">
        <v>503751.109420694</v>
      </c>
      <c r="H1155" s="71" t="n">
        <v>269883.407599987</v>
      </c>
      <c r="I1155" s="72" t="str">
        <f>H1155-F1155</f>
      </c>
      <c r="J1155" s="73" t="str">
        <f>G1155-E1155</f>
      </c>
    </row>
    <row r="1156">
      <c r="A1156" t="s">
        <v>76</v>
      </c>
      <c r="B1156" t="s">
        <v>367</v>
      </c>
      <c r="C1156" s="67" t="n">
        <v>2033</v>
      </c>
      <c r="D1156" t="s">
        <v>366</v>
      </c>
      <c r="E1156" s="68" t="n">
        <v>44491.4352675067</v>
      </c>
      <c r="F1156" s="69" t="n">
        <v>7348.20882922164</v>
      </c>
      <c r="G1156" s="70" t="n">
        <v>44483.6835898413</v>
      </c>
      <c r="H1156" s="71" t="n">
        <v>7348.07414732206</v>
      </c>
      <c r="I1156" s="72" t="str">
        <f>H1156-F1156</f>
      </c>
      <c r="J1156" s="73" t="str">
        <f>G1156-E1156</f>
      </c>
    </row>
    <row r="1157">
      <c r="A1157" t="s">
        <v>76</v>
      </c>
      <c r="B1157" t="s">
        <v>367</v>
      </c>
      <c r="C1157" s="67" t="n">
        <v>2034</v>
      </c>
      <c r="D1157" t="s">
        <v>169</v>
      </c>
      <c r="E1157" s="68" t="n">
        <v>16523.5407788116</v>
      </c>
      <c r="F1157" s="69" t="n">
        <v>11917.1151591136</v>
      </c>
      <c r="G1157" s="70" t="n">
        <v>16436.9312806497</v>
      </c>
      <c r="H1157" s="71" t="n">
        <v>11896.3823187386</v>
      </c>
      <c r="I1157" s="72" t="str">
        <f>H1157-F1157</f>
      </c>
      <c r="J1157" s="73" t="str">
        <f>G1157-E1157</f>
      </c>
    </row>
    <row r="1158">
      <c r="A1158" t="s">
        <v>76</v>
      </c>
      <c r="B1158" t="s">
        <v>367</v>
      </c>
      <c r="C1158" s="67" t="n">
        <v>2034</v>
      </c>
      <c r="D1158" t="s">
        <v>208</v>
      </c>
      <c r="E1158" s="68" t="n">
        <v>1086398.65882347</v>
      </c>
      <c r="F1158" s="69" t="n">
        <v>200668.069596927</v>
      </c>
      <c r="G1158" s="70" t="n">
        <v>1139357.01951607</v>
      </c>
      <c r="H1158" s="71" t="n">
        <v>202147.27044605</v>
      </c>
      <c r="I1158" s="72" t="str">
        <f>H1158-F1158</f>
      </c>
      <c r="J1158" s="73" t="str">
        <f>G1158-E1158</f>
      </c>
    </row>
    <row r="1159">
      <c r="A1159" t="s">
        <v>76</v>
      </c>
      <c r="B1159" t="s">
        <v>367</v>
      </c>
      <c r="C1159" s="67" t="n">
        <v>2034</v>
      </c>
      <c r="D1159" t="s">
        <v>176</v>
      </c>
      <c r="E1159" s="68" t="n">
        <v>111949.40577908</v>
      </c>
      <c r="F1159" s="69" t="n">
        <v>76652.5247809524</v>
      </c>
      <c r="G1159" s="70" t="n">
        <v>121105.471839437</v>
      </c>
      <c r="H1159" s="71" t="n">
        <v>81594.9482339212</v>
      </c>
      <c r="I1159" s="72" t="str">
        <f>H1159-F1159</f>
      </c>
      <c r="J1159" s="73" t="str">
        <f>G1159-E1159</f>
      </c>
    </row>
    <row r="1160">
      <c r="A1160" t="s">
        <v>76</v>
      </c>
      <c r="B1160" t="s">
        <v>367</v>
      </c>
      <c r="C1160" s="67" t="n">
        <v>2034</v>
      </c>
      <c r="D1160" t="s">
        <v>180</v>
      </c>
      <c r="E1160" s="68" t="n">
        <v>365926.900672171</v>
      </c>
      <c r="F1160" s="69" t="n">
        <v>343942.907525147</v>
      </c>
      <c r="G1160" s="70" t="n">
        <v>406559.867353788</v>
      </c>
      <c r="H1160" s="71" t="n">
        <v>376028.132278335</v>
      </c>
      <c r="I1160" s="72" t="str">
        <f>H1160-F1160</f>
      </c>
      <c r="J1160" s="73" t="str">
        <f>G1160-E1160</f>
      </c>
    </row>
    <row r="1161">
      <c r="A1161" t="s">
        <v>76</v>
      </c>
      <c r="B1161" t="s">
        <v>367</v>
      </c>
      <c r="C1161" s="67" t="n">
        <v>2034</v>
      </c>
      <c r="D1161" t="s">
        <v>183</v>
      </c>
      <c r="E1161" s="68" t="n">
        <v>603135.712114396</v>
      </c>
      <c r="F1161" s="69" t="n">
        <v>397790.976981175</v>
      </c>
      <c r="G1161" s="70" t="n">
        <v>701691.677358768</v>
      </c>
      <c r="H1161" s="71" t="n">
        <v>423259.100590806</v>
      </c>
      <c r="I1161" s="72" t="str">
        <f>H1161-F1161</f>
      </c>
      <c r="J1161" s="73" t="str">
        <f>G1161-E1161</f>
      </c>
    </row>
    <row r="1162">
      <c r="A1162" t="s">
        <v>76</v>
      </c>
      <c r="B1162" t="s">
        <v>367</v>
      </c>
      <c r="C1162" s="67" t="n">
        <v>2034</v>
      </c>
      <c r="D1162" t="s">
        <v>186</v>
      </c>
      <c r="E1162" s="68" t="n">
        <v>455906.258048379</v>
      </c>
      <c r="F1162" s="69" t="n">
        <v>263256.802043752</v>
      </c>
      <c r="G1162" s="70" t="n">
        <v>516406.53850878</v>
      </c>
      <c r="H1162" s="71" t="n">
        <v>279484.980285229</v>
      </c>
      <c r="I1162" s="72" t="str">
        <f>H1162-F1162</f>
      </c>
      <c r="J1162" s="73" t="str">
        <f>G1162-E1162</f>
      </c>
    </row>
    <row r="1163">
      <c r="A1163" t="s">
        <v>76</v>
      </c>
      <c r="B1163" t="s">
        <v>367</v>
      </c>
      <c r="C1163" s="67" t="n">
        <v>2034</v>
      </c>
      <c r="D1163" t="s">
        <v>366</v>
      </c>
      <c r="E1163" s="68" t="n">
        <v>44365.9092736884</v>
      </c>
      <c r="F1163" s="69" t="n">
        <v>7385.26442637917</v>
      </c>
      <c r="G1163" s="70" t="n">
        <v>44355.184450179</v>
      </c>
      <c r="H1163" s="71" t="n">
        <v>7385.04094675217</v>
      </c>
      <c r="I1163" s="72" t="str">
        <f>H1163-F1163</f>
      </c>
      <c r="J1163" s="73" t="str">
        <f>G1163-E1163</f>
      </c>
    </row>
    <row r="1164">
      <c r="A1164" t="s">
        <v>76</v>
      </c>
      <c r="B1164" t="s">
        <v>367</v>
      </c>
      <c r="C1164" s="67" t="n">
        <v>2035</v>
      </c>
      <c r="D1164" t="s">
        <v>169</v>
      </c>
      <c r="E1164" s="68" t="n">
        <v>17007.098919391</v>
      </c>
      <c r="F1164" s="69" t="n">
        <v>12234.0686872769</v>
      </c>
      <c r="G1164" s="70" t="n">
        <v>16892.2141390053</v>
      </c>
      <c r="H1164" s="71" t="n">
        <v>12203.0577178634</v>
      </c>
      <c r="I1164" s="72" t="str">
        <f>H1164-F1164</f>
      </c>
      <c r="J1164" s="73" t="str">
        <f>G1164-E1164</f>
      </c>
    </row>
    <row r="1165">
      <c r="A1165" t="s">
        <v>76</v>
      </c>
      <c r="B1165" t="s">
        <v>367</v>
      </c>
      <c r="C1165" s="67" t="n">
        <v>2035</v>
      </c>
      <c r="D1165" t="s">
        <v>208</v>
      </c>
      <c r="E1165" s="68" t="n">
        <v>1091476.93033168</v>
      </c>
      <c r="F1165" s="69" t="n">
        <v>208435.07294405</v>
      </c>
      <c r="G1165" s="70" t="n">
        <v>1148972.16574985</v>
      </c>
      <c r="H1165" s="71" t="n">
        <v>210290.980527925</v>
      </c>
      <c r="I1165" s="72" t="str">
        <f>H1165-F1165</f>
      </c>
      <c r="J1165" s="73" t="str">
        <f>G1165-E1165</f>
      </c>
    </row>
    <row r="1166">
      <c r="A1166" t="s">
        <v>76</v>
      </c>
      <c r="B1166" t="s">
        <v>367</v>
      </c>
      <c r="C1166" s="67" t="n">
        <v>2035</v>
      </c>
      <c r="D1166" t="s">
        <v>176</v>
      </c>
      <c r="E1166" s="68" t="n">
        <v>114910.466293902</v>
      </c>
      <c r="F1166" s="69" t="n">
        <v>78351.1983258542</v>
      </c>
      <c r="G1166" s="70" t="n">
        <v>124148.207195844</v>
      </c>
      <c r="H1166" s="71" t="n">
        <v>83695.1178728798</v>
      </c>
      <c r="I1166" s="72" t="str">
        <f>H1166-F1166</f>
      </c>
      <c r="J1166" s="73" t="str">
        <f>G1166-E1166</f>
      </c>
    </row>
    <row r="1167">
      <c r="A1167" t="s">
        <v>76</v>
      </c>
      <c r="B1167" t="s">
        <v>367</v>
      </c>
      <c r="C1167" s="67" t="n">
        <v>2035</v>
      </c>
      <c r="D1167" t="s">
        <v>180</v>
      </c>
      <c r="E1167" s="68" t="n">
        <v>372528.733994628</v>
      </c>
      <c r="F1167" s="69" t="n">
        <v>349660.631138188</v>
      </c>
      <c r="G1167" s="70" t="n">
        <v>414533.160603145</v>
      </c>
      <c r="H1167" s="71" t="n">
        <v>383788.762526672</v>
      </c>
      <c r="I1167" s="72" t="str">
        <f>H1167-F1167</f>
      </c>
      <c r="J1167" s="73" t="str">
        <f>G1167-E1167</f>
      </c>
    </row>
    <row r="1168">
      <c r="A1168" t="s">
        <v>76</v>
      </c>
      <c r="B1168" t="s">
        <v>367</v>
      </c>
      <c r="C1168" s="67" t="n">
        <v>2035</v>
      </c>
      <c r="D1168" t="s">
        <v>183</v>
      </c>
      <c r="E1168" s="68" t="n">
        <v>611424.733909646</v>
      </c>
      <c r="F1168" s="69" t="n">
        <v>404248.099353329</v>
      </c>
      <c r="G1168" s="70" t="n">
        <v>715331.788822102</v>
      </c>
      <c r="H1168" s="71" t="n">
        <v>434082.031551195</v>
      </c>
      <c r="I1168" s="72" t="str">
        <f>H1168-F1168</f>
      </c>
      <c r="J1168" s="73" t="str">
        <f>G1168-E1168</f>
      </c>
    </row>
    <row r="1169">
      <c r="A1169" t="s">
        <v>76</v>
      </c>
      <c r="B1169" t="s">
        <v>367</v>
      </c>
      <c r="C1169" s="67" t="n">
        <v>2035</v>
      </c>
      <c r="D1169" t="s">
        <v>186</v>
      </c>
      <c r="E1169" s="68" t="n">
        <v>465460.841126968</v>
      </c>
      <c r="F1169" s="69" t="n">
        <v>270505.180406528</v>
      </c>
      <c r="G1169" s="70" t="n">
        <v>528818.371883953</v>
      </c>
      <c r="H1169" s="71" t="n">
        <v>289150.802435983</v>
      </c>
      <c r="I1169" s="72" t="str">
        <f>H1169-F1169</f>
      </c>
      <c r="J1169" s="73" t="str">
        <f>G1169-E1169</f>
      </c>
    </row>
    <row r="1170">
      <c r="A1170" t="s">
        <v>76</v>
      </c>
      <c r="B1170" t="s">
        <v>367</v>
      </c>
      <c r="C1170" s="67" t="n">
        <v>2035</v>
      </c>
      <c r="D1170" t="s">
        <v>366</v>
      </c>
      <c r="E1170" s="68" t="n">
        <v>44220.7717838372</v>
      </c>
      <c r="F1170" s="69" t="n">
        <v>7420.31822473865</v>
      </c>
      <c r="G1170" s="70" t="n">
        <v>44206.7073067121</v>
      </c>
      <c r="H1170" s="71" t="n">
        <v>7419.97885519321</v>
      </c>
      <c r="I1170" s="72" t="str">
        <f>H1170-F1170</f>
      </c>
      <c r="J1170" s="73" t="str">
        <f>G1170-E1170</f>
      </c>
    </row>
    <row r="1171">
      <c r="A1171" t="s">
        <v>76</v>
      </c>
      <c r="B1171" t="s">
        <v>367</v>
      </c>
      <c r="C1171" s="67" t="n">
        <v>2036</v>
      </c>
      <c r="D1171" t="s">
        <v>169</v>
      </c>
      <c r="E1171" s="68" t="n">
        <v>17497.3303580239</v>
      </c>
      <c r="F1171" s="69" t="n">
        <v>12550.4016783296</v>
      </c>
      <c r="G1171" s="70" t="n">
        <v>17350.6546269342</v>
      </c>
      <c r="H1171" s="71" t="n">
        <v>12506.9021026876</v>
      </c>
      <c r="I1171" s="72" t="str">
        <f>H1171-F1171</f>
      </c>
      <c r="J1171" s="73" t="str">
        <f>G1171-E1171</f>
      </c>
    </row>
    <row r="1172">
      <c r="A1172" t="s">
        <v>76</v>
      </c>
      <c r="B1172" t="s">
        <v>367</v>
      </c>
      <c r="C1172" s="67" t="n">
        <v>2036</v>
      </c>
      <c r="D1172" t="s">
        <v>208</v>
      </c>
      <c r="E1172" s="68" t="n">
        <v>1096547.69020736</v>
      </c>
      <c r="F1172" s="69" t="n">
        <v>216105.420393888</v>
      </c>
      <c r="G1172" s="70" t="n">
        <v>1158266.13775829</v>
      </c>
      <c r="H1172" s="71" t="n">
        <v>218370.687575925</v>
      </c>
      <c r="I1172" s="72" t="str">
        <f>H1172-F1172</f>
      </c>
      <c r="J1172" s="73" t="str">
        <f>G1172-E1172</f>
      </c>
    </row>
    <row r="1173">
      <c r="A1173" t="s">
        <v>76</v>
      </c>
      <c r="B1173" t="s">
        <v>367</v>
      </c>
      <c r="C1173" s="67" t="n">
        <v>2036</v>
      </c>
      <c r="D1173" t="s">
        <v>176</v>
      </c>
      <c r="E1173" s="68" t="n">
        <v>117840.015138</v>
      </c>
      <c r="F1173" s="69" t="n">
        <v>80091.2669290569</v>
      </c>
      <c r="G1173" s="70" t="n">
        <v>127138.451085333</v>
      </c>
      <c r="H1173" s="71" t="n">
        <v>85765.5647353171</v>
      </c>
      <c r="I1173" s="72" t="str">
        <f>H1173-F1173</f>
      </c>
      <c r="J1173" s="73" t="str">
        <f>G1173-E1173</f>
      </c>
    </row>
    <row r="1174">
      <c r="A1174" t="s">
        <v>76</v>
      </c>
      <c r="B1174" t="s">
        <v>367</v>
      </c>
      <c r="C1174" s="67" t="n">
        <v>2036</v>
      </c>
      <c r="D1174" t="s">
        <v>180</v>
      </c>
      <c r="E1174" s="68" t="n">
        <v>378942.951493178</v>
      </c>
      <c r="F1174" s="69" t="n">
        <v>355348.115439421</v>
      </c>
      <c r="G1174" s="70" t="n">
        <v>422232.659922133</v>
      </c>
      <c r="H1174" s="71" t="n">
        <v>391285.955739587</v>
      </c>
      <c r="I1174" s="72" t="str">
        <f>H1174-F1174</f>
      </c>
      <c r="J1174" s="73" t="str">
        <f>G1174-E1174</f>
      </c>
    </row>
    <row r="1175">
      <c r="A1175" t="s">
        <v>76</v>
      </c>
      <c r="B1175" t="s">
        <v>367</v>
      </c>
      <c r="C1175" s="67" t="n">
        <v>2036</v>
      </c>
      <c r="D1175" t="s">
        <v>183</v>
      </c>
      <c r="E1175" s="68" t="n">
        <v>619510.408629404</v>
      </c>
      <c r="F1175" s="69" t="n">
        <v>410540.897573777</v>
      </c>
      <c r="G1175" s="70" t="n">
        <v>728531.610160843</v>
      </c>
      <c r="H1175" s="71" t="n">
        <v>444747.907566169</v>
      </c>
      <c r="I1175" s="72" t="str">
        <f>H1175-F1175</f>
      </c>
      <c r="J1175" s="73" t="str">
        <f>G1175-E1175</f>
      </c>
    </row>
    <row r="1176">
      <c r="A1176" t="s">
        <v>76</v>
      </c>
      <c r="B1176" t="s">
        <v>367</v>
      </c>
      <c r="C1176" s="67" t="n">
        <v>2036</v>
      </c>
      <c r="D1176" t="s">
        <v>186</v>
      </c>
      <c r="E1176" s="68" t="n">
        <v>474962.681562123</v>
      </c>
      <c r="F1176" s="69" t="n">
        <v>277858.318037375</v>
      </c>
      <c r="G1176" s="70" t="n">
        <v>541052.28077363</v>
      </c>
      <c r="H1176" s="71" t="n">
        <v>298879.611309733</v>
      </c>
      <c r="I1176" s="72" t="str">
        <f>H1176-F1176</f>
      </c>
      <c r="J1176" s="73" t="str">
        <f>G1176-E1176</f>
      </c>
    </row>
    <row r="1177">
      <c r="A1177" t="s">
        <v>76</v>
      </c>
      <c r="B1177" t="s">
        <v>367</v>
      </c>
      <c r="C1177" s="67" t="n">
        <v>2036</v>
      </c>
      <c r="D1177" t="s">
        <v>366</v>
      </c>
      <c r="E1177" s="68" t="n">
        <v>44067.735708197</v>
      </c>
      <c r="F1177" s="69" t="n">
        <v>7453.81757514572</v>
      </c>
      <c r="G1177" s="70" t="n">
        <v>44049.9983782722</v>
      </c>
      <c r="H1177" s="71" t="n">
        <v>7453.3351271514</v>
      </c>
      <c r="I1177" s="72" t="str">
        <f>H1177-F1177</f>
      </c>
      <c r="J1177" s="73" t="str">
        <f>G1177-E1177</f>
      </c>
    </row>
    <row r="1178">
      <c r="A1178" t="s">
        <v>76</v>
      </c>
      <c r="B1178" t="s">
        <v>367</v>
      </c>
      <c r="C1178" s="67" t="n">
        <v>2037</v>
      </c>
      <c r="D1178" t="s">
        <v>169</v>
      </c>
      <c r="E1178" s="68" t="n">
        <v>17994.3985159841</v>
      </c>
      <c r="F1178" s="69" t="n">
        <v>12865.6386578249</v>
      </c>
      <c r="G1178" s="70" t="n">
        <v>17812.5035281772</v>
      </c>
      <c r="H1178" s="71" t="n">
        <v>12807.5012683992</v>
      </c>
      <c r="I1178" s="72" t="str">
        <f>H1178-F1178</f>
      </c>
      <c r="J1178" s="73" t="str">
        <f>G1178-E1178</f>
      </c>
    </row>
    <row r="1179">
      <c r="A1179" t="s">
        <v>76</v>
      </c>
      <c r="B1179" t="s">
        <v>367</v>
      </c>
      <c r="C1179" s="67" t="n">
        <v>2037</v>
      </c>
      <c r="D1179" t="s">
        <v>208</v>
      </c>
      <c r="E1179" s="68" t="n">
        <v>1101714.69733208</v>
      </c>
      <c r="F1179" s="69" t="n">
        <v>223668.259224516</v>
      </c>
      <c r="G1179" s="70" t="n">
        <v>1167364.66541375</v>
      </c>
      <c r="H1179" s="71" t="n">
        <v>226373.365626062</v>
      </c>
      <c r="I1179" s="72" t="str">
        <f>H1179-F1179</f>
      </c>
      <c r="J1179" s="73" t="str">
        <f>G1179-E1179</f>
      </c>
    </row>
    <row r="1180">
      <c r="A1180" t="s">
        <v>76</v>
      </c>
      <c r="B1180" t="s">
        <v>367</v>
      </c>
      <c r="C1180" s="67" t="n">
        <v>2037</v>
      </c>
      <c r="D1180" t="s">
        <v>176</v>
      </c>
      <c r="E1180" s="68" t="n">
        <v>120751.97192779</v>
      </c>
      <c r="F1180" s="69" t="n">
        <v>81840.5301090213</v>
      </c>
      <c r="G1180" s="70" t="n">
        <v>130092.112965313</v>
      </c>
      <c r="H1180" s="71" t="n">
        <v>87785.8739142287</v>
      </c>
      <c r="I1180" s="72" t="str">
        <f>H1180-F1180</f>
      </c>
      <c r="J1180" s="73" t="str">
        <f>G1180-E1180</f>
      </c>
    </row>
    <row r="1181">
      <c r="A1181" t="s">
        <v>76</v>
      </c>
      <c r="B1181" t="s">
        <v>367</v>
      </c>
      <c r="C1181" s="67" t="n">
        <v>2037</v>
      </c>
      <c r="D1181" t="s">
        <v>180</v>
      </c>
      <c r="E1181" s="68" t="n">
        <v>385183.337140004</v>
      </c>
      <c r="F1181" s="69" t="n">
        <v>360908.771992221</v>
      </c>
      <c r="G1181" s="70" t="n">
        <v>429674.679324948</v>
      </c>
      <c r="H1181" s="71" t="n">
        <v>398473.813386608</v>
      </c>
      <c r="I1181" s="72" t="str">
        <f>H1181-F1181</f>
      </c>
      <c r="J1181" s="73" t="str">
        <f>G1181-E1181</f>
      </c>
    </row>
    <row r="1182">
      <c r="A1182" t="s">
        <v>76</v>
      </c>
      <c r="B1182" t="s">
        <v>367</v>
      </c>
      <c r="C1182" s="67" t="n">
        <v>2037</v>
      </c>
      <c r="D1182" t="s">
        <v>183</v>
      </c>
      <c r="E1182" s="68" t="n">
        <v>627367.259674875</v>
      </c>
      <c r="F1182" s="69" t="n">
        <v>416604.989472279</v>
      </c>
      <c r="G1182" s="70" t="n">
        <v>741261.427234993</v>
      </c>
      <c r="H1182" s="71" t="n">
        <v>455168.184528758</v>
      </c>
      <c r="I1182" s="72" t="str">
        <f>H1182-F1182</f>
      </c>
      <c r="J1182" s="73" t="str">
        <f>G1182-E1182</f>
      </c>
    </row>
    <row r="1183">
      <c r="A1183" t="s">
        <v>76</v>
      </c>
      <c r="B1183" t="s">
        <v>367</v>
      </c>
      <c r="C1183" s="67" t="n">
        <v>2037</v>
      </c>
      <c r="D1183" t="s">
        <v>186</v>
      </c>
      <c r="E1183" s="68" t="n">
        <v>484542.623503828</v>
      </c>
      <c r="F1183" s="69" t="n">
        <v>285306.931551783</v>
      </c>
      <c r="G1183" s="70" t="n">
        <v>553258.517761357</v>
      </c>
      <c r="H1183" s="71" t="n">
        <v>308666.043562302</v>
      </c>
      <c r="I1183" s="72" t="str">
        <f>H1183-F1183</f>
      </c>
      <c r="J1183" s="73" t="str">
        <f>G1183-E1183</f>
      </c>
    </row>
    <row r="1184">
      <c r="A1184" t="s">
        <v>76</v>
      </c>
      <c r="B1184" t="s">
        <v>367</v>
      </c>
      <c r="C1184" s="67" t="n">
        <v>2037</v>
      </c>
      <c r="D1184" t="s">
        <v>366</v>
      </c>
      <c r="E1184" s="68" t="n">
        <v>43908.2115818078</v>
      </c>
      <c r="F1184" s="69" t="n">
        <v>7486.29200463788</v>
      </c>
      <c r="G1184" s="70" t="n">
        <v>43886.4966397613</v>
      </c>
      <c r="H1184" s="71" t="n">
        <v>7485.63945861012</v>
      </c>
      <c r="I1184" s="72" t="str">
        <f>H1184-F1184</f>
      </c>
      <c r="J1184" s="73" t="str">
        <f>G1184-E1184</f>
      </c>
    </row>
    <row r="1185">
      <c r="A1185" t="s">
        <v>76</v>
      </c>
      <c r="B1185" t="s">
        <v>367</v>
      </c>
      <c r="C1185" s="67" t="n">
        <v>2038</v>
      </c>
      <c r="D1185" t="s">
        <v>169</v>
      </c>
      <c r="E1185" s="68" t="n">
        <v>18499.1150360339</v>
      </c>
      <c r="F1185" s="69" t="n">
        <v>13183.1261378072</v>
      </c>
      <c r="G1185" s="70" t="n">
        <v>18278.6195315823</v>
      </c>
      <c r="H1185" s="71" t="n">
        <v>13108.2586821674</v>
      </c>
      <c r="I1185" s="72" t="str">
        <f>H1185-F1185</f>
      </c>
      <c r="J1185" s="73" t="str">
        <f>G1185-E1185</f>
      </c>
    </row>
    <row r="1186">
      <c r="A1186" t="s">
        <v>76</v>
      </c>
      <c r="B1186" t="s">
        <v>367</v>
      </c>
      <c r="C1186" s="67" t="n">
        <v>2038</v>
      </c>
      <c r="D1186" t="s">
        <v>208</v>
      </c>
      <c r="E1186" s="68" t="n">
        <v>1107006.20381822</v>
      </c>
      <c r="F1186" s="69" t="n">
        <v>231112.706047737</v>
      </c>
      <c r="G1186" s="70" t="n">
        <v>1176286.23006217</v>
      </c>
      <c r="H1186" s="71" t="n">
        <v>234286.302403295</v>
      </c>
      <c r="I1186" s="72" t="str">
        <f>H1186-F1186</f>
      </c>
      <c r="J1186" s="73" t="str">
        <f>G1186-E1186</f>
      </c>
    </row>
    <row r="1187">
      <c r="A1187" t="s">
        <v>76</v>
      </c>
      <c r="B1187" t="s">
        <v>367</v>
      </c>
      <c r="C1187" s="67" t="n">
        <v>2038</v>
      </c>
      <c r="D1187" t="s">
        <v>176</v>
      </c>
      <c r="E1187" s="68" t="n">
        <v>123641.495252491</v>
      </c>
      <c r="F1187" s="69" t="n">
        <v>83595.2437847043</v>
      </c>
      <c r="G1187" s="70" t="n">
        <v>133004.77137127</v>
      </c>
      <c r="H1187" s="71" t="n">
        <v>89762.9085046272</v>
      </c>
      <c r="I1187" s="72" t="str">
        <f>H1187-F1187</f>
      </c>
      <c r="J1187" s="73" t="str">
        <f>G1187-E1187</f>
      </c>
    </row>
    <row r="1188">
      <c r="A1188" t="s">
        <v>76</v>
      </c>
      <c r="B1188" t="s">
        <v>367</v>
      </c>
      <c r="C1188" s="67" t="n">
        <v>2038</v>
      </c>
      <c r="D1188" t="s">
        <v>180</v>
      </c>
      <c r="E1188" s="68" t="n">
        <v>391266.65743557</v>
      </c>
      <c r="F1188" s="69" t="n">
        <v>366339.531991181</v>
      </c>
      <c r="G1188" s="70" t="n">
        <v>436878.359538317</v>
      </c>
      <c r="H1188" s="71" t="n">
        <v>405384.957772321</v>
      </c>
      <c r="I1188" s="72" t="str">
        <f>H1188-F1188</f>
      </c>
      <c r="J1188" s="73" t="str">
        <f>G1188-E1188</f>
      </c>
    </row>
    <row r="1189">
      <c r="A1189" t="s">
        <v>76</v>
      </c>
      <c r="B1189" t="s">
        <v>367</v>
      </c>
      <c r="C1189" s="67" t="n">
        <v>2038</v>
      </c>
      <c r="D1189" t="s">
        <v>183</v>
      </c>
      <c r="E1189" s="68" t="n">
        <v>635034.825121523</v>
      </c>
      <c r="F1189" s="69" t="n">
        <v>422461.883855333</v>
      </c>
      <c r="G1189" s="70" t="n">
        <v>753560.822146793</v>
      </c>
      <c r="H1189" s="71" t="n">
        <v>465342.91786371</v>
      </c>
      <c r="I1189" s="72" t="str">
        <f>H1189-F1189</f>
      </c>
      <c r="J1189" s="73" t="str">
        <f>G1189-E1189</f>
      </c>
    </row>
    <row r="1190">
      <c r="A1190" t="s">
        <v>76</v>
      </c>
      <c r="B1190" t="s">
        <v>367</v>
      </c>
      <c r="C1190" s="67" t="n">
        <v>2038</v>
      </c>
      <c r="D1190" t="s">
        <v>186</v>
      </c>
      <c r="E1190" s="68" t="n">
        <v>494172.35867021</v>
      </c>
      <c r="F1190" s="69" t="n">
        <v>292802.889264308</v>
      </c>
      <c r="G1190" s="70" t="n">
        <v>565403.758799385</v>
      </c>
      <c r="H1190" s="71" t="n">
        <v>318461.022248122</v>
      </c>
      <c r="I1190" s="72" t="str">
        <f>H1190-F1190</f>
      </c>
      <c r="J1190" s="73" t="str">
        <f>G1190-E1190</f>
      </c>
    </row>
    <row r="1191">
      <c r="A1191" t="s">
        <v>76</v>
      </c>
      <c r="B1191" t="s">
        <v>367</v>
      </c>
      <c r="C1191" s="67" t="n">
        <v>2038</v>
      </c>
      <c r="D1191" t="s">
        <v>366</v>
      </c>
      <c r="E1191" s="68" t="n">
        <v>43756.7216806623</v>
      </c>
      <c r="F1191" s="69" t="n">
        <v>7518.61963569751</v>
      </c>
      <c r="G1191" s="70" t="n">
        <v>43730.7448506382</v>
      </c>
      <c r="H1191" s="71" t="n">
        <v>7517.77035327065</v>
      </c>
      <c r="I1191" s="72" t="str">
        <f>H1191-F1191</f>
      </c>
      <c r="J1191" s="73" t="str">
        <f>G1191-E1191</f>
      </c>
    </row>
    <row r="1192">
      <c r="A1192" t="s">
        <v>76</v>
      </c>
      <c r="B1192" t="s">
        <v>367</v>
      </c>
      <c r="C1192" s="67" t="n">
        <v>2039</v>
      </c>
      <c r="D1192" t="s">
        <v>169</v>
      </c>
      <c r="E1192" s="68" t="n">
        <v>19014.6203296444</v>
      </c>
      <c r="F1192" s="69" t="n">
        <v>13498.3004765752</v>
      </c>
      <c r="G1192" s="70" t="n">
        <v>18752.090499403</v>
      </c>
      <c r="H1192" s="71" t="n">
        <v>13404.6696202756</v>
      </c>
      <c r="I1192" s="72" t="str">
        <f>H1192-F1192</f>
      </c>
      <c r="J1192" s="73" t="str">
        <f>G1192-E1192</f>
      </c>
    </row>
    <row r="1193">
      <c r="A1193" t="s">
        <v>76</v>
      </c>
      <c r="B1193" t="s">
        <v>367</v>
      </c>
      <c r="C1193" s="67" t="n">
        <v>2039</v>
      </c>
      <c r="D1193" t="s">
        <v>208</v>
      </c>
      <c r="E1193" s="68" t="n">
        <v>1112115.80441008</v>
      </c>
      <c r="F1193" s="69" t="n">
        <v>238463.473167757</v>
      </c>
      <c r="G1193" s="70" t="n">
        <v>1184738.39184491</v>
      </c>
      <c r="H1193" s="71" t="n">
        <v>242132.191153164</v>
      </c>
      <c r="I1193" s="72" t="str">
        <f>H1193-F1193</f>
      </c>
      <c r="J1193" s="73" t="str">
        <f>G1193-E1193</f>
      </c>
    </row>
    <row r="1194">
      <c r="A1194" t="s">
        <v>76</v>
      </c>
      <c r="B1194" t="s">
        <v>367</v>
      </c>
      <c r="C1194" s="67" t="n">
        <v>2039</v>
      </c>
      <c r="D1194" t="s">
        <v>176</v>
      </c>
      <c r="E1194" s="68" t="n">
        <v>126503.952677078</v>
      </c>
      <c r="F1194" s="69" t="n">
        <v>85366.0573648862</v>
      </c>
      <c r="G1194" s="70" t="n">
        <v>135872.13136763</v>
      </c>
      <c r="H1194" s="71" t="n">
        <v>91716.3663536023</v>
      </c>
      <c r="I1194" s="72" t="str">
        <f>H1194-F1194</f>
      </c>
      <c r="J1194" s="73" t="str">
        <f>G1194-E1194</f>
      </c>
    </row>
    <row r="1195">
      <c r="A1195" t="s">
        <v>76</v>
      </c>
      <c r="B1195" t="s">
        <v>367</v>
      </c>
      <c r="C1195" s="67" t="n">
        <v>2039</v>
      </c>
      <c r="D1195" t="s">
        <v>180</v>
      </c>
      <c r="E1195" s="68" t="n">
        <v>397246.994523757</v>
      </c>
      <c r="F1195" s="69" t="n">
        <v>371713.513091538</v>
      </c>
      <c r="G1195" s="70" t="n">
        <v>443905.980748337</v>
      </c>
      <c r="H1195" s="71" t="n">
        <v>412120.21350488</v>
      </c>
      <c r="I1195" s="72" t="str">
        <f>H1195-F1195</f>
      </c>
      <c r="J1195" s="73" t="str">
        <f>G1195-E1195</f>
      </c>
    </row>
    <row r="1196">
      <c r="A1196" t="s">
        <v>76</v>
      </c>
      <c r="B1196" t="s">
        <v>367</v>
      </c>
      <c r="C1196" s="67" t="n">
        <v>2039</v>
      </c>
      <c r="D1196" t="s">
        <v>183</v>
      </c>
      <c r="E1196" s="68" t="n">
        <v>642587.553723817</v>
      </c>
      <c r="F1196" s="69" t="n">
        <v>428131.579547004</v>
      </c>
      <c r="G1196" s="70" t="n">
        <v>765528.467838857</v>
      </c>
      <c r="H1196" s="71" t="n">
        <v>475269.787528918</v>
      </c>
      <c r="I1196" s="72" t="str">
        <f>H1196-F1196</f>
      </c>
      <c r="J1196" s="73" t="str">
        <f>G1196-E1196</f>
      </c>
    </row>
    <row r="1197">
      <c r="A1197" t="s">
        <v>76</v>
      </c>
      <c r="B1197" t="s">
        <v>367</v>
      </c>
      <c r="C1197" s="67" t="n">
        <v>2039</v>
      </c>
      <c r="D1197" t="s">
        <v>186</v>
      </c>
      <c r="E1197" s="68" t="n">
        <v>503785.676316026</v>
      </c>
      <c r="F1197" s="69" t="n">
        <v>300329.608930971</v>
      </c>
      <c r="G1197" s="70" t="n">
        <v>577414.514396235</v>
      </c>
      <c r="H1197" s="71" t="n">
        <v>328246.401276368</v>
      </c>
      <c r="I1197" s="72" t="str">
        <f>H1197-F1197</f>
      </c>
      <c r="J1197" s="73" t="str">
        <f>G1197-E1197</f>
      </c>
    </row>
    <row r="1198">
      <c r="A1198" t="s">
        <v>76</v>
      </c>
      <c r="B1198" t="s">
        <v>367</v>
      </c>
      <c r="C1198" s="67" t="n">
        <v>2039</v>
      </c>
      <c r="D1198" t="s">
        <v>366</v>
      </c>
      <c r="E1198" s="68" t="n">
        <v>43619.3559476401</v>
      </c>
      <c r="F1198" s="69" t="n">
        <v>7548.63203811839</v>
      </c>
      <c r="G1198" s="70" t="n">
        <v>43588.845456637</v>
      </c>
      <c r="H1198" s="71" t="n">
        <v>7547.5598608641</v>
      </c>
      <c r="I1198" s="72" t="str">
        <f>H1198-F1198</f>
      </c>
      <c r="J1198" s="73" t="str">
        <f>G1198-E1198</f>
      </c>
    </row>
    <row r="1199">
      <c r="A1199" t="s">
        <v>76</v>
      </c>
      <c r="B1199" t="s">
        <v>367</v>
      </c>
      <c r="C1199" s="67" t="n">
        <v>2040</v>
      </c>
      <c r="D1199" t="s">
        <v>169</v>
      </c>
      <c r="E1199" s="68" t="n">
        <v>19543.8488223005</v>
      </c>
      <c r="F1199" s="69" t="n">
        <v>13813.4022455801</v>
      </c>
      <c r="G1199" s="70" t="n">
        <v>19235.7365429273</v>
      </c>
      <c r="H1199" s="71" t="n">
        <v>13698.9721681132</v>
      </c>
      <c r="I1199" s="72" t="str">
        <f>H1199-F1199</f>
      </c>
      <c r="J1199" s="73" t="str">
        <f>G1199-E1199</f>
      </c>
    </row>
    <row r="1200">
      <c r="A1200" t="s">
        <v>76</v>
      </c>
      <c r="B1200" t="s">
        <v>367</v>
      </c>
      <c r="C1200" s="67" t="n">
        <v>2040</v>
      </c>
      <c r="D1200" t="s">
        <v>208</v>
      </c>
      <c r="E1200" s="68" t="n">
        <v>1116948.56493983</v>
      </c>
      <c r="F1200" s="69" t="n">
        <v>245705.966754576</v>
      </c>
      <c r="G1200" s="70" t="n">
        <v>1192634.43006365</v>
      </c>
      <c r="H1200" s="71" t="n">
        <v>249894.478827588</v>
      </c>
      <c r="I1200" s="72" t="str">
        <f>H1200-F1200</f>
      </c>
      <c r="J1200" s="73" t="str">
        <f>G1200-E1200</f>
      </c>
    </row>
    <row r="1201">
      <c r="A1201" t="s">
        <v>76</v>
      </c>
      <c r="B1201" t="s">
        <v>367</v>
      </c>
      <c r="C1201" s="67" t="n">
        <v>2040</v>
      </c>
      <c r="D1201" t="s">
        <v>176</v>
      </c>
      <c r="E1201" s="68" t="n">
        <v>129334.709355832</v>
      </c>
      <c r="F1201" s="69" t="n">
        <v>87137.999670023</v>
      </c>
      <c r="G1201" s="70" t="n">
        <v>138689.796610277</v>
      </c>
      <c r="H1201" s="71" t="n">
        <v>93636.8967600593</v>
      </c>
      <c r="I1201" s="72" t="str">
        <f>H1201-F1201</f>
      </c>
      <c r="J1201" s="73" t="str">
        <f>G1201-E1201</f>
      </c>
    </row>
    <row r="1202">
      <c r="A1202" t="s">
        <v>76</v>
      </c>
      <c r="B1202" t="s">
        <v>367</v>
      </c>
      <c r="C1202" s="67" t="n">
        <v>2040</v>
      </c>
      <c r="D1202" t="s">
        <v>180</v>
      </c>
      <c r="E1202" s="68" t="n">
        <v>403198.068479555</v>
      </c>
      <c r="F1202" s="69" t="n">
        <v>376963.097784374</v>
      </c>
      <c r="G1202" s="70" t="n">
        <v>450841.764596063</v>
      </c>
      <c r="H1202" s="71" t="n">
        <v>418620.908948174</v>
      </c>
      <c r="I1202" s="72" t="str">
        <f>H1202-F1202</f>
      </c>
      <c r="J1202" s="73" t="str">
        <f>G1202-E1202</f>
      </c>
    </row>
    <row r="1203">
      <c r="A1203" t="s">
        <v>76</v>
      </c>
      <c r="B1203" t="s">
        <v>367</v>
      </c>
      <c r="C1203" s="67" t="n">
        <v>2040</v>
      </c>
      <c r="D1203" t="s">
        <v>183</v>
      </c>
      <c r="E1203" s="68" t="n">
        <v>649957.506589034</v>
      </c>
      <c r="F1203" s="69" t="n">
        <v>433627.537977328</v>
      </c>
      <c r="G1203" s="70" t="n">
        <v>777088.496702091</v>
      </c>
      <c r="H1203" s="71" t="n">
        <v>484947.105425179</v>
      </c>
      <c r="I1203" s="72" t="str">
        <f>H1203-F1203</f>
      </c>
      <c r="J1203" s="73" t="str">
        <f>G1203-E1203</f>
      </c>
    </row>
    <row r="1204">
      <c r="A1204" t="s">
        <v>76</v>
      </c>
      <c r="B1204" t="s">
        <v>367</v>
      </c>
      <c r="C1204" s="67" t="n">
        <v>2040</v>
      </c>
      <c r="D1204" t="s">
        <v>186</v>
      </c>
      <c r="E1204" s="68" t="n">
        <v>513441.893548981</v>
      </c>
      <c r="F1204" s="69" t="n">
        <v>307905.423943495</v>
      </c>
      <c r="G1204" s="70" t="n">
        <v>589359.733832842</v>
      </c>
      <c r="H1204" s="71" t="n">
        <v>338039.010430446</v>
      </c>
      <c r="I1204" s="72" t="str">
        <f>H1204-F1204</f>
      </c>
      <c r="J1204" s="73" t="str">
        <f>G1204-E1204</f>
      </c>
    </row>
    <row r="1205">
      <c r="A1205" t="s">
        <v>76</v>
      </c>
      <c r="B1205" t="s">
        <v>367</v>
      </c>
      <c r="C1205" s="67" t="n">
        <v>2040</v>
      </c>
      <c r="D1205" t="s">
        <v>366</v>
      </c>
      <c r="E1205" s="68" t="n">
        <v>43500.1665334256</v>
      </c>
      <c r="F1205" s="69" t="n">
        <v>7575.0462580663</v>
      </c>
      <c r="G1205" s="70" t="n">
        <v>43464.8596818836</v>
      </c>
      <c r="H1205" s="71" t="n">
        <v>7573.72556082699</v>
      </c>
      <c r="I1205" s="72" t="str">
        <f>H1205-F1205</f>
      </c>
      <c r="J1205" s="73" t="str">
        <f>G1205-E1205</f>
      </c>
    </row>
    <row r="1206">
      <c r="A1206" t="s">
        <v>76</v>
      </c>
      <c r="B1206" t="s">
        <v>367</v>
      </c>
      <c r="C1206" s="67" t="n">
        <v>2041</v>
      </c>
      <c r="D1206" t="s">
        <v>169</v>
      </c>
      <c r="E1206" s="68" t="n">
        <v>20084.5689979106</v>
      </c>
      <c r="F1206" s="69" t="n">
        <v>14128.9069762707</v>
      </c>
      <c r="G1206" s="70" t="n">
        <v>19727.283486384</v>
      </c>
      <c r="H1206" s="71" t="n">
        <v>13991.6066902828</v>
      </c>
      <c r="I1206" s="72" t="str">
        <f>H1206-F1206</f>
      </c>
      <c r="J1206" s="73" t="str">
        <f>G1206-E1206</f>
      </c>
    </row>
    <row r="1207">
      <c r="A1207" t="s">
        <v>76</v>
      </c>
      <c r="B1207" t="s">
        <v>367</v>
      </c>
      <c r="C1207" s="67" t="n">
        <v>2041</v>
      </c>
      <c r="D1207" t="s">
        <v>208</v>
      </c>
      <c r="E1207" s="68" t="n">
        <v>1121501.39458926</v>
      </c>
      <c r="F1207" s="69" t="n">
        <v>252867.460764406</v>
      </c>
      <c r="G1207" s="70" t="n">
        <v>1199988.17586749</v>
      </c>
      <c r="H1207" s="71" t="n">
        <v>257599.044002988</v>
      </c>
      <c r="I1207" s="72" t="str">
        <f>H1207-F1207</f>
      </c>
      <c r="J1207" s="73" t="str">
        <f>G1207-E1207</f>
      </c>
    </row>
    <row r="1208">
      <c r="A1208" t="s">
        <v>76</v>
      </c>
      <c r="B1208" t="s">
        <v>367</v>
      </c>
      <c r="C1208" s="67" t="n">
        <v>2041</v>
      </c>
      <c r="D1208" t="s">
        <v>176</v>
      </c>
      <c r="E1208" s="68" t="n">
        <v>132150.15697008</v>
      </c>
      <c r="F1208" s="69" t="n">
        <v>88908.4695702389</v>
      </c>
      <c r="G1208" s="70" t="n">
        <v>141475.570851386</v>
      </c>
      <c r="H1208" s="71" t="n">
        <v>95527.0063786807</v>
      </c>
      <c r="I1208" s="72" t="str">
        <f>H1208-F1208</f>
      </c>
      <c r="J1208" s="73" t="str">
        <f>G1208-E1208</f>
      </c>
    </row>
    <row r="1209">
      <c r="A1209" t="s">
        <v>76</v>
      </c>
      <c r="B1209" t="s">
        <v>367</v>
      </c>
      <c r="C1209" s="67" t="n">
        <v>2041</v>
      </c>
      <c r="D1209" t="s">
        <v>180</v>
      </c>
      <c r="E1209" s="68" t="n">
        <v>409129.856165965</v>
      </c>
      <c r="F1209" s="69" t="n">
        <v>382184.676600773</v>
      </c>
      <c r="G1209" s="70" t="n">
        <v>457698.128134802</v>
      </c>
      <c r="H1209" s="71" t="n">
        <v>425005.77720965</v>
      </c>
      <c r="I1209" s="72" t="str">
        <f>H1209-F1209</f>
      </c>
      <c r="J1209" s="73" t="str">
        <f>G1209-E1209</f>
      </c>
    </row>
    <row r="1210">
      <c r="A1210" t="s">
        <v>76</v>
      </c>
      <c r="B1210" t="s">
        <v>367</v>
      </c>
      <c r="C1210" s="67" t="n">
        <v>2041</v>
      </c>
      <c r="D1210" t="s">
        <v>183</v>
      </c>
      <c r="E1210" s="68" t="n">
        <v>657186.448785897</v>
      </c>
      <c r="F1210" s="69" t="n">
        <v>438977.00727076</v>
      </c>
      <c r="G1210" s="70" t="n">
        <v>788293.242756689</v>
      </c>
      <c r="H1210" s="71" t="n">
        <v>494390.873248259</v>
      </c>
      <c r="I1210" s="72" t="str">
        <f>H1210-F1210</f>
      </c>
      <c r="J1210" s="73" t="str">
        <f>G1210-E1210</f>
      </c>
    </row>
    <row r="1211">
      <c r="A1211" t="s">
        <v>76</v>
      </c>
      <c r="B1211" t="s">
        <v>367</v>
      </c>
      <c r="C1211" s="67" t="n">
        <v>2041</v>
      </c>
      <c r="D1211" t="s">
        <v>186</v>
      </c>
      <c r="E1211" s="68" t="n">
        <v>523066.350150739</v>
      </c>
      <c r="F1211" s="69" t="n">
        <v>315608.817411723</v>
      </c>
      <c r="G1211" s="70" t="n">
        <v>601155.340946961</v>
      </c>
      <c r="H1211" s="71" t="n">
        <v>347924.766327078</v>
      </c>
      <c r="I1211" s="72" t="str">
        <f>H1211-F1211</f>
      </c>
      <c r="J1211" s="73" t="str">
        <f>G1211-E1211</f>
      </c>
    </row>
    <row r="1212">
      <c r="A1212" t="s">
        <v>76</v>
      </c>
      <c r="B1212" t="s">
        <v>367</v>
      </c>
      <c r="C1212" s="67" t="n">
        <v>2041</v>
      </c>
      <c r="D1212" t="s">
        <v>366</v>
      </c>
      <c r="E1212" s="68" t="n">
        <v>43401.2922275043</v>
      </c>
      <c r="F1212" s="69" t="n">
        <v>7597.59051792477</v>
      </c>
      <c r="G1212" s="70" t="n">
        <v>43360.9356755525</v>
      </c>
      <c r="H1212" s="71" t="n">
        <v>7595.99533386821</v>
      </c>
      <c r="I1212" s="72" t="str">
        <f>H1212-F1212</f>
      </c>
      <c r="J1212" s="73" t="str">
        <f>G1212-E1212</f>
      </c>
    </row>
    <row r="1213">
      <c r="A1213" t="s">
        <v>76</v>
      </c>
      <c r="B1213" t="s">
        <v>367</v>
      </c>
      <c r="C1213" s="67" t="n">
        <v>2042</v>
      </c>
      <c r="D1213" t="s">
        <v>169</v>
      </c>
      <c r="E1213" s="68" t="n">
        <v>20632.3714139046</v>
      </c>
      <c r="F1213" s="69" t="n">
        <v>14446.9453834259</v>
      </c>
      <c r="G1213" s="70" t="n">
        <v>20222.2683991647</v>
      </c>
      <c r="H1213" s="71" t="n">
        <v>14284.6169088399</v>
      </c>
      <c r="I1213" s="72" t="str">
        <f>H1213-F1213</f>
      </c>
      <c r="J1213" s="73" t="str">
        <f>G1213-E1213</f>
      </c>
    </row>
    <row r="1214">
      <c r="A1214" t="s">
        <v>76</v>
      </c>
      <c r="B1214" t="s">
        <v>367</v>
      </c>
      <c r="C1214" s="67" t="n">
        <v>2042</v>
      </c>
      <c r="D1214" t="s">
        <v>208</v>
      </c>
      <c r="E1214" s="68" t="n">
        <v>1125763.98962678</v>
      </c>
      <c r="F1214" s="69" t="n">
        <v>259992.516085879</v>
      </c>
      <c r="G1214" s="70" t="n">
        <v>1206799.58929471</v>
      </c>
      <c r="H1214" s="71" t="n">
        <v>265289.409116733</v>
      </c>
      <c r="I1214" s="72" t="str">
        <f>H1214-F1214</f>
      </c>
      <c r="J1214" s="73" t="str">
        <f>G1214-E1214</f>
      </c>
    </row>
    <row r="1215">
      <c r="A1215" t="s">
        <v>76</v>
      </c>
      <c r="B1215" t="s">
        <v>367</v>
      </c>
      <c r="C1215" s="67" t="n">
        <v>2042</v>
      </c>
      <c r="D1215" t="s">
        <v>176</v>
      </c>
      <c r="E1215" s="68" t="n">
        <v>134968.164757493</v>
      </c>
      <c r="F1215" s="69" t="n">
        <v>90692.009100525</v>
      </c>
      <c r="G1215" s="70" t="n">
        <v>144248.066926011</v>
      </c>
      <c r="H1215" s="71" t="n">
        <v>97406.1569770963</v>
      </c>
      <c r="I1215" s="72" t="str">
        <f>H1215-F1215</f>
      </c>
      <c r="J1215" s="73" t="str">
        <f>G1215-E1215</f>
      </c>
    </row>
    <row r="1216">
      <c r="A1216" t="s">
        <v>76</v>
      </c>
      <c r="B1216" t="s">
        <v>367</v>
      </c>
      <c r="C1216" s="67" t="n">
        <v>2042</v>
      </c>
      <c r="D1216" t="s">
        <v>180</v>
      </c>
      <c r="E1216" s="68" t="n">
        <v>415052.500449394</v>
      </c>
      <c r="F1216" s="69" t="n">
        <v>387481.911890093</v>
      </c>
      <c r="G1216" s="70" t="n">
        <v>464487.038990191</v>
      </c>
      <c r="H1216" s="71" t="n">
        <v>431397.042999706</v>
      </c>
      <c r="I1216" s="72" t="str">
        <f>H1216-F1216</f>
      </c>
      <c r="J1216" s="73" t="str">
        <f>G1216-E1216</f>
      </c>
    </row>
    <row r="1217">
      <c r="A1217" t="s">
        <v>76</v>
      </c>
      <c r="B1217" t="s">
        <v>367</v>
      </c>
      <c r="C1217" s="67" t="n">
        <v>2042</v>
      </c>
      <c r="D1217" t="s">
        <v>183</v>
      </c>
      <c r="E1217" s="68" t="n">
        <v>664347.159272415</v>
      </c>
      <c r="F1217" s="69" t="n">
        <v>444190.885386353</v>
      </c>
      <c r="G1217" s="70" t="n">
        <v>799225.499121645</v>
      </c>
      <c r="H1217" s="71" t="n">
        <v>503603.803809569</v>
      </c>
      <c r="I1217" s="72" t="str">
        <f>H1217-F1217</f>
      </c>
      <c r="J1217" s="73" t="str">
        <f>G1217-E1217</f>
      </c>
    </row>
    <row r="1218">
      <c r="A1218" t="s">
        <v>76</v>
      </c>
      <c r="B1218" t="s">
        <v>367</v>
      </c>
      <c r="C1218" s="67" t="n">
        <v>2042</v>
      </c>
      <c r="D1218" t="s">
        <v>186</v>
      </c>
      <c r="E1218" s="68" t="n">
        <v>532539.455311579</v>
      </c>
      <c r="F1218" s="69" t="n">
        <v>323463.235120576</v>
      </c>
      <c r="G1218" s="70" t="n">
        <v>612664.177038008</v>
      </c>
      <c r="H1218" s="71" t="n">
        <v>357930.939504437</v>
      </c>
      <c r="I1218" s="72" t="str">
        <f>H1218-F1218</f>
      </c>
      <c r="J1218" s="73" t="str">
        <f>G1218-E1218</f>
      </c>
    </row>
    <row r="1219">
      <c r="A1219" t="s">
        <v>76</v>
      </c>
      <c r="B1219" t="s">
        <v>367</v>
      </c>
      <c r="C1219" s="67" t="n">
        <v>2042</v>
      </c>
      <c r="D1219" t="s">
        <v>366</v>
      </c>
      <c r="E1219" s="68" t="n">
        <v>43324.3812846917</v>
      </c>
      <c r="F1219" s="69" t="n">
        <v>7618.489366087</v>
      </c>
      <c r="G1219" s="70" t="n">
        <v>43278.7284816073</v>
      </c>
      <c r="H1219" s="71" t="n">
        <v>7616.59280355029</v>
      </c>
      <c r="I1219" s="72" t="str">
        <f>H1219-F1219</f>
      </c>
      <c r="J1219" s="73" t="str">
        <f>G1219-E1219</f>
      </c>
    </row>
    <row r="1220">
      <c r="A1220" t="s">
        <v>76</v>
      </c>
      <c r="B1220" t="s">
        <v>367</v>
      </c>
      <c r="C1220" s="67" t="n">
        <v>2043</v>
      </c>
      <c r="D1220" t="s">
        <v>169</v>
      </c>
      <c r="E1220" s="68" t="n">
        <v>21187.3090533513</v>
      </c>
      <c r="F1220" s="69" t="n">
        <v>14762.4339343994</v>
      </c>
      <c r="G1220" s="70" t="n">
        <v>20720.5482054553</v>
      </c>
      <c r="H1220" s="71" t="n">
        <v>14572.8831532714</v>
      </c>
      <c r="I1220" s="72" t="str">
        <f>H1220-F1220</f>
      </c>
      <c r="J1220" s="73" t="str">
        <f>G1220-E1220</f>
      </c>
    </row>
    <row r="1221">
      <c r="A1221" t="s">
        <v>76</v>
      </c>
      <c r="B1221" t="s">
        <v>367</v>
      </c>
      <c r="C1221" s="67" t="n">
        <v>2043</v>
      </c>
      <c r="D1221" t="s">
        <v>208</v>
      </c>
      <c r="E1221" s="68" t="n">
        <v>1129709.24080302</v>
      </c>
      <c r="F1221" s="69" t="n">
        <v>267068.126267762</v>
      </c>
      <c r="G1221" s="70" t="n">
        <v>1213049.26096591</v>
      </c>
      <c r="H1221" s="71" t="n">
        <v>272950.435419178</v>
      </c>
      <c r="I1221" s="72" t="str">
        <f>H1221-F1221</f>
      </c>
      <c r="J1221" s="73" t="str">
        <f>G1221-E1221</f>
      </c>
    </row>
    <row r="1222">
      <c r="A1222" t="s">
        <v>76</v>
      </c>
      <c r="B1222" t="s">
        <v>367</v>
      </c>
      <c r="C1222" s="67" t="n">
        <v>2043</v>
      </c>
      <c r="D1222" t="s">
        <v>176</v>
      </c>
      <c r="E1222" s="68" t="n">
        <v>137776.663868129</v>
      </c>
      <c r="F1222" s="69" t="n">
        <v>92483.3137765938</v>
      </c>
      <c r="G1222" s="70" t="n">
        <v>146993.814208207</v>
      </c>
      <c r="H1222" s="71" t="n">
        <v>99271.3911680729</v>
      </c>
      <c r="I1222" s="72" t="str">
        <f>H1222-F1222</f>
      </c>
      <c r="J1222" s="73" t="str">
        <f>G1222-E1222</f>
      </c>
    </row>
    <row r="1223">
      <c r="A1223" t="s">
        <v>76</v>
      </c>
      <c r="B1223" t="s">
        <v>367</v>
      </c>
      <c r="C1223" s="67" t="n">
        <v>2043</v>
      </c>
      <c r="D1223" t="s">
        <v>180</v>
      </c>
      <c r="E1223" s="68" t="n">
        <v>420917.693299881</v>
      </c>
      <c r="F1223" s="69" t="n">
        <v>392747.213867084</v>
      </c>
      <c r="G1223" s="70" t="n">
        <v>471154.839580669</v>
      </c>
      <c r="H1223" s="71" t="n">
        <v>437679.988471842</v>
      </c>
      <c r="I1223" s="72" t="str">
        <f>H1223-F1223</f>
      </c>
      <c r="J1223" s="73" t="str">
        <f>G1223-E1223</f>
      </c>
    </row>
    <row r="1224">
      <c r="A1224" t="s">
        <v>76</v>
      </c>
      <c r="B1224" t="s">
        <v>367</v>
      </c>
      <c r="C1224" s="67" t="n">
        <v>2043</v>
      </c>
      <c r="D1224" t="s">
        <v>183</v>
      </c>
      <c r="E1224" s="68" t="n">
        <v>671546.392786943</v>
      </c>
      <c r="F1224" s="69" t="n">
        <v>449297.754958566</v>
      </c>
      <c r="G1224" s="70" t="n">
        <v>810014.772834319</v>
      </c>
      <c r="H1224" s="71" t="n">
        <v>512610.449179313</v>
      </c>
      <c r="I1224" s="72" t="str">
        <f>H1224-F1224</f>
      </c>
      <c r="J1224" s="73" t="str">
        <f>G1224-E1224</f>
      </c>
    </row>
    <row r="1225">
      <c r="A1225" t="s">
        <v>76</v>
      </c>
      <c r="B1225" t="s">
        <v>367</v>
      </c>
      <c r="C1225" s="67" t="n">
        <v>2043</v>
      </c>
      <c r="D1225" t="s">
        <v>186</v>
      </c>
      <c r="E1225" s="68" t="n">
        <v>541918.608350604</v>
      </c>
      <c r="F1225" s="69" t="n">
        <v>331381.416114214</v>
      </c>
      <c r="G1225" s="70" t="n">
        <v>623953.356494139</v>
      </c>
      <c r="H1225" s="71" t="n">
        <v>367959.059248153</v>
      </c>
      <c r="I1225" s="72" t="str">
        <f>H1225-F1225</f>
      </c>
      <c r="J1225" s="73" t="str">
        <f>G1225-E1225</f>
      </c>
    </row>
    <row r="1226">
      <c r="A1226" t="s">
        <v>76</v>
      </c>
      <c r="B1226" t="s">
        <v>367</v>
      </c>
      <c r="C1226" s="67" t="n">
        <v>2043</v>
      </c>
      <c r="D1226" t="s">
        <v>366</v>
      </c>
      <c r="E1226" s="68" t="n">
        <v>43283.3316097776</v>
      </c>
      <c r="F1226" s="69" t="n">
        <v>7636.86374022147</v>
      </c>
      <c r="G1226" s="70" t="n">
        <v>43232.1385441846</v>
      </c>
      <c r="H1226" s="71" t="n">
        <v>7634.63809790975</v>
      </c>
      <c r="I1226" s="72" t="str">
        <f>H1226-F1226</f>
      </c>
      <c r="J1226" s="73" t="str">
        <f>G1226-E1226</f>
      </c>
    </row>
    <row r="1227">
      <c r="A1227" t="s">
        <v>76</v>
      </c>
      <c r="B1227" t="s">
        <v>367</v>
      </c>
      <c r="C1227" s="67" t="n">
        <v>2044</v>
      </c>
      <c r="D1227" t="s">
        <v>169</v>
      </c>
      <c r="E1227" s="68" t="n">
        <v>21747.6581521799</v>
      </c>
      <c r="F1227" s="69" t="n">
        <v>15080.4058739913</v>
      </c>
      <c r="G1227" s="70" t="n">
        <v>21220.2473713984</v>
      </c>
      <c r="H1227" s="71" t="n">
        <v>14861.4315691186</v>
      </c>
      <c r="I1227" s="72" t="str">
        <f>H1227-F1227</f>
      </c>
      <c r="J1227" s="73" t="str">
        <f>G1227-E1227</f>
      </c>
    </row>
    <row r="1228">
      <c r="A1228" t="s">
        <v>76</v>
      </c>
      <c r="B1228" t="s">
        <v>367</v>
      </c>
      <c r="C1228" s="67" t="n">
        <v>2044</v>
      </c>
      <c r="D1228" t="s">
        <v>208</v>
      </c>
      <c r="E1228" s="68" t="n">
        <v>1133558.76081798</v>
      </c>
      <c r="F1228" s="69" t="n">
        <v>274020.81210302</v>
      </c>
      <c r="G1228" s="70" t="n">
        <v>1218988.4670045</v>
      </c>
      <c r="H1228" s="71" t="n">
        <v>280506.441535508</v>
      </c>
      <c r="I1228" s="72" t="str">
        <f>H1228-F1228</f>
      </c>
      <c r="J1228" s="73" t="str">
        <f>G1228-E1228</f>
      </c>
    </row>
    <row r="1229">
      <c r="A1229" t="s">
        <v>76</v>
      </c>
      <c r="B1229" t="s">
        <v>367</v>
      </c>
      <c r="C1229" s="67" t="n">
        <v>2044</v>
      </c>
      <c r="D1229" t="s">
        <v>176</v>
      </c>
      <c r="E1229" s="68" t="n">
        <v>140560.57207439</v>
      </c>
      <c r="F1229" s="69" t="n">
        <v>94270.5469015831</v>
      </c>
      <c r="G1229" s="70" t="n">
        <v>149696.213967301</v>
      </c>
      <c r="H1229" s="71" t="n">
        <v>101112.290089553</v>
      </c>
      <c r="I1229" s="72" t="str">
        <f>H1229-F1229</f>
      </c>
      <c r="J1229" s="73" t="str">
        <f>G1229-E1229</f>
      </c>
    </row>
    <row r="1230">
      <c r="A1230" t="s">
        <v>76</v>
      </c>
      <c r="B1230" t="s">
        <v>367</v>
      </c>
      <c r="C1230" s="67" t="n">
        <v>2044</v>
      </c>
      <c r="D1230" t="s">
        <v>180</v>
      </c>
      <c r="E1230" s="68" t="n">
        <v>426617.429659908</v>
      </c>
      <c r="F1230" s="69" t="n">
        <v>397928.980158348</v>
      </c>
      <c r="G1230" s="70" t="n">
        <v>477581.314836645</v>
      </c>
      <c r="H1230" s="71" t="n">
        <v>443800.637197395</v>
      </c>
      <c r="I1230" s="72" t="str">
        <f>H1230-F1230</f>
      </c>
      <c r="J1230" s="73" t="str">
        <f>G1230-E1230</f>
      </c>
    </row>
    <row r="1231">
      <c r="A1231" t="s">
        <v>76</v>
      </c>
      <c r="B1231" t="s">
        <v>367</v>
      </c>
      <c r="C1231" s="67" t="n">
        <v>2044</v>
      </c>
      <c r="D1231" t="s">
        <v>183</v>
      </c>
      <c r="E1231" s="68" t="n">
        <v>678849.723515768</v>
      </c>
      <c r="F1231" s="69" t="n">
        <v>454308.035863918</v>
      </c>
      <c r="G1231" s="70" t="n">
        <v>820742.370121934</v>
      </c>
      <c r="H1231" s="71" t="n">
        <v>521420.170330997</v>
      </c>
      <c r="I1231" s="72" t="str">
        <f>H1231-F1231</f>
      </c>
      <c r="J1231" s="73" t="str">
        <f>G1231-E1231</f>
      </c>
    </row>
    <row r="1232">
      <c r="A1232" t="s">
        <v>76</v>
      </c>
      <c r="B1232" t="s">
        <v>367</v>
      </c>
      <c r="C1232" s="67" t="n">
        <v>2044</v>
      </c>
      <c r="D1232" t="s">
        <v>186</v>
      </c>
      <c r="E1232" s="68" t="n">
        <v>551203.515984063</v>
      </c>
      <c r="F1232" s="69" t="n">
        <v>339283.106424508</v>
      </c>
      <c r="G1232" s="70" t="n">
        <v>635024.546467649</v>
      </c>
      <c r="H1232" s="71" t="n">
        <v>377918.589898958</v>
      </c>
      <c r="I1232" s="72" t="str">
        <f>H1232-F1232</f>
      </c>
      <c r="J1232" s="73" t="str">
        <f>G1232-E1232</f>
      </c>
    </row>
    <row r="1233">
      <c r="A1233" t="s">
        <v>76</v>
      </c>
      <c r="B1233" t="s">
        <v>367</v>
      </c>
      <c r="C1233" s="67" t="n">
        <v>2044</v>
      </c>
      <c r="D1233" t="s">
        <v>366</v>
      </c>
      <c r="E1233" s="68" t="n">
        <v>43259.5976574452</v>
      </c>
      <c r="F1233" s="69" t="n">
        <v>7655.30513578097</v>
      </c>
      <c r="G1233" s="70" t="n">
        <v>43202.6300388595</v>
      </c>
      <c r="H1233" s="71" t="n">
        <v>7652.72182573668</v>
      </c>
      <c r="I1233" s="72" t="str">
        <f>H1233-F1233</f>
      </c>
      <c r="J1233" s="73" t="str">
        <f>G1233-E1233</f>
      </c>
    </row>
    <row r="1234">
      <c r="A1234" t="s">
        <v>76</v>
      </c>
      <c r="B1234" t="s">
        <v>367</v>
      </c>
      <c r="C1234" s="67" t="n">
        <v>2045</v>
      </c>
      <c r="D1234" t="s">
        <v>169</v>
      </c>
      <c r="E1234" s="68" t="n">
        <v>22309.6463914073</v>
      </c>
      <c r="F1234" s="69" t="n">
        <v>15398.8992247197</v>
      </c>
      <c r="G1234" s="70" t="n">
        <v>21717.6165215297</v>
      </c>
      <c r="H1234" s="71" t="n">
        <v>15148.2979562423</v>
      </c>
      <c r="I1234" s="72" t="str">
        <f>H1234-F1234</f>
      </c>
      <c r="J1234" s="73" t="str">
        <f>G1234-E1234</f>
      </c>
    </row>
    <row r="1235">
      <c r="A1235" t="s">
        <v>76</v>
      </c>
      <c r="B1235" t="s">
        <v>367</v>
      </c>
      <c r="C1235" s="67" t="n">
        <v>2045</v>
      </c>
      <c r="D1235" t="s">
        <v>208</v>
      </c>
      <c r="E1235" s="68" t="n">
        <v>1137348.06420482</v>
      </c>
      <c r="F1235" s="69" t="n">
        <v>280820.778373708</v>
      </c>
      <c r="G1235" s="70" t="n">
        <v>1224668.96644768</v>
      </c>
      <c r="H1235" s="71" t="n">
        <v>287925.043222784</v>
      </c>
      <c r="I1235" s="72" t="str">
        <f>H1235-F1235</f>
      </c>
      <c r="J1235" s="73" t="str">
        <f>G1235-E1235</f>
      </c>
    </row>
    <row r="1236">
      <c r="A1236" t="s">
        <v>76</v>
      </c>
      <c r="B1236" t="s">
        <v>367</v>
      </c>
      <c r="C1236" s="67" t="n">
        <v>2045</v>
      </c>
      <c r="D1236" t="s">
        <v>176</v>
      </c>
      <c r="E1236" s="68" t="n">
        <v>143303.820753204</v>
      </c>
      <c r="F1236" s="69" t="n">
        <v>96057.9725625743</v>
      </c>
      <c r="G1236" s="70" t="n">
        <v>152338.052815886</v>
      </c>
      <c r="H1236" s="71" t="n">
        <v>102935.314985138</v>
      </c>
      <c r="I1236" s="72" t="str">
        <f>H1236-F1236</f>
      </c>
      <c r="J1236" s="73" t="str">
        <f>G1236-E1236</f>
      </c>
    </row>
    <row r="1237">
      <c r="A1237" t="s">
        <v>76</v>
      </c>
      <c r="B1237" t="s">
        <v>367</v>
      </c>
      <c r="C1237" s="67" t="n">
        <v>2045</v>
      </c>
      <c r="D1237" t="s">
        <v>180</v>
      </c>
      <c r="E1237" s="68" t="n">
        <v>432111.79032777</v>
      </c>
      <c r="F1237" s="69" t="n">
        <v>402987.920573877</v>
      </c>
      <c r="G1237" s="70" t="n">
        <v>483723.516122198</v>
      </c>
      <c r="H1237" s="71" t="n">
        <v>449717.558047709</v>
      </c>
      <c r="I1237" s="72" t="str">
        <f>H1237-F1237</f>
      </c>
      <c r="J1237" s="73" t="str">
        <f>G1237-E1237</f>
      </c>
    </row>
    <row r="1238">
      <c r="A1238" t="s">
        <v>76</v>
      </c>
      <c r="B1238" t="s">
        <v>367</v>
      </c>
      <c r="C1238" s="67" t="n">
        <v>2045</v>
      </c>
      <c r="D1238" t="s">
        <v>183</v>
      </c>
      <c r="E1238" s="68" t="n">
        <v>686307.176198234</v>
      </c>
      <c r="F1238" s="69" t="n">
        <v>459194.239697918</v>
      </c>
      <c r="G1238" s="70" t="n">
        <v>831470.210098177</v>
      </c>
      <c r="H1238" s="71" t="n">
        <v>529994.226959208</v>
      </c>
      <c r="I1238" s="72" t="str">
        <f>H1238-F1238</f>
      </c>
      <c r="J1238" s="73" t="str">
        <f>G1238-E1238</f>
      </c>
    </row>
    <row r="1239">
      <c r="A1239" t="s">
        <v>76</v>
      </c>
      <c r="B1239" t="s">
        <v>367</v>
      </c>
      <c r="C1239" s="67" t="n">
        <v>2045</v>
      </c>
      <c r="D1239" t="s">
        <v>186</v>
      </c>
      <c r="E1239" s="68" t="n">
        <v>560265.169972437</v>
      </c>
      <c r="F1239" s="69" t="n">
        <v>347119.269588481</v>
      </c>
      <c r="G1239" s="70" t="n">
        <v>645730.44769896</v>
      </c>
      <c r="H1239" s="71" t="n">
        <v>387750.678781898</v>
      </c>
      <c r="I1239" s="72" t="str">
        <f>H1239-F1239</f>
      </c>
      <c r="J1239" s="73" t="str">
        <f>G1239-E1239</f>
      </c>
    </row>
    <row r="1240">
      <c r="A1240" t="s">
        <v>76</v>
      </c>
      <c r="B1240" t="s">
        <v>367</v>
      </c>
      <c r="C1240" s="67" t="n">
        <v>2045</v>
      </c>
      <c r="D1240" t="s">
        <v>366</v>
      </c>
      <c r="E1240" s="68" t="n">
        <v>43253.5705044648</v>
      </c>
      <c r="F1240" s="69" t="n">
        <v>7675.03847411807</v>
      </c>
      <c r="G1240" s="70" t="n">
        <v>43190.6037513161</v>
      </c>
      <c r="H1240" s="71" t="n">
        <v>7672.06822678464</v>
      </c>
      <c r="I1240" s="72" t="str">
        <f>H1240-F1240</f>
      </c>
      <c r="J1240" s="73" t="str">
        <f>G1240-E1240</f>
      </c>
    </row>
    <row r="1241">
      <c r="A1241" t="s">
        <v>76</v>
      </c>
      <c r="B1241" t="s">
        <v>367</v>
      </c>
      <c r="C1241" s="67" t="n">
        <v>2046</v>
      </c>
      <c r="D1241" t="s">
        <v>169</v>
      </c>
      <c r="E1241" s="68" t="n">
        <v>22871.5930705517</v>
      </c>
      <c r="F1241" s="69" t="n">
        <v>15721.5212779379</v>
      </c>
      <c r="G1241" s="70" t="n">
        <v>22210.9745219107</v>
      </c>
      <c r="H1241" s="71" t="n">
        <v>15436.8918612077</v>
      </c>
      <c r="I1241" s="72" t="str">
        <f>H1241-F1241</f>
      </c>
      <c r="J1241" s="73" t="str">
        <f>G1241-E1241</f>
      </c>
    </row>
    <row r="1242">
      <c r="A1242" t="s">
        <v>76</v>
      </c>
      <c r="B1242" t="s">
        <v>367</v>
      </c>
      <c r="C1242" s="67" t="n">
        <v>2046</v>
      </c>
      <c r="D1242" t="s">
        <v>208</v>
      </c>
      <c r="E1242" s="68" t="n">
        <v>1141096.58211117</v>
      </c>
      <c r="F1242" s="69" t="n">
        <v>287430.938316448</v>
      </c>
      <c r="G1242" s="70" t="n">
        <v>1230125.0687767</v>
      </c>
      <c r="H1242" s="71" t="n">
        <v>295165.877208802</v>
      </c>
      <c r="I1242" s="72" t="str">
        <f>H1242-F1242</f>
      </c>
      <c r="J1242" s="73" t="str">
        <f>G1242-E1242</f>
      </c>
    </row>
    <row r="1243">
      <c r="A1243" t="s">
        <v>76</v>
      </c>
      <c r="B1243" t="s">
        <v>367</v>
      </c>
      <c r="C1243" s="67" t="n">
        <v>2046</v>
      </c>
      <c r="D1243" t="s">
        <v>176</v>
      </c>
      <c r="E1243" s="68" t="n">
        <v>146006.401729633</v>
      </c>
      <c r="F1243" s="69" t="n">
        <v>97835.6779026091</v>
      </c>
      <c r="G1243" s="70" t="n">
        <v>154919.185199882</v>
      </c>
      <c r="H1243" s="71" t="n">
        <v>104731.133984312</v>
      </c>
      <c r="I1243" s="72" t="str">
        <f>H1243-F1243</f>
      </c>
      <c r="J1243" s="73" t="str">
        <f>G1243-E1243</f>
      </c>
    </row>
    <row r="1244">
      <c r="A1244" t="s">
        <v>76</v>
      </c>
      <c r="B1244" t="s">
        <v>367</v>
      </c>
      <c r="C1244" s="67" t="n">
        <v>2046</v>
      </c>
      <c r="D1244" t="s">
        <v>180</v>
      </c>
      <c r="E1244" s="68" t="n">
        <v>437380.528595268</v>
      </c>
      <c r="F1244" s="69" t="n">
        <v>407813.476648788</v>
      </c>
      <c r="G1244" s="70" t="n">
        <v>489559.569488497</v>
      </c>
      <c r="H1244" s="71" t="n">
        <v>455310.080020589</v>
      </c>
      <c r="I1244" s="72" t="str">
        <f>H1244-F1244</f>
      </c>
      <c r="J1244" s="73" t="str">
        <f>G1244-E1244</f>
      </c>
    </row>
    <row r="1245">
      <c r="A1245" t="s">
        <v>76</v>
      </c>
      <c r="B1245" t="s">
        <v>367</v>
      </c>
      <c r="C1245" s="67" t="n">
        <v>2046</v>
      </c>
      <c r="D1245" t="s">
        <v>183</v>
      </c>
      <c r="E1245" s="68" t="n">
        <v>693769.287142589</v>
      </c>
      <c r="F1245" s="69" t="n">
        <v>464058.336999076</v>
      </c>
      <c r="G1245" s="70" t="n">
        <v>842022.211146035</v>
      </c>
      <c r="H1245" s="71" t="n">
        <v>538440.168228285</v>
      </c>
      <c r="I1245" s="72" t="str">
        <f>H1245-F1245</f>
      </c>
      <c r="J1245" s="73" t="str">
        <f>G1245-E1245</f>
      </c>
    </row>
    <row r="1246">
      <c r="A1246" t="s">
        <v>76</v>
      </c>
      <c r="B1246" t="s">
        <v>367</v>
      </c>
      <c r="C1246" s="67" t="n">
        <v>2046</v>
      </c>
      <c r="D1246" t="s">
        <v>186</v>
      </c>
      <c r="E1246" s="68" t="n">
        <v>569063.652896169</v>
      </c>
      <c r="F1246" s="69" t="n">
        <v>354873.500938579</v>
      </c>
      <c r="G1246" s="70" t="n">
        <v>656023.203848247</v>
      </c>
      <c r="H1246" s="71" t="n">
        <v>397431.950602612</v>
      </c>
      <c r="I1246" s="72" t="str">
        <f>H1246-F1246</f>
      </c>
      <c r="J1246" s="73" t="str">
        <f>G1246-E1246</f>
      </c>
    </row>
    <row r="1247">
      <c r="A1247" t="s">
        <v>76</v>
      </c>
      <c r="B1247" t="s">
        <v>367</v>
      </c>
      <c r="C1247" s="67" t="n">
        <v>2046</v>
      </c>
      <c r="D1247" t="s">
        <v>366</v>
      </c>
      <c r="E1247" s="68" t="n">
        <v>43265.5061502875</v>
      </c>
      <c r="F1247" s="69" t="n">
        <v>7696.94333782449</v>
      </c>
      <c r="G1247" s="70" t="n">
        <v>43196.3103231123</v>
      </c>
      <c r="H1247" s="71" t="n">
        <v>7693.55704865625</v>
      </c>
      <c r="I1247" s="72" t="str">
        <f>H1247-F1247</f>
      </c>
      <c r="J1247" s="73" t="str">
        <f>G1247-E1247</f>
      </c>
    </row>
    <row r="1248">
      <c r="A1248" t="s">
        <v>76</v>
      </c>
      <c r="B1248" t="s">
        <v>367</v>
      </c>
      <c r="C1248" s="67" t="n">
        <v>2047</v>
      </c>
      <c r="D1248" t="s">
        <v>169</v>
      </c>
      <c r="E1248" s="68" t="n">
        <v>23432.864823644</v>
      </c>
      <c r="F1248" s="69" t="n">
        <v>16049.7248336267</v>
      </c>
      <c r="G1248" s="70" t="n">
        <v>22699.6629629007</v>
      </c>
      <c r="H1248" s="71" t="n">
        <v>15728.4854947303</v>
      </c>
      <c r="I1248" s="72" t="str">
        <f>H1248-F1248</f>
      </c>
      <c r="J1248" s="73" t="str">
        <f>G1248-E1248</f>
      </c>
    </row>
    <row r="1249">
      <c r="A1249" t="s">
        <v>76</v>
      </c>
      <c r="B1249" t="s">
        <v>367</v>
      </c>
      <c r="C1249" s="67" t="n">
        <v>2047</v>
      </c>
      <c r="D1249" t="s">
        <v>208</v>
      </c>
      <c r="E1249" s="68" t="n">
        <v>1144717.31353023</v>
      </c>
      <c r="F1249" s="69" t="n">
        <v>293806.29668103</v>
      </c>
      <c r="G1249" s="70" t="n">
        <v>1235274.66521773</v>
      </c>
      <c r="H1249" s="71" t="n">
        <v>302180.550312501</v>
      </c>
      <c r="I1249" s="72" t="str">
        <f>H1249-F1249</f>
      </c>
      <c r="J1249" s="73" t="str">
        <f>G1249-E1249</f>
      </c>
    </row>
    <row r="1250">
      <c r="A1250" t="s">
        <v>76</v>
      </c>
      <c r="B1250" t="s">
        <v>367</v>
      </c>
      <c r="C1250" s="67" t="n">
        <v>2047</v>
      </c>
      <c r="D1250" t="s">
        <v>176</v>
      </c>
      <c r="E1250" s="68" t="n">
        <v>148665.00979365</v>
      </c>
      <c r="F1250" s="69" t="n">
        <v>99591.2650511289</v>
      </c>
      <c r="G1250" s="70" t="n">
        <v>157435.937342911</v>
      </c>
      <c r="H1250" s="71" t="n">
        <v>106487.677760342</v>
      </c>
      <c r="I1250" s="72" t="str">
        <f>H1250-F1250</f>
      </c>
      <c r="J1250" s="73" t="str">
        <f>G1250-E1250</f>
      </c>
    </row>
    <row r="1251">
      <c r="A1251" t="s">
        <v>76</v>
      </c>
      <c r="B1251" t="s">
        <v>367</v>
      </c>
      <c r="C1251" s="67" t="n">
        <v>2047</v>
      </c>
      <c r="D1251" t="s">
        <v>180</v>
      </c>
      <c r="E1251" s="68" t="n">
        <v>442385.671559003</v>
      </c>
      <c r="F1251" s="69" t="n">
        <v>412368.644984319</v>
      </c>
      <c r="G1251" s="70" t="n">
        <v>495047.331680699</v>
      </c>
      <c r="H1251" s="71" t="n">
        <v>460539.427749469</v>
      </c>
      <c r="I1251" s="72" t="str">
        <f>H1251-F1251</f>
      </c>
      <c r="J1251" s="73" t="str">
        <f>G1251-E1251</f>
      </c>
    </row>
    <row r="1252">
      <c r="A1252" t="s">
        <v>76</v>
      </c>
      <c r="B1252" t="s">
        <v>367</v>
      </c>
      <c r="C1252" s="67" t="n">
        <v>2047</v>
      </c>
      <c r="D1252" t="s">
        <v>183</v>
      </c>
      <c r="E1252" s="68" t="n">
        <v>701192.249088301</v>
      </c>
      <c r="F1252" s="69" t="n">
        <v>469023.954591591</v>
      </c>
      <c r="G1252" s="70" t="n">
        <v>852357.036896631</v>
      </c>
      <c r="H1252" s="71" t="n">
        <v>546892.884748123</v>
      </c>
      <c r="I1252" s="72" t="str">
        <f>H1252-F1252</f>
      </c>
      <c r="J1252" s="73" t="str">
        <f>G1252-E1252</f>
      </c>
    </row>
    <row r="1253">
      <c r="A1253" t="s">
        <v>76</v>
      </c>
      <c r="B1253" t="s">
        <v>367</v>
      </c>
      <c r="C1253" s="67" t="n">
        <v>2047</v>
      </c>
      <c r="D1253" t="s">
        <v>186</v>
      </c>
      <c r="E1253" s="68" t="n">
        <v>577650.139683241</v>
      </c>
      <c r="F1253" s="69" t="n">
        <v>362531.289324708</v>
      </c>
      <c r="G1253" s="70" t="n">
        <v>665960.530537607</v>
      </c>
      <c r="H1253" s="71" t="n">
        <v>406938.309858621</v>
      </c>
      <c r="I1253" s="72" t="str">
        <f>H1253-F1253</f>
      </c>
      <c r="J1253" s="73" t="str">
        <f>G1253-E1253</f>
      </c>
    </row>
    <row r="1254">
      <c r="A1254" t="s">
        <v>76</v>
      </c>
      <c r="B1254" t="s">
        <v>367</v>
      </c>
      <c r="C1254" s="67" t="n">
        <v>2047</v>
      </c>
      <c r="D1254" t="s">
        <v>366</v>
      </c>
      <c r="E1254" s="68" t="n">
        <v>43293.2977910828</v>
      </c>
      <c r="F1254" s="69" t="n">
        <v>7720.09590462133</v>
      </c>
      <c r="G1254" s="70" t="n">
        <v>43217.6341923504</v>
      </c>
      <c r="H1254" s="71" t="n">
        <v>7716.26452507886</v>
      </c>
      <c r="I1254" s="72" t="str">
        <f>H1254-F1254</f>
      </c>
      <c r="J1254" s="73" t="str">
        <f>G1254-E1254</f>
      </c>
    </row>
    <row r="1255">
      <c r="A1255" t="s">
        <v>76</v>
      </c>
      <c r="B1255" t="s">
        <v>367</v>
      </c>
      <c r="C1255" s="67" t="n">
        <v>2048</v>
      </c>
      <c r="D1255" t="s">
        <v>169</v>
      </c>
      <c r="E1255" s="68" t="n">
        <v>23989.4324331695</v>
      </c>
      <c r="F1255" s="69" t="n">
        <v>16385.5021861952</v>
      </c>
      <c r="G1255" s="70" t="n">
        <v>23179.7775298232</v>
      </c>
      <c r="H1255" s="71" t="n">
        <v>16025.2187605858</v>
      </c>
      <c r="I1255" s="72" t="str">
        <f>H1255-F1255</f>
      </c>
      <c r="J1255" s="73" t="str">
        <f>G1255-E1255</f>
      </c>
    </row>
    <row r="1256">
      <c r="A1256" t="s">
        <v>76</v>
      </c>
      <c r="B1256" t="s">
        <v>367</v>
      </c>
      <c r="C1256" s="67" t="n">
        <v>2048</v>
      </c>
      <c r="D1256" t="s">
        <v>208</v>
      </c>
      <c r="E1256" s="68" t="n">
        <v>1148283.49356805</v>
      </c>
      <c r="F1256" s="69" t="n">
        <v>299943.805024549</v>
      </c>
      <c r="G1256" s="70" t="n">
        <v>1240209.10376068</v>
      </c>
      <c r="H1256" s="71" t="n">
        <v>308964.310377282</v>
      </c>
      <c r="I1256" s="72" t="str">
        <f>H1256-F1256</f>
      </c>
      <c r="J1256" s="73" t="str">
        <f>G1256-E1256</f>
      </c>
    </row>
    <row r="1257">
      <c r="A1257" t="s">
        <v>76</v>
      </c>
      <c r="B1257" t="s">
        <v>367</v>
      </c>
      <c r="C1257" s="67" t="n">
        <v>2048</v>
      </c>
      <c r="D1257" t="s">
        <v>176</v>
      </c>
      <c r="E1257" s="68" t="n">
        <v>151268.528448399</v>
      </c>
      <c r="F1257" s="69" t="n">
        <v>101323.776392808</v>
      </c>
      <c r="G1257" s="70" t="n">
        <v>159877.069557409</v>
      </c>
      <c r="H1257" s="71" t="n">
        <v>108205.309376064</v>
      </c>
      <c r="I1257" s="72" t="str">
        <f>H1257-F1257</f>
      </c>
      <c r="J1257" s="73" t="str">
        <f>G1257-E1257</f>
      </c>
    </row>
    <row r="1258">
      <c r="A1258" t="s">
        <v>76</v>
      </c>
      <c r="B1258" t="s">
        <v>367</v>
      </c>
      <c r="C1258" s="67" t="n">
        <v>2048</v>
      </c>
      <c r="D1258" t="s">
        <v>180</v>
      </c>
      <c r="E1258" s="68" t="n">
        <v>447182.660974383</v>
      </c>
      <c r="F1258" s="69" t="n">
        <v>416787.293262062</v>
      </c>
      <c r="G1258" s="70" t="n">
        <v>500251.963676638</v>
      </c>
      <c r="H1258" s="71" t="n">
        <v>465558.478994868</v>
      </c>
      <c r="I1258" s="72" t="str">
        <f>H1258-F1258</f>
      </c>
      <c r="J1258" s="73" t="str">
        <f>G1258-E1258</f>
      </c>
    </row>
    <row r="1259">
      <c r="A1259" t="s">
        <v>76</v>
      </c>
      <c r="B1259" t="s">
        <v>367</v>
      </c>
      <c r="C1259" s="67" t="n">
        <v>2048</v>
      </c>
      <c r="D1259" t="s">
        <v>183</v>
      </c>
      <c r="E1259" s="68" t="n">
        <v>708528.069767041</v>
      </c>
      <c r="F1259" s="69" t="n">
        <v>473979.482903889</v>
      </c>
      <c r="G1259" s="70" t="n">
        <v>862421.197666068</v>
      </c>
      <c r="H1259" s="71" t="n">
        <v>555219.254274076</v>
      </c>
      <c r="I1259" s="72" t="str">
        <f>H1259-F1259</f>
      </c>
      <c r="J1259" s="73" t="str">
        <f>G1259-E1259</f>
      </c>
    </row>
    <row r="1260">
      <c r="A1260" t="s">
        <v>76</v>
      </c>
      <c r="B1260" t="s">
        <v>367</v>
      </c>
      <c r="C1260" s="67" t="n">
        <v>2048</v>
      </c>
      <c r="D1260" t="s">
        <v>186</v>
      </c>
      <c r="E1260" s="68" t="n">
        <v>586017.149444551</v>
      </c>
      <c r="F1260" s="69" t="n">
        <v>370055.275540837</v>
      </c>
      <c r="G1260" s="70" t="n">
        <v>675538.067131439</v>
      </c>
      <c r="H1260" s="71" t="n">
        <v>416221.145643516</v>
      </c>
      <c r="I1260" s="72" t="str">
        <f>H1260-F1260</f>
      </c>
      <c r="J1260" s="73" t="str">
        <f>G1260-E1260</f>
      </c>
    </row>
    <row r="1261">
      <c r="A1261" t="s">
        <v>76</v>
      </c>
      <c r="B1261" t="s">
        <v>367</v>
      </c>
      <c r="C1261" s="67" t="n">
        <v>2048</v>
      </c>
      <c r="D1261" t="s">
        <v>366</v>
      </c>
      <c r="E1261" s="68" t="n">
        <v>43329.4699446535</v>
      </c>
      <c r="F1261" s="69" t="n">
        <v>7745.27477552547</v>
      </c>
      <c r="G1261" s="70" t="n">
        <v>43247.1165682685</v>
      </c>
      <c r="H1261" s="71" t="n">
        <v>7740.96823230914</v>
      </c>
      <c r="I1261" s="72" t="str">
        <f>H1261-F1261</f>
      </c>
      <c r="J1261" s="73" t="str">
        <f>G1261-E1261</f>
      </c>
    </row>
    <row r="1262">
      <c r="A1262" t="s">
        <v>76</v>
      </c>
      <c r="B1262" t="s">
        <v>367</v>
      </c>
      <c r="C1262" s="67" t="n">
        <v>2049</v>
      </c>
      <c r="D1262" t="s">
        <v>169</v>
      </c>
      <c r="E1262" s="68" t="n">
        <v>24540.0975942708</v>
      </c>
      <c r="F1262" s="69" t="n">
        <v>16724.3376284013</v>
      </c>
      <c r="G1262" s="70" t="n">
        <v>23650.3614840449</v>
      </c>
      <c r="H1262" s="71" t="n">
        <v>16322.61151708</v>
      </c>
      <c r="I1262" s="72" t="str">
        <f>H1262-F1262</f>
      </c>
      <c r="J1262" s="73" t="str">
        <f>G1262-E1262</f>
      </c>
    </row>
    <row r="1263">
      <c r="A1263" t="s">
        <v>76</v>
      </c>
      <c r="B1263" t="s">
        <v>367</v>
      </c>
      <c r="C1263" s="67" t="n">
        <v>2049</v>
      </c>
      <c r="D1263" t="s">
        <v>208</v>
      </c>
      <c r="E1263" s="68" t="n">
        <v>1151813.83856158</v>
      </c>
      <c r="F1263" s="69" t="n">
        <v>305856.955867294</v>
      </c>
      <c r="G1263" s="70" t="n">
        <v>1244958.37630862</v>
      </c>
      <c r="H1263" s="71" t="n">
        <v>315528.654574656</v>
      </c>
      <c r="I1263" s="72" t="str">
        <f>H1263-F1263</f>
      </c>
      <c r="J1263" s="73" t="str">
        <f>G1263-E1263</f>
      </c>
    </row>
    <row r="1264">
      <c r="A1264" t="s">
        <v>76</v>
      </c>
      <c r="B1264" t="s">
        <v>367</v>
      </c>
      <c r="C1264" s="67" t="n">
        <v>2049</v>
      </c>
      <c r="D1264" t="s">
        <v>176</v>
      </c>
      <c r="E1264" s="68" t="n">
        <v>153811.902489335</v>
      </c>
      <c r="F1264" s="69" t="n">
        <v>103030.445046268</v>
      </c>
      <c r="G1264" s="70" t="n">
        <v>162238.134685625</v>
      </c>
      <c r="H1264" s="71" t="n">
        <v>109882.371148655</v>
      </c>
      <c r="I1264" s="72" t="str">
        <f>H1264-F1264</f>
      </c>
      <c r="J1264" s="73" t="str">
        <f>G1264-E1264</f>
      </c>
    </row>
    <row r="1265">
      <c r="A1265" t="s">
        <v>76</v>
      </c>
      <c r="B1265" t="s">
        <v>367</v>
      </c>
      <c r="C1265" s="67" t="n">
        <v>2049</v>
      </c>
      <c r="D1265" t="s">
        <v>180</v>
      </c>
      <c r="E1265" s="68" t="n">
        <v>451806.643423835</v>
      </c>
      <c r="F1265" s="69" t="n">
        <v>421080.395007699</v>
      </c>
      <c r="G1265" s="70" t="n">
        <v>505215.900508139</v>
      </c>
      <c r="H1265" s="71" t="n">
        <v>470383.880162835</v>
      </c>
      <c r="I1265" s="72" t="str">
        <f>H1265-F1265</f>
      </c>
      <c r="J1265" s="73" t="str">
        <f>G1265-E1265</f>
      </c>
    </row>
    <row r="1266">
      <c r="A1266" t="s">
        <v>76</v>
      </c>
      <c r="B1266" t="s">
        <v>367</v>
      </c>
      <c r="C1266" s="67" t="n">
        <v>2049</v>
      </c>
      <c r="D1266" t="s">
        <v>183</v>
      </c>
      <c r="E1266" s="68" t="n">
        <v>715630.443466544</v>
      </c>
      <c r="F1266" s="69" t="n">
        <v>478861.780540812</v>
      </c>
      <c r="G1266" s="70" t="n">
        <v>872039.412561908</v>
      </c>
      <c r="H1266" s="71" t="n">
        <v>563337.765593671</v>
      </c>
      <c r="I1266" s="72" t="str">
        <f>H1266-F1266</f>
      </c>
      <c r="J1266" s="73" t="str">
        <f>G1266-E1266</f>
      </c>
    </row>
    <row r="1267">
      <c r="A1267" t="s">
        <v>76</v>
      </c>
      <c r="B1267" t="s">
        <v>367</v>
      </c>
      <c r="C1267" s="67" t="n">
        <v>2049</v>
      </c>
      <c r="D1267" t="s">
        <v>186</v>
      </c>
      <c r="E1267" s="68" t="n">
        <v>594197.670420652</v>
      </c>
      <c r="F1267" s="69" t="n">
        <v>377388.170814914</v>
      </c>
      <c r="G1267" s="70" t="n">
        <v>684799.519243418</v>
      </c>
      <c r="H1267" s="71" t="n">
        <v>425211.294806661</v>
      </c>
      <c r="I1267" s="72" t="str">
        <f>H1267-F1267</f>
      </c>
      <c r="J1267" s="73" t="str">
        <f>G1267-E1267</f>
      </c>
    </row>
    <row r="1268">
      <c r="A1268" t="s">
        <v>76</v>
      </c>
      <c r="B1268" t="s">
        <v>367</v>
      </c>
      <c r="C1268" s="67" t="n">
        <v>2049</v>
      </c>
      <c r="D1268" t="s">
        <v>366</v>
      </c>
      <c r="E1268" s="68" t="n">
        <v>43376.9333173366</v>
      </c>
      <c r="F1268" s="69" t="n">
        <v>7769.23744642319</v>
      </c>
      <c r="G1268" s="70" t="n">
        <v>43287.6941181752</v>
      </c>
      <c r="H1268" s="71" t="n">
        <v>7764.42505773382</v>
      </c>
      <c r="I1268" s="72" t="str">
        <f>H1268-F1268</f>
      </c>
      <c r="J1268" s="73" t="str">
        <f>G1268-E1268</f>
      </c>
    </row>
    <row r="1269">
      <c r="A1269" t="s">
        <v>76</v>
      </c>
      <c r="B1269" t="s">
        <v>367</v>
      </c>
      <c r="C1269" s="67" t="n">
        <v>2050</v>
      </c>
      <c r="D1269" t="s">
        <v>169</v>
      </c>
      <c r="E1269" s="68" t="n">
        <v>25083.6525648456</v>
      </c>
      <c r="F1269" s="69" t="n">
        <v>17064.4016004903</v>
      </c>
      <c r="G1269" s="70" t="n">
        <v>24110.4306261692</v>
      </c>
      <c r="H1269" s="71" t="n">
        <v>16618.9237091261</v>
      </c>
      <c r="I1269" s="72" t="str">
        <f>H1269-F1269</f>
      </c>
      <c r="J1269" s="73" t="str">
        <f>G1269-E1269</f>
      </c>
    </row>
    <row r="1270">
      <c r="A1270" t="s">
        <v>76</v>
      </c>
      <c r="B1270" t="s">
        <v>367</v>
      </c>
      <c r="C1270" s="67" t="n">
        <v>2050</v>
      </c>
      <c r="D1270" t="s">
        <v>208</v>
      </c>
      <c r="E1270" s="68" t="n">
        <v>1155347.41207557</v>
      </c>
      <c r="F1270" s="69" t="n">
        <v>311540.222631016</v>
      </c>
      <c r="G1270" s="70" t="n">
        <v>1249574.98129843</v>
      </c>
      <c r="H1270" s="71" t="n">
        <v>321866.145423905</v>
      </c>
      <c r="I1270" s="72" t="str">
        <f>H1270-F1270</f>
      </c>
      <c r="J1270" s="73" t="str">
        <f>G1270-E1270</f>
      </c>
    </row>
    <row r="1271">
      <c r="A1271" t="s">
        <v>76</v>
      </c>
      <c r="B1271" t="s">
        <v>367</v>
      </c>
      <c r="C1271" s="67" t="n">
        <v>2050</v>
      </c>
      <c r="D1271" t="s">
        <v>176</v>
      </c>
      <c r="E1271" s="68" t="n">
        <v>156301.599066388</v>
      </c>
      <c r="F1271" s="69" t="n">
        <v>104689.09433264</v>
      </c>
      <c r="G1271" s="70" t="n">
        <v>164526.94959842</v>
      </c>
      <c r="H1271" s="71" t="n">
        <v>111496.260054028</v>
      </c>
      <c r="I1271" s="72" t="str">
        <f>H1271-F1271</f>
      </c>
      <c r="J1271" s="73" t="str">
        <f>G1271-E1271</f>
      </c>
    </row>
    <row r="1272">
      <c r="A1272" t="s">
        <v>76</v>
      </c>
      <c r="B1272" t="s">
        <v>367</v>
      </c>
      <c r="C1272" s="67" t="n">
        <v>2050</v>
      </c>
      <c r="D1272" t="s">
        <v>180</v>
      </c>
      <c r="E1272" s="68" t="n">
        <v>456241.942945444</v>
      </c>
      <c r="F1272" s="69" t="n">
        <v>425135.945106935</v>
      </c>
      <c r="G1272" s="70" t="n">
        <v>509923.794653266</v>
      </c>
      <c r="H1272" s="71" t="n">
        <v>474893.254554943</v>
      </c>
      <c r="I1272" s="72" t="str">
        <f>H1272-F1272</f>
      </c>
      <c r="J1272" s="73" t="str">
        <f>G1272-E1272</f>
      </c>
    </row>
    <row r="1273">
      <c r="A1273" t="s">
        <v>76</v>
      </c>
      <c r="B1273" t="s">
        <v>367</v>
      </c>
      <c r="C1273" s="67" t="n">
        <v>2050</v>
      </c>
      <c r="D1273" t="s">
        <v>183</v>
      </c>
      <c r="E1273" s="68" t="n">
        <v>722499.383865865</v>
      </c>
      <c r="F1273" s="69" t="n">
        <v>483719.945054692</v>
      </c>
      <c r="G1273" s="70" t="n">
        <v>881220.210178615</v>
      </c>
      <c r="H1273" s="71" t="n">
        <v>571305.130665456</v>
      </c>
      <c r="I1273" s="72" t="str">
        <f>H1273-F1273</f>
      </c>
      <c r="J1273" s="73" t="str">
        <f>G1273-E1273</f>
      </c>
    </row>
    <row r="1274">
      <c r="A1274" t="s">
        <v>76</v>
      </c>
      <c r="B1274" t="s">
        <v>367</v>
      </c>
      <c r="C1274" s="67" t="n">
        <v>2050</v>
      </c>
      <c r="D1274" t="s">
        <v>186</v>
      </c>
      <c r="E1274" s="68" t="n">
        <v>602262.600003015</v>
      </c>
      <c r="F1274" s="69" t="n">
        <v>384550.198959798</v>
      </c>
      <c r="G1274" s="70" t="n">
        <v>693833.375810026</v>
      </c>
      <c r="H1274" s="71" t="n">
        <v>433928.116842437</v>
      </c>
      <c r="I1274" s="72" t="str">
        <f>H1274-F1274</f>
      </c>
      <c r="J1274" s="73" t="str">
        <f>G1274-E1274</f>
      </c>
    </row>
    <row r="1275">
      <c r="A1275" t="s">
        <v>76</v>
      </c>
      <c r="B1275" t="s">
        <v>367</v>
      </c>
      <c r="C1275" s="67" t="n">
        <v>2050</v>
      </c>
      <c r="D1275" t="s">
        <v>366</v>
      </c>
      <c r="E1275" s="68" t="n">
        <v>43433.6332105208</v>
      </c>
      <c r="F1275" s="69" t="n">
        <v>7790.94124807154</v>
      </c>
      <c r="G1275" s="70" t="n">
        <v>43337.3340718481</v>
      </c>
      <c r="H1275" s="71" t="n">
        <v>7785.59251624651</v>
      </c>
      <c r="I1275" s="72" t="str">
        <f>H1275-F1275</f>
      </c>
      <c r="J1275" s="73" t="str">
        <f>G1275-E1275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6.71" hidden="0" customWidth="1"/>
    <col min="5" max="5" width="20.71" hidden="0" customWidth="1"/>
    <col min="6" max="6" width="15.71" hidden="0" customWidth="1"/>
    <col min="7" max="7" width="12.71" hidden="0" customWidth="1"/>
    <col min="8" max="8" width="28.71" hidden="0" customWidth="1"/>
    <col min="9" max="9" width="29.71" hidden="0" customWidth="1"/>
    <col min="10" max="10" width="20.71" hidden="0" customWidth="1"/>
    <col min="11" max="11" width="15.71" hidden="0" customWidth="1"/>
    <col min="12" max="12" width="14.71" hidden="0" customWidth="1"/>
    <col min="13" max="13" width="14.71" hidden="0" customWidth="1"/>
    <col min="14" max="14" width="16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17.71" hidden="0" customWidth="1"/>
    <col min="21" max="21" width="20.71" hidden="0" customWidth="1"/>
    <col min="22" max="22" width="20.71" hidden="0" customWidth="1"/>
    <col min="23" max="23" width="23.71" hidden="0" customWidth="1"/>
    <col min="24" max="24" width="25.71" hidden="0" customWidth="1"/>
    <col min="25" max="25" width="12.71" hidden="0" customWidth="1"/>
    <col min="26" max="26" width="15.71" hidden="0" customWidth="1"/>
    <col min="27" max="27" width="24.71" hidden="0" customWidth="1"/>
  </cols>
  <sheetData>
    <row r="1" ht="28" customHeight="1">
      <c r="A1" s="1" t="s">
        <v>357</v>
      </c>
      <c r="B1" s="1" t="s">
        <v>28</v>
      </c>
      <c r="C1" s="1" t="s">
        <v>143</v>
      </c>
      <c r="D1" s="1" t="s">
        <v>322</v>
      </c>
      <c r="E1" s="1" t="s">
        <v>323</v>
      </c>
      <c r="F1" s="1" t="s">
        <v>160</v>
      </c>
      <c r="G1" s="1" t="s">
        <v>324</v>
      </c>
      <c r="H1" s="1" t="s">
        <v>326</v>
      </c>
      <c r="I1" s="1" t="s">
        <v>327</v>
      </c>
      <c r="J1" s="1" t="s">
        <v>328</v>
      </c>
      <c r="K1" s="1" t="s">
        <v>329</v>
      </c>
      <c r="L1" s="1" t="s">
        <v>368</v>
      </c>
      <c r="M1" s="1" t="s">
        <v>369</v>
      </c>
      <c r="N1" s="1" t="s">
        <v>370</v>
      </c>
      <c r="O1" s="1" t="s">
        <v>371</v>
      </c>
      <c r="P1" s="1" t="s">
        <v>372</v>
      </c>
      <c r="Q1" s="1" t="s">
        <v>373</v>
      </c>
      <c r="R1" s="1" t="s">
        <v>374</v>
      </c>
      <c r="S1" s="1" t="s">
        <v>375</v>
      </c>
      <c r="T1" s="1" t="s">
        <v>376</v>
      </c>
      <c r="U1" s="1" t="s">
        <v>377</v>
      </c>
      <c r="V1" s="1" t="s">
        <v>378</v>
      </c>
      <c r="W1" s="1" t="s">
        <v>379</v>
      </c>
      <c r="X1" s="1" t="s">
        <v>331</v>
      </c>
      <c r="Y1" s="1" t="s">
        <v>330</v>
      </c>
      <c r="Z1" s="1" t="s">
        <v>161</v>
      </c>
      <c r="AA1" s="1" t="s">
        <v>380</v>
      </c>
    </row>
    <row r="2">
      <c r="A2" t="s">
        <v>164</v>
      </c>
      <c r="B2" s="74" t="n">
        <v>2025</v>
      </c>
      <c r="C2" t="s">
        <v>164</v>
      </c>
      <c r="D2" s="75" t="s">
        <v>335</v>
      </c>
      <c r="E2" s="76" t="s">
        <v>336</v>
      </c>
      <c r="F2" s="77" t="s">
        <v>172</v>
      </c>
      <c r="G2" s="78" t="s">
        <v>337</v>
      </c>
      <c r="H2" s="79" t="s">
        <v>339</v>
      </c>
      <c r="I2" s="80" t="n">
        <v>1</v>
      </c>
      <c r="J2" s="81" t="n">
        <v>1</v>
      </c>
      <c r="K2" s="82" t="n">
        <v>0.0056</v>
      </c>
      <c r="L2" s="83" t="n">
        <v>288000821.106462</v>
      </c>
      <c r="M2" s="84" t="n">
        <v>288000821.106462</v>
      </c>
      <c r="N2" s="85" t="str">
        <f>MIN(MAX((B2-'Calculation_Assumptions'!$B$5+1)/'Calculation_Assumptions'!$B$7,0),1)</f>
      </c>
      <c r="O2" s="86" t="str">
        <f>L2*I2</f>
      </c>
      <c r="P2" s="87" t="str">
        <f>M2*I2</f>
      </c>
      <c r="Q2" s="88" t="str">
        <f>P2*'Calculation_Assumptions'!$B$14*J2*K2</f>
      </c>
      <c r="R2" s="89" t="str">
        <f>O2*N2*J2*K2</f>
      </c>
      <c r="S2" s="90" t="str">
        <f>R2-Q2</f>
      </c>
      <c r="T2" s="91" t="str">
        <f>1/(1+'Calculation_Assumptions'!$B$8)^(B2-'Calculation_Assumptions'!$B$2)</f>
      </c>
      <c r="U2" s="92" t="str">
        <f>Q2*T2</f>
      </c>
      <c r="V2" s="93" t="str">
        <f>R2*T2</f>
      </c>
      <c r="W2" s="94" t="str">
        <f>S2*T2</f>
      </c>
      <c r="X2" t="n">
        <v>0</v>
      </c>
      <c r="Y2" s="95" t="n">
        <v>2017</v>
      </c>
      <c r="Z2" t="s">
        <v>266</v>
      </c>
      <c r="AA2" s="96" t="str">
        <f>IF(G2="shared-count-once",COUNTIFS($A$2:$A$313,A2,$B$2:$B$313,B2,$D$2:$D$313,D2),1)</f>
      </c>
    </row>
    <row r="3">
      <c r="A3" t="s">
        <v>164</v>
      </c>
      <c r="B3" s="74" t="n">
        <v>2026</v>
      </c>
      <c r="C3" t="s">
        <v>164</v>
      </c>
      <c r="D3" s="75" t="s">
        <v>335</v>
      </c>
      <c r="E3" s="76" t="s">
        <v>336</v>
      </c>
      <c r="F3" s="77" t="s">
        <v>172</v>
      </c>
      <c r="G3" s="78" t="s">
        <v>337</v>
      </c>
      <c r="H3" s="79" t="s">
        <v>339</v>
      </c>
      <c r="I3" s="80" t="n">
        <v>1</v>
      </c>
      <c r="J3" s="81" t="n">
        <v>1</v>
      </c>
      <c r="K3" s="82" t="n">
        <v>0.0056</v>
      </c>
      <c r="L3" s="83" t="n">
        <v>290123496.103219</v>
      </c>
      <c r="M3" s="84" t="n">
        <v>290123496.103219</v>
      </c>
      <c r="N3" s="85" t="str">
        <f>MIN(MAX((B3-'Calculation_Assumptions'!$B$5+1)/'Calculation_Assumptions'!$B$7,0),1)</f>
      </c>
      <c r="O3" s="86" t="str">
        <f>L3*I3</f>
      </c>
      <c r="P3" s="87" t="str">
        <f>M3*I3</f>
      </c>
      <c r="Q3" s="88" t="str">
        <f>P3*'Calculation_Assumptions'!$B$14*J3*K3</f>
      </c>
      <c r="R3" s="89" t="str">
        <f>O3*N3*J3*K3</f>
      </c>
      <c r="S3" s="90" t="str">
        <f>R3-Q3</f>
      </c>
      <c r="T3" s="91" t="str">
        <f>1/(1+'Calculation_Assumptions'!$B$8)^(B3-'Calculation_Assumptions'!$B$2)</f>
      </c>
      <c r="U3" s="92" t="str">
        <f>Q3*T3</f>
      </c>
      <c r="V3" s="93" t="str">
        <f>R3*T3</f>
      </c>
      <c r="W3" s="94" t="str">
        <f>S3*T3</f>
      </c>
      <c r="X3" t="n">
        <v>0</v>
      </c>
      <c r="Y3" s="95" t="n">
        <v>2017</v>
      </c>
      <c r="Z3" t="s">
        <v>266</v>
      </c>
      <c r="AA3" s="96" t="str">
        <f>IF(G3="shared-count-once",COUNTIFS($A$2:$A$313,A3,$B$2:$B$313,B3,$D$2:$D$313,D3),1)</f>
      </c>
    </row>
    <row r="4">
      <c r="A4" t="s">
        <v>164</v>
      </c>
      <c r="B4" s="74" t="n">
        <v>2027</v>
      </c>
      <c r="C4" t="s">
        <v>164</v>
      </c>
      <c r="D4" s="75" t="s">
        <v>335</v>
      </c>
      <c r="E4" s="76" t="s">
        <v>336</v>
      </c>
      <c r="F4" s="77" t="s">
        <v>172</v>
      </c>
      <c r="G4" s="78" t="s">
        <v>337</v>
      </c>
      <c r="H4" s="79" t="s">
        <v>339</v>
      </c>
      <c r="I4" s="80" t="n">
        <v>1</v>
      </c>
      <c r="J4" s="81" t="n">
        <v>1</v>
      </c>
      <c r="K4" s="82" t="n">
        <v>0.0056</v>
      </c>
      <c r="L4" s="83" t="n">
        <v>292252895.096956</v>
      </c>
      <c r="M4" s="84" t="n">
        <v>292252895.096956</v>
      </c>
      <c r="N4" s="85" t="str">
        <f>MIN(MAX((B4-'Calculation_Assumptions'!$B$5+1)/'Calculation_Assumptions'!$B$7,0),1)</f>
      </c>
      <c r="O4" s="86" t="str">
        <f>L4*I4</f>
      </c>
      <c r="P4" s="87" t="str">
        <f>M4*I4</f>
      </c>
      <c r="Q4" s="88" t="str">
        <f>P4*'Calculation_Assumptions'!$B$14*J4*K4</f>
      </c>
      <c r="R4" s="89" t="str">
        <f>O4*N4*J4*K4</f>
      </c>
      <c r="S4" s="90" t="str">
        <f>R4-Q4</f>
      </c>
      <c r="T4" s="91" t="str">
        <f>1/(1+'Calculation_Assumptions'!$B$8)^(B4-'Calculation_Assumptions'!$B$2)</f>
      </c>
      <c r="U4" s="92" t="str">
        <f>Q4*T4</f>
      </c>
      <c r="V4" s="93" t="str">
        <f>R4*T4</f>
      </c>
      <c r="W4" s="94" t="str">
        <f>S4*T4</f>
      </c>
      <c r="X4" t="n">
        <v>0</v>
      </c>
      <c r="Y4" s="95" t="n">
        <v>2017</v>
      </c>
      <c r="Z4" t="s">
        <v>266</v>
      </c>
      <c r="AA4" s="96" t="str">
        <f>IF(G4="shared-count-once",COUNTIFS($A$2:$A$313,A4,$B$2:$B$313,B4,$D$2:$D$313,D4),1)</f>
      </c>
    </row>
    <row r="5">
      <c r="A5" t="s">
        <v>164</v>
      </c>
      <c r="B5" s="74" t="n">
        <v>2028</v>
      </c>
      <c r="C5" t="s">
        <v>164</v>
      </c>
      <c r="D5" s="75" t="s">
        <v>335</v>
      </c>
      <c r="E5" s="76" t="s">
        <v>336</v>
      </c>
      <c r="F5" s="77" t="s">
        <v>172</v>
      </c>
      <c r="G5" s="78" t="s">
        <v>337</v>
      </c>
      <c r="H5" s="79" t="s">
        <v>339</v>
      </c>
      <c r="I5" s="80" t="n">
        <v>1</v>
      </c>
      <c r="J5" s="81" t="n">
        <v>1</v>
      </c>
      <c r="K5" s="82" t="n">
        <v>0.0056</v>
      </c>
      <c r="L5" s="83" t="n">
        <v>294314895.329368</v>
      </c>
      <c r="M5" s="84" t="n">
        <v>294314895.305465</v>
      </c>
      <c r="N5" s="85" t="str">
        <f>MIN(MAX((B5-'Calculation_Assumptions'!$B$5+1)/'Calculation_Assumptions'!$B$7,0),1)</f>
      </c>
      <c r="O5" s="86" t="str">
        <f>L5*I5</f>
      </c>
      <c r="P5" s="87" t="str">
        <f>M5*I5</f>
      </c>
      <c r="Q5" s="88" t="str">
        <f>P5*'Calculation_Assumptions'!$B$14*J5*K5</f>
      </c>
      <c r="R5" s="89" t="str">
        <f>O5*N5*J5*K5</f>
      </c>
      <c r="S5" s="90" t="str">
        <f>R5-Q5</f>
      </c>
      <c r="T5" s="91" t="str">
        <f>1/(1+'Calculation_Assumptions'!$B$8)^(B5-'Calculation_Assumptions'!$B$2)</f>
      </c>
      <c r="U5" s="92" t="str">
        <f>Q5*T5</f>
      </c>
      <c r="V5" s="93" t="str">
        <f>R5*T5</f>
      </c>
      <c r="W5" s="94" t="str">
        <f>S5*T5</f>
      </c>
      <c r="X5" t="n">
        <v>0</v>
      </c>
      <c r="Y5" s="95" t="n">
        <v>2017</v>
      </c>
      <c r="Z5" t="s">
        <v>266</v>
      </c>
      <c r="AA5" s="96" t="str">
        <f>IF(G5="shared-count-once",COUNTIFS($A$2:$A$313,A5,$B$2:$B$313,B5,$D$2:$D$313,D5),1)</f>
      </c>
    </row>
    <row r="6">
      <c r="A6" t="s">
        <v>164</v>
      </c>
      <c r="B6" s="74" t="n">
        <v>2029</v>
      </c>
      <c r="C6" t="s">
        <v>164</v>
      </c>
      <c r="D6" s="75" t="s">
        <v>335</v>
      </c>
      <c r="E6" s="76" t="s">
        <v>336</v>
      </c>
      <c r="F6" s="77" t="s">
        <v>172</v>
      </c>
      <c r="G6" s="78" t="s">
        <v>337</v>
      </c>
      <c r="H6" s="79" t="s">
        <v>339</v>
      </c>
      <c r="I6" s="80" t="n">
        <v>1</v>
      </c>
      <c r="J6" s="81" t="n">
        <v>1</v>
      </c>
      <c r="K6" s="82" t="n">
        <v>0.0056</v>
      </c>
      <c r="L6" s="83" t="n">
        <v>296341062.628977</v>
      </c>
      <c r="M6" s="84" t="n">
        <v>296341062.542853</v>
      </c>
      <c r="N6" s="85" t="str">
        <f>MIN(MAX((B6-'Calculation_Assumptions'!$B$5+1)/'Calculation_Assumptions'!$B$7,0),1)</f>
      </c>
      <c r="O6" s="86" t="str">
        <f>L6*I6</f>
      </c>
      <c r="P6" s="87" t="str">
        <f>M6*I6</f>
      </c>
      <c r="Q6" s="88" t="str">
        <f>P6*'Calculation_Assumptions'!$B$14*J6*K6</f>
      </c>
      <c r="R6" s="89" t="str">
        <f>O6*N6*J6*K6</f>
      </c>
      <c r="S6" s="90" t="str">
        <f>R6-Q6</f>
      </c>
      <c r="T6" s="91" t="str">
        <f>1/(1+'Calculation_Assumptions'!$B$8)^(B6-'Calculation_Assumptions'!$B$2)</f>
      </c>
      <c r="U6" s="92" t="str">
        <f>Q6*T6</f>
      </c>
      <c r="V6" s="93" t="str">
        <f>R6*T6</f>
      </c>
      <c r="W6" s="94" t="str">
        <f>S6*T6</f>
      </c>
      <c r="X6" t="n">
        <v>0</v>
      </c>
      <c r="Y6" s="95" t="n">
        <v>2017</v>
      </c>
      <c r="Z6" t="s">
        <v>266</v>
      </c>
      <c r="AA6" s="96" t="str">
        <f>IF(G6="shared-count-once",COUNTIFS($A$2:$A$313,A6,$B$2:$B$313,B6,$D$2:$D$313,D6),1)</f>
      </c>
    </row>
    <row r="7">
      <c r="A7" t="s">
        <v>164</v>
      </c>
      <c r="B7" s="74" t="n">
        <v>2030</v>
      </c>
      <c r="C7" t="s">
        <v>164</v>
      </c>
      <c r="D7" s="75" t="s">
        <v>335</v>
      </c>
      <c r="E7" s="76" t="s">
        <v>336</v>
      </c>
      <c r="F7" s="77" t="s">
        <v>172</v>
      </c>
      <c r="G7" s="78" t="s">
        <v>337</v>
      </c>
      <c r="H7" s="79" t="s">
        <v>339</v>
      </c>
      <c r="I7" s="80" t="n">
        <v>1</v>
      </c>
      <c r="J7" s="81" t="n">
        <v>1</v>
      </c>
      <c r="K7" s="82" t="n">
        <v>0.0056</v>
      </c>
      <c r="L7" s="83" t="n">
        <v>298280286.2543</v>
      </c>
      <c r="M7" s="84" t="n">
        <v>298280286.057263</v>
      </c>
      <c r="N7" s="85" t="str">
        <f>MIN(MAX((B7-'Calculation_Assumptions'!$B$5+1)/'Calculation_Assumptions'!$B$7,0),1)</f>
      </c>
      <c r="O7" s="86" t="str">
        <f>L7*I7</f>
      </c>
      <c r="P7" s="87" t="str">
        <f>M7*I7</f>
      </c>
      <c r="Q7" s="88" t="str">
        <f>P7*'Calculation_Assumptions'!$B$14*J7*K7</f>
      </c>
      <c r="R7" s="89" t="str">
        <f>O7*N7*J7*K7</f>
      </c>
      <c r="S7" s="90" t="str">
        <f>R7-Q7</f>
      </c>
      <c r="T7" s="91" t="str">
        <f>1/(1+'Calculation_Assumptions'!$B$8)^(B7-'Calculation_Assumptions'!$B$2)</f>
      </c>
      <c r="U7" s="92" t="str">
        <f>Q7*T7</f>
      </c>
      <c r="V7" s="93" t="str">
        <f>R7*T7</f>
      </c>
      <c r="W7" s="94" t="str">
        <f>S7*T7</f>
      </c>
      <c r="X7" t="n">
        <v>0</v>
      </c>
      <c r="Y7" s="95" t="n">
        <v>2017</v>
      </c>
      <c r="Z7" t="s">
        <v>266</v>
      </c>
      <c r="AA7" s="96" t="str">
        <f>IF(G7="shared-count-once",COUNTIFS($A$2:$A$313,A7,$B$2:$B$313,B7,$D$2:$D$313,D7),1)</f>
      </c>
    </row>
    <row r="8">
      <c r="A8" t="s">
        <v>164</v>
      </c>
      <c r="B8" s="74" t="n">
        <v>2031</v>
      </c>
      <c r="C8" t="s">
        <v>164</v>
      </c>
      <c r="D8" s="75" t="s">
        <v>335</v>
      </c>
      <c r="E8" s="76" t="s">
        <v>336</v>
      </c>
      <c r="F8" s="77" t="s">
        <v>172</v>
      </c>
      <c r="G8" s="78" t="s">
        <v>337</v>
      </c>
      <c r="H8" s="79" t="s">
        <v>339</v>
      </c>
      <c r="I8" s="80" t="n">
        <v>1</v>
      </c>
      <c r="J8" s="81" t="n">
        <v>1</v>
      </c>
      <c r="K8" s="82" t="n">
        <v>0.0056</v>
      </c>
      <c r="L8" s="83" t="n">
        <v>300152603.620282</v>
      </c>
      <c r="M8" s="84" t="n">
        <v>300152603.254782</v>
      </c>
      <c r="N8" s="85" t="str">
        <f>MIN(MAX((B8-'Calculation_Assumptions'!$B$5+1)/'Calculation_Assumptions'!$B$7,0),1)</f>
      </c>
      <c r="O8" s="86" t="str">
        <f>L8*I8</f>
      </c>
      <c r="P8" s="87" t="str">
        <f>M8*I8</f>
      </c>
      <c r="Q8" s="88" t="str">
        <f>P8*'Calculation_Assumptions'!$B$14*J8*K8</f>
      </c>
      <c r="R8" s="89" t="str">
        <f>O8*N8*J8*K8</f>
      </c>
      <c r="S8" s="90" t="str">
        <f>R8-Q8</f>
      </c>
      <c r="T8" s="91" t="str">
        <f>1/(1+'Calculation_Assumptions'!$B$8)^(B8-'Calculation_Assumptions'!$B$2)</f>
      </c>
      <c r="U8" s="92" t="str">
        <f>Q8*T8</f>
      </c>
      <c r="V8" s="93" t="str">
        <f>R8*T8</f>
      </c>
      <c r="W8" s="94" t="str">
        <f>S8*T8</f>
      </c>
      <c r="X8" t="n">
        <v>0</v>
      </c>
      <c r="Y8" s="95" t="n">
        <v>2017</v>
      </c>
      <c r="Z8" t="s">
        <v>266</v>
      </c>
      <c r="AA8" s="96" t="str">
        <f>IF(G8="shared-count-once",COUNTIFS($A$2:$A$313,A8,$B$2:$B$313,B8,$D$2:$D$313,D8),1)</f>
      </c>
    </row>
    <row r="9">
      <c r="A9" t="s">
        <v>164</v>
      </c>
      <c r="B9" s="74" t="n">
        <v>2032</v>
      </c>
      <c r="C9" t="s">
        <v>164</v>
      </c>
      <c r="D9" s="75" t="s">
        <v>335</v>
      </c>
      <c r="E9" s="76" t="s">
        <v>336</v>
      </c>
      <c r="F9" s="77" t="s">
        <v>172</v>
      </c>
      <c r="G9" s="78" t="s">
        <v>337</v>
      </c>
      <c r="H9" s="79" t="s">
        <v>339</v>
      </c>
      <c r="I9" s="80" t="n">
        <v>1</v>
      </c>
      <c r="J9" s="81" t="n">
        <v>1</v>
      </c>
      <c r="K9" s="82" t="n">
        <v>0.0056</v>
      </c>
      <c r="L9" s="83" t="n">
        <v>301886267.793355</v>
      </c>
      <c r="M9" s="84" t="n">
        <v>301959399.633888</v>
      </c>
      <c r="N9" s="85" t="str">
        <f>MIN(MAX((B9-'Calculation_Assumptions'!$B$5+1)/'Calculation_Assumptions'!$B$7,0),1)</f>
      </c>
      <c r="O9" s="86" t="str">
        <f>L9*I9</f>
      </c>
      <c r="P9" s="87" t="str">
        <f>M9*I9</f>
      </c>
      <c r="Q9" s="88" t="str">
        <f>P9*'Calculation_Assumptions'!$B$14*J9*K9</f>
      </c>
      <c r="R9" s="89" t="str">
        <f>O9*N9*J9*K9</f>
      </c>
      <c r="S9" s="90" t="str">
        <f>R9-Q9</f>
      </c>
      <c r="T9" s="91" t="str">
        <f>1/(1+'Calculation_Assumptions'!$B$8)^(B9-'Calculation_Assumptions'!$B$2)</f>
      </c>
      <c r="U9" s="92" t="str">
        <f>Q9*T9</f>
      </c>
      <c r="V9" s="93" t="str">
        <f>R9*T9</f>
      </c>
      <c r="W9" s="94" t="str">
        <f>S9*T9</f>
      </c>
      <c r="X9" t="n">
        <v>0</v>
      </c>
      <c r="Y9" s="95" t="n">
        <v>2017</v>
      </c>
      <c r="Z9" t="s">
        <v>266</v>
      </c>
      <c r="AA9" s="96" t="str">
        <f>IF(G9="shared-count-once",COUNTIFS($A$2:$A$313,A9,$B$2:$B$313,B9,$D$2:$D$313,D9),1)</f>
      </c>
    </row>
    <row r="10">
      <c r="A10" t="s">
        <v>164</v>
      </c>
      <c r="B10" s="74" t="n">
        <v>2033</v>
      </c>
      <c r="C10" t="s">
        <v>164</v>
      </c>
      <c r="D10" s="75" t="s">
        <v>335</v>
      </c>
      <c r="E10" s="76" t="s">
        <v>336</v>
      </c>
      <c r="F10" s="77" t="s">
        <v>172</v>
      </c>
      <c r="G10" s="78" t="s">
        <v>337</v>
      </c>
      <c r="H10" s="79" t="s">
        <v>339</v>
      </c>
      <c r="I10" s="80" t="n">
        <v>1</v>
      </c>
      <c r="J10" s="81" t="n">
        <v>1</v>
      </c>
      <c r="K10" s="82" t="n">
        <v>0.0056</v>
      </c>
      <c r="L10" s="83" t="n">
        <v>303701036.075225</v>
      </c>
      <c r="M10" s="84" t="n">
        <v>303701035.202051</v>
      </c>
      <c r="N10" s="85" t="str">
        <f>MIN(MAX((B10-'Calculation_Assumptions'!$B$5+1)/'Calculation_Assumptions'!$B$7,0),1)</f>
      </c>
      <c r="O10" s="86" t="str">
        <f>L10*I10</f>
      </c>
      <c r="P10" s="87" t="str">
        <f>M10*I10</f>
      </c>
      <c r="Q10" s="88" t="str">
        <f>P10*'Calculation_Assumptions'!$B$14*J10*K10</f>
      </c>
      <c r="R10" s="89" t="str">
        <f>O10*N10*J10*K10</f>
      </c>
      <c r="S10" s="90" t="str">
        <f>R10-Q10</f>
      </c>
      <c r="T10" s="91" t="str">
        <f>1/(1+'Calculation_Assumptions'!$B$8)^(B10-'Calculation_Assumptions'!$B$2)</f>
      </c>
      <c r="U10" s="92" t="str">
        <f>Q10*T10</f>
      </c>
      <c r="V10" s="93" t="str">
        <f>R10*T10</f>
      </c>
      <c r="W10" s="94" t="str">
        <f>S10*T10</f>
      </c>
      <c r="X10" t="n">
        <v>0</v>
      </c>
      <c r="Y10" s="95" t="n">
        <v>2017</v>
      </c>
      <c r="Z10" t="s">
        <v>266</v>
      </c>
      <c r="AA10" s="96" t="str">
        <f>IF(G10="shared-count-once",COUNTIFS($A$2:$A$313,A10,$B$2:$B$313,B10,$D$2:$D$313,D10),1)</f>
      </c>
    </row>
    <row r="11">
      <c r="A11" t="s">
        <v>164</v>
      </c>
      <c r="B11" s="74" t="n">
        <v>2034</v>
      </c>
      <c r="C11" t="s">
        <v>164</v>
      </c>
      <c r="D11" s="75" t="s">
        <v>335</v>
      </c>
      <c r="E11" s="76" t="s">
        <v>336</v>
      </c>
      <c r="F11" s="77" t="s">
        <v>172</v>
      </c>
      <c r="G11" s="78" t="s">
        <v>337</v>
      </c>
      <c r="H11" s="79" t="s">
        <v>339</v>
      </c>
      <c r="I11" s="80" t="n">
        <v>1</v>
      </c>
      <c r="J11" s="81" t="n">
        <v>1</v>
      </c>
      <c r="K11" s="82" t="n">
        <v>0.0056</v>
      </c>
      <c r="L11" s="83" t="n">
        <v>305377999.272077</v>
      </c>
      <c r="M11" s="84" t="n">
        <v>305377998.093319</v>
      </c>
      <c r="N11" s="85" t="str">
        <f>MIN(MAX((B11-'Calculation_Assumptions'!$B$5+1)/'Calculation_Assumptions'!$B$7,0),1)</f>
      </c>
      <c r="O11" s="86" t="str">
        <f>L11*I11</f>
      </c>
      <c r="P11" s="87" t="str">
        <f>M11*I11</f>
      </c>
      <c r="Q11" s="88" t="str">
        <f>P11*'Calculation_Assumptions'!$B$14*J11*K11</f>
      </c>
      <c r="R11" s="89" t="str">
        <f>O11*N11*J11*K11</f>
      </c>
      <c r="S11" s="90" t="str">
        <f>R11-Q11</f>
      </c>
      <c r="T11" s="91" t="str">
        <f>1/(1+'Calculation_Assumptions'!$B$8)^(B11-'Calculation_Assumptions'!$B$2)</f>
      </c>
      <c r="U11" s="92" t="str">
        <f>Q11*T11</f>
      </c>
      <c r="V11" s="93" t="str">
        <f>R11*T11</f>
      </c>
      <c r="W11" s="94" t="str">
        <f>S11*T11</f>
      </c>
      <c r="X11" t="n">
        <v>0</v>
      </c>
      <c r="Y11" s="95" t="n">
        <v>2017</v>
      </c>
      <c r="Z11" t="s">
        <v>266</v>
      </c>
      <c r="AA11" s="96" t="str">
        <f>IF(G11="shared-count-once",COUNTIFS($A$2:$A$313,A11,$B$2:$B$313,B11,$D$2:$D$313,D11),1)</f>
      </c>
    </row>
    <row r="12">
      <c r="A12" t="s">
        <v>164</v>
      </c>
      <c r="B12" s="74" t="n">
        <v>2035</v>
      </c>
      <c r="C12" t="s">
        <v>164</v>
      </c>
      <c r="D12" s="75" t="s">
        <v>335</v>
      </c>
      <c r="E12" s="76" t="s">
        <v>336</v>
      </c>
      <c r="F12" s="77" t="s">
        <v>172</v>
      </c>
      <c r="G12" s="78" t="s">
        <v>337</v>
      </c>
      <c r="H12" s="79" t="s">
        <v>339</v>
      </c>
      <c r="I12" s="80" t="n">
        <v>1</v>
      </c>
      <c r="J12" s="81" t="n">
        <v>1</v>
      </c>
      <c r="K12" s="82" t="n">
        <v>0.0056</v>
      </c>
      <c r="L12" s="83" t="n">
        <v>306989259.802145</v>
      </c>
      <c r="M12" s="84" t="n">
        <v>306989258.29407</v>
      </c>
      <c r="N12" s="85" t="str">
        <f>MIN(MAX((B12-'Calculation_Assumptions'!$B$5+1)/'Calculation_Assumptions'!$B$7,0),1)</f>
      </c>
      <c r="O12" s="86" t="str">
        <f>L12*I12</f>
      </c>
      <c r="P12" s="87" t="str">
        <f>M12*I12</f>
      </c>
      <c r="Q12" s="88" t="str">
        <f>P12*'Calculation_Assumptions'!$B$14*J12*K12</f>
      </c>
      <c r="R12" s="89" t="str">
        <f>O12*N12*J12*K12</f>
      </c>
      <c r="S12" s="90" t="str">
        <f>R12-Q12</f>
      </c>
      <c r="T12" s="91" t="str">
        <f>1/(1+'Calculation_Assumptions'!$B$8)^(B12-'Calculation_Assumptions'!$B$2)</f>
      </c>
      <c r="U12" s="92" t="str">
        <f>Q12*T12</f>
      </c>
      <c r="V12" s="93" t="str">
        <f>R12*T12</f>
      </c>
      <c r="W12" s="94" t="str">
        <f>S12*T12</f>
      </c>
      <c r="X12" t="n">
        <v>0</v>
      </c>
      <c r="Y12" s="95" t="n">
        <v>2017</v>
      </c>
      <c r="Z12" t="s">
        <v>266</v>
      </c>
      <c r="AA12" s="96" t="str">
        <f>IF(G12="shared-count-once",COUNTIFS($A$2:$A$313,A12,$B$2:$B$313,B12,$D$2:$D$313,D12),1)</f>
      </c>
    </row>
    <row r="13">
      <c r="A13" t="s">
        <v>164</v>
      </c>
      <c r="B13" s="74" t="n">
        <v>2036</v>
      </c>
      <c r="C13" t="s">
        <v>164</v>
      </c>
      <c r="D13" s="75" t="s">
        <v>335</v>
      </c>
      <c r="E13" s="76" t="s">
        <v>336</v>
      </c>
      <c r="F13" s="77" t="s">
        <v>172</v>
      </c>
      <c r="G13" s="78" t="s">
        <v>337</v>
      </c>
      <c r="H13" s="79" t="s">
        <v>339</v>
      </c>
      <c r="I13" s="80" t="n">
        <v>1</v>
      </c>
      <c r="J13" s="81" t="n">
        <v>1</v>
      </c>
      <c r="K13" s="82" t="n">
        <v>0.0056</v>
      </c>
      <c r="L13" s="83" t="n">
        <v>308537401.527845</v>
      </c>
      <c r="M13" s="84" t="n">
        <v>308537399.672094</v>
      </c>
      <c r="N13" s="85" t="str">
        <f>MIN(MAX((B13-'Calculation_Assumptions'!$B$5+1)/'Calculation_Assumptions'!$B$7,0),1)</f>
      </c>
      <c r="O13" s="86" t="str">
        <f>L13*I13</f>
      </c>
      <c r="P13" s="87" t="str">
        <f>M13*I13</f>
      </c>
      <c r="Q13" s="88" t="str">
        <f>P13*'Calculation_Assumptions'!$B$14*J13*K13</f>
      </c>
      <c r="R13" s="89" t="str">
        <f>O13*N13*J13*K13</f>
      </c>
      <c r="S13" s="90" t="str">
        <f>R13-Q13</f>
      </c>
      <c r="T13" s="91" t="str">
        <f>1/(1+'Calculation_Assumptions'!$B$8)^(B13-'Calculation_Assumptions'!$B$2)</f>
      </c>
      <c r="U13" s="92" t="str">
        <f>Q13*T13</f>
      </c>
      <c r="V13" s="93" t="str">
        <f>R13*T13</f>
      </c>
      <c r="W13" s="94" t="str">
        <f>S13*T13</f>
      </c>
      <c r="X13" t="n">
        <v>0</v>
      </c>
      <c r="Y13" s="95" t="n">
        <v>2017</v>
      </c>
      <c r="Z13" t="s">
        <v>266</v>
      </c>
      <c r="AA13" s="96" t="str">
        <f>IF(G13="shared-count-once",COUNTIFS($A$2:$A$313,A13,$B$2:$B$313,B13,$D$2:$D$313,D13),1)</f>
      </c>
    </row>
    <row r="14">
      <c r="A14" t="s">
        <v>164</v>
      </c>
      <c r="B14" s="74" t="n">
        <v>2037</v>
      </c>
      <c r="C14" t="s">
        <v>164</v>
      </c>
      <c r="D14" s="75" t="s">
        <v>335</v>
      </c>
      <c r="E14" s="76" t="s">
        <v>336</v>
      </c>
      <c r="F14" s="77" t="s">
        <v>172</v>
      </c>
      <c r="G14" s="78" t="s">
        <v>337</v>
      </c>
      <c r="H14" s="79" t="s">
        <v>339</v>
      </c>
      <c r="I14" s="80" t="n">
        <v>1</v>
      </c>
      <c r="J14" s="81" t="n">
        <v>1</v>
      </c>
      <c r="K14" s="82" t="n">
        <v>0.0056</v>
      </c>
      <c r="L14" s="83" t="n">
        <v>309909028.56913</v>
      </c>
      <c r="M14" s="84" t="n">
        <v>310023120.393472</v>
      </c>
      <c r="N14" s="85" t="str">
        <f>MIN(MAX((B14-'Calculation_Assumptions'!$B$5+1)/'Calculation_Assumptions'!$B$7,0),1)</f>
      </c>
      <c r="O14" s="86" t="str">
        <f>L14*I14</f>
      </c>
      <c r="P14" s="87" t="str">
        <f>M14*I14</f>
      </c>
      <c r="Q14" s="88" t="str">
        <f>P14*'Calculation_Assumptions'!$B$14*J14*K14</f>
      </c>
      <c r="R14" s="89" t="str">
        <f>O14*N14*J14*K14</f>
      </c>
      <c r="S14" s="90" t="str">
        <f>R14-Q14</f>
      </c>
      <c r="T14" s="91" t="str">
        <f>1/(1+'Calculation_Assumptions'!$B$8)^(B14-'Calculation_Assumptions'!$B$2)</f>
      </c>
      <c r="U14" s="92" t="str">
        <f>Q14*T14</f>
      </c>
      <c r="V14" s="93" t="str">
        <f>R14*T14</f>
      </c>
      <c r="W14" s="94" t="str">
        <f>S14*T14</f>
      </c>
      <c r="X14" t="n">
        <v>0</v>
      </c>
      <c r="Y14" s="95" t="n">
        <v>2017</v>
      </c>
      <c r="Z14" t="s">
        <v>266</v>
      </c>
      <c r="AA14" s="96" t="str">
        <f>IF(G14="shared-count-once",COUNTIFS($A$2:$A$313,A14,$B$2:$B$313,B14,$D$2:$D$313,D14),1)</f>
      </c>
    </row>
    <row r="15">
      <c r="A15" t="s">
        <v>164</v>
      </c>
      <c r="B15" s="74" t="n">
        <v>2038</v>
      </c>
      <c r="C15" t="s">
        <v>164</v>
      </c>
      <c r="D15" s="75" t="s">
        <v>335</v>
      </c>
      <c r="E15" s="76" t="s">
        <v>336</v>
      </c>
      <c r="F15" s="77" t="s">
        <v>172</v>
      </c>
      <c r="G15" s="78" t="s">
        <v>337</v>
      </c>
      <c r="H15" s="79" t="s">
        <v>339</v>
      </c>
      <c r="I15" s="80" t="n">
        <v>1</v>
      </c>
      <c r="J15" s="81" t="n">
        <v>1</v>
      </c>
      <c r="K15" s="82" t="n">
        <v>0.0056</v>
      </c>
      <c r="L15" s="83" t="n">
        <v>311325162.02307</v>
      </c>
      <c r="M15" s="84" t="n">
        <v>311445837.134625</v>
      </c>
      <c r="N15" s="85" t="str">
        <f>MIN(MAX((B15-'Calculation_Assumptions'!$B$5+1)/'Calculation_Assumptions'!$B$7,0),1)</f>
      </c>
      <c r="O15" s="86" t="str">
        <f>L15*I15</f>
      </c>
      <c r="P15" s="87" t="str">
        <f>M15*I15</f>
      </c>
      <c r="Q15" s="88" t="str">
        <f>P15*'Calculation_Assumptions'!$B$14*J15*K15</f>
      </c>
      <c r="R15" s="89" t="str">
        <f>O15*N15*J15*K15</f>
      </c>
      <c r="S15" s="90" t="str">
        <f>R15-Q15</f>
      </c>
      <c r="T15" s="91" t="str">
        <f>1/(1+'Calculation_Assumptions'!$B$8)^(B15-'Calculation_Assumptions'!$B$2)</f>
      </c>
      <c r="U15" s="92" t="str">
        <f>Q15*T15</f>
      </c>
      <c r="V15" s="93" t="str">
        <f>R15*T15</f>
      </c>
      <c r="W15" s="94" t="str">
        <f>S15*T15</f>
      </c>
      <c r="X15" t="n">
        <v>0</v>
      </c>
      <c r="Y15" s="95" t="n">
        <v>2017</v>
      </c>
      <c r="Z15" t="s">
        <v>266</v>
      </c>
      <c r="AA15" s="96" t="str">
        <f>IF(G15="shared-count-once",COUNTIFS($A$2:$A$313,A15,$B$2:$B$313,B15,$D$2:$D$313,D15),1)</f>
      </c>
    </row>
    <row r="16">
      <c r="A16" t="s">
        <v>164</v>
      </c>
      <c r="B16" s="74" t="n">
        <v>2039</v>
      </c>
      <c r="C16" t="s">
        <v>164</v>
      </c>
      <c r="D16" s="75" t="s">
        <v>335</v>
      </c>
      <c r="E16" s="76" t="s">
        <v>336</v>
      </c>
      <c r="F16" s="77" t="s">
        <v>172</v>
      </c>
      <c r="G16" s="78" t="s">
        <v>337</v>
      </c>
      <c r="H16" s="79" t="s">
        <v>339</v>
      </c>
      <c r="I16" s="80" t="n">
        <v>1</v>
      </c>
      <c r="J16" s="81" t="n">
        <v>1</v>
      </c>
      <c r="K16" s="82" t="n">
        <v>0.0056</v>
      </c>
      <c r="L16" s="83" t="n">
        <v>312680640.152682</v>
      </c>
      <c r="M16" s="84" t="n">
        <v>312806989.715685</v>
      </c>
      <c r="N16" s="85" t="str">
        <f>MIN(MAX((B16-'Calculation_Assumptions'!$B$5+1)/'Calculation_Assumptions'!$B$7,0),1)</f>
      </c>
      <c r="O16" s="86" t="str">
        <f>L16*I16</f>
      </c>
      <c r="P16" s="87" t="str">
        <f>M16*I16</f>
      </c>
      <c r="Q16" s="88" t="str">
        <f>P16*'Calculation_Assumptions'!$B$14*J16*K16</f>
      </c>
      <c r="R16" s="89" t="str">
        <f>O16*N16*J16*K16</f>
      </c>
      <c r="S16" s="90" t="str">
        <f>R16-Q16</f>
      </c>
      <c r="T16" s="91" t="str">
        <f>1/(1+'Calculation_Assumptions'!$B$8)^(B16-'Calculation_Assumptions'!$B$2)</f>
      </c>
      <c r="U16" s="92" t="str">
        <f>Q16*T16</f>
      </c>
      <c r="V16" s="93" t="str">
        <f>R16*T16</f>
      </c>
      <c r="W16" s="94" t="str">
        <f>S16*T16</f>
      </c>
      <c r="X16" t="n">
        <v>0</v>
      </c>
      <c r="Y16" s="95" t="n">
        <v>2017</v>
      </c>
      <c r="Z16" t="s">
        <v>266</v>
      </c>
      <c r="AA16" s="96" t="str">
        <f>IF(G16="shared-count-once",COUNTIFS($A$2:$A$313,A16,$B$2:$B$313,B16,$D$2:$D$313,D16),1)</f>
      </c>
    </row>
    <row r="17">
      <c r="A17" t="s">
        <v>164</v>
      </c>
      <c r="B17" s="74" t="n">
        <v>2040</v>
      </c>
      <c r="C17" t="s">
        <v>164</v>
      </c>
      <c r="D17" s="75" t="s">
        <v>335</v>
      </c>
      <c r="E17" s="76" t="s">
        <v>336</v>
      </c>
      <c r="F17" s="77" t="s">
        <v>172</v>
      </c>
      <c r="G17" s="78" t="s">
        <v>337</v>
      </c>
      <c r="H17" s="79" t="s">
        <v>339</v>
      </c>
      <c r="I17" s="80" t="n">
        <v>1</v>
      </c>
      <c r="J17" s="81" t="n">
        <v>1</v>
      </c>
      <c r="K17" s="82" t="n">
        <v>0.0056</v>
      </c>
      <c r="L17" s="83" t="n">
        <v>313977865.766209</v>
      </c>
      <c r="M17" s="84" t="n">
        <v>314109251.582649</v>
      </c>
      <c r="N17" s="85" t="str">
        <f>MIN(MAX((B17-'Calculation_Assumptions'!$B$5+1)/'Calculation_Assumptions'!$B$7,0),1)</f>
      </c>
      <c r="O17" s="86" t="str">
        <f>L17*I17</f>
      </c>
      <c r="P17" s="87" t="str">
        <f>M17*I17</f>
      </c>
      <c r="Q17" s="88" t="str">
        <f>P17*'Calculation_Assumptions'!$B$14*J17*K17</f>
      </c>
      <c r="R17" s="89" t="str">
        <f>O17*N17*J17*K17</f>
      </c>
      <c r="S17" s="90" t="str">
        <f>R17-Q17</f>
      </c>
      <c r="T17" s="91" t="str">
        <f>1/(1+'Calculation_Assumptions'!$B$8)^(B17-'Calculation_Assumptions'!$B$2)</f>
      </c>
      <c r="U17" s="92" t="str">
        <f>Q17*T17</f>
      </c>
      <c r="V17" s="93" t="str">
        <f>R17*T17</f>
      </c>
      <c r="W17" s="94" t="str">
        <f>S17*T17</f>
      </c>
      <c r="X17" t="n">
        <v>0</v>
      </c>
      <c r="Y17" s="95" t="n">
        <v>2017</v>
      </c>
      <c r="Z17" t="s">
        <v>266</v>
      </c>
      <c r="AA17" s="96" t="str">
        <f>IF(G17="shared-count-once",COUNTIFS($A$2:$A$313,A17,$B$2:$B$313,B17,$D$2:$D$313,D17),1)</f>
      </c>
    </row>
    <row r="18">
      <c r="A18" t="s">
        <v>164</v>
      </c>
      <c r="B18" s="74" t="n">
        <v>2041</v>
      </c>
      <c r="C18" t="s">
        <v>164</v>
      </c>
      <c r="D18" s="75" t="s">
        <v>335</v>
      </c>
      <c r="E18" s="76" t="s">
        <v>336</v>
      </c>
      <c r="F18" s="77" t="s">
        <v>172</v>
      </c>
      <c r="G18" s="78" t="s">
        <v>337</v>
      </c>
      <c r="H18" s="79" t="s">
        <v>339</v>
      </c>
      <c r="I18" s="80" t="n">
        <v>1</v>
      </c>
      <c r="J18" s="81" t="n">
        <v>1</v>
      </c>
      <c r="K18" s="82" t="n">
        <v>0.0056</v>
      </c>
      <c r="L18" s="83" t="n">
        <v>315215801.781661</v>
      </c>
      <c r="M18" s="84" t="n">
        <v>315352079.812423</v>
      </c>
      <c r="N18" s="85" t="str">
        <f>MIN(MAX((B18-'Calculation_Assumptions'!$B$5+1)/'Calculation_Assumptions'!$B$7,0),1)</f>
      </c>
      <c r="O18" s="86" t="str">
        <f>L18*I18</f>
      </c>
      <c r="P18" s="87" t="str">
        <f>M18*I18</f>
      </c>
      <c r="Q18" s="88" t="str">
        <f>P18*'Calculation_Assumptions'!$B$14*J18*K18</f>
      </c>
      <c r="R18" s="89" t="str">
        <f>O18*N18*J18*K18</f>
      </c>
      <c r="S18" s="90" t="str">
        <f>R18-Q18</f>
      </c>
      <c r="T18" s="91" t="str">
        <f>1/(1+'Calculation_Assumptions'!$B$8)^(B18-'Calculation_Assumptions'!$B$2)</f>
      </c>
      <c r="U18" s="92" t="str">
        <f>Q18*T18</f>
      </c>
      <c r="V18" s="93" t="str">
        <f>R18*T18</f>
      </c>
      <c r="W18" s="94" t="str">
        <f>S18*T18</f>
      </c>
      <c r="X18" t="n">
        <v>0</v>
      </c>
      <c r="Y18" s="95" t="n">
        <v>2017</v>
      </c>
      <c r="Z18" t="s">
        <v>266</v>
      </c>
      <c r="AA18" s="96" t="str">
        <f>IF(G18="shared-count-once",COUNTIFS($A$2:$A$313,A18,$B$2:$B$313,B18,$D$2:$D$313,D18),1)</f>
      </c>
    </row>
    <row r="19">
      <c r="A19" t="s">
        <v>164</v>
      </c>
      <c r="B19" s="74" t="n">
        <v>2042</v>
      </c>
      <c r="C19" t="s">
        <v>164</v>
      </c>
      <c r="D19" s="75" t="s">
        <v>335</v>
      </c>
      <c r="E19" s="76" t="s">
        <v>336</v>
      </c>
      <c r="F19" s="77" t="s">
        <v>172</v>
      </c>
      <c r="G19" s="78" t="s">
        <v>337</v>
      </c>
      <c r="H19" s="79" t="s">
        <v>339</v>
      </c>
      <c r="I19" s="80" t="n">
        <v>1</v>
      </c>
      <c r="J19" s="81" t="n">
        <v>1</v>
      </c>
      <c r="K19" s="82" t="n">
        <v>0.0056</v>
      </c>
      <c r="L19" s="83" t="n">
        <v>316395290.387458</v>
      </c>
      <c r="M19" s="84" t="n">
        <v>316395286.312016</v>
      </c>
      <c r="N19" s="85" t="str">
        <f>MIN(MAX((B19-'Calculation_Assumptions'!$B$5+1)/'Calculation_Assumptions'!$B$7,0),1)</f>
      </c>
      <c r="O19" s="86" t="str">
        <f>L19*I19</f>
      </c>
      <c r="P19" s="87" t="str">
        <f>M19*I19</f>
      </c>
      <c r="Q19" s="88" t="str">
        <f>P19*'Calculation_Assumptions'!$B$14*J19*K19</f>
      </c>
      <c r="R19" s="89" t="str">
        <f>O19*N19*J19*K19</f>
      </c>
      <c r="S19" s="90" t="str">
        <f>R19-Q19</f>
      </c>
      <c r="T19" s="91" t="str">
        <f>1/(1+'Calculation_Assumptions'!$B$8)^(B19-'Calculation_Assumptions'!$B$2)</f>
      </c>
      <c r="U19" s="92" t="str">
        <f>Q19*T19</f>
      </c>
      <c r="V19" s="93" t="str">
        <f>R19*T19</f>
      </c>
      <c r="W19" s="94" t="str">
        <f>S19*T19</f>
      </c>
      <c r="X19" t="n">
        <v>0</v>
      </c>
      <c r="Y19" s="95" t="n">
        <v>2017</v>
      </c>
      <c r="Z19" t="s">
        <v>266</v>
      </c>
      <c r="AA19" s="96" t="str">
        <f>IF(G19="shared-count-once",COUNTIFS($A$2:$A$313,A19,$B$2:$B$313,B19,$D$2:$D$313,D19),1)</f>
      </c>
    </row>
    <row r="20">
      <c r="A20" t="s">
        <v>164</v>
      </c>
      <c r="B20" s="74" t="n">
        <v>2043</v>
      </c>
      <c r="C20" t="s">
        <v>164</v>
      </c>
      <c r="D20" s="75" t="s">
        <v>335</v>
      </c>
      <c r="E20" s="76" t="s">
        <v>336</v>
      </c>
      <c r="F20" s="77" t="s">
        <v>172</v>
      </c>
      <c r="G20" s="78" t="s">
        <v>337</v>
      </c>
      <c r="H20" s="79" t="s">
        <v>339</v>
      </c>
      <c r="I20" s="80" t="n">
        <v>1</v>
      </c>
      <c r="J20" s="81" t="n">
        <v>1</v>
      </c>
      <c r="K20" s="82" t="n">
        <v>0.0056</v>
      </c>
      <c r="L20" s="83" t="n">
        <v>317619740.19876</v>
      </c>
      <c r="M20" s="84" t="n">
        <v>317619735.688289</v>
      </c>
      <c r="N20" s="85" t="str">
        <f>MIN(MAX((B20-'Calculation_Assumptions'!$B$5+1)/'Calculation_Assumptions'!$B$7,0),1)</f>
      </c>
      <c r="O20" s="86" t="str">
        <f>L20*I20</f>
      </c>
      <c r="P20" s="87" t="str">
        <f>M20*I20</f>
      </c>
      <c r="Q20" s="88" t="str">
        <f>P20*'Calculation_Assumptions'!$B$14*J20*K20</f>
      </c>
      <c r="R20" s="89" t="str">
        <f>O20*N20*J20*K20</f>
      </c>
      <c r="S20" s="90" t="str">
        <f>R20-Q20</f>
      </c>
      <c r="T20" s="91" t="str">
        <f>1/(1+'Calculation_Assumptions'!$B$8)^(B20-'Calculation_Assumptions'!$B$2)</f>
      </c>
      <c r="U20" s="92" t="str">
        <f>Q20*T20</f>
      </c>
      <c r="V20" s="93" t="str">
        <f>R20*T20</f>
      </c>
      <c r="W20" s="94" t="str">
        <f>S20*T20</f>
      </c>
      <c r="X20" t="n">
        <v>0</v>
      </c>
      <c r="Y20" s="95" t="n">
        <v>2017</v>
      </c>
      <c r="Z20" t="s">
        <v>266</v>
      </c>
      <c r="AA20" s="96" t="str">
        <f>IF(G20="shared-count-once",COUNTIFS($A$2:$A$313,A20,$B$2:$B$313,B20,$D$2:$D$313,D20),1)</f>
      </c>
    </row>
    <row r="21">
      <c r="A21" t="s">
        <v>164</v>
      </c>
      <c r="B21" s="74" t="n">
        <v>2044</v>
      </c>
      <c r="C21" t="s">
        <v>164</v>
      </c>
      <c r="D21" s="75" t="s">
        <v>335</v>
      </c>
      <c r="E21" s="76" t="s">
        <v>336</v>
      </c>
      <c r="F21" s="77" t="s">
        <v>172</v>
      </c>
      <c r="G21" s="78" t="s">
        <v>337</v>
      </c>
      <c r="H21" s="79" t="s">
        <v>339</v>
      </c>
      <c r="I21" s="80" t="n">
        <v>1</v>
      </c>
      <c r="J21" s="81" t="n">
        <v>1</v>
      </c>
      <c r="K21" s="82" t="n">
        <v>0.0056</v>
      </c>
      <c r="L21" s="83" t="n">
        <v>318697140.763508</v>
      </c>
      <c r="M21" s="84" t="n">
        <v>318697135.863652</v>
      </c>
      <c r="N21" s="85" t="str">
        <f>MIN(MAX((B21-'Calculation_Assumptions'!$B$5+1)/'Calculation_Assumptions'!$B$7,0),1)</f>
      </c>
      <c r="O21" s="86" t="str">
        <f>L21*I21</f>
      </c>
      <c r="P21" s="87" t="str">
        <f>M21*I21</f>
      </c>
      <c r="Q21" s="88" t="str">
        <f>P21*'Calculation_Assumptions'!$B$14*J21*K21</f>
      </c>
      <c r="R21" s="89" t="str">
        <f>O21*N21*J21*K21</f>
      </c>
      <c r="S21" s="90" t="str">
        <f>R21-Q21</f>
      </c>
      <c r="T21" s="91" t="str">
        <f>1/(1+'Calculation_Assumptions'!$B$8)^(B21-'Calculation_Assumptions'!$B$2)</f>
      </c>
      <c r="U21" s="92" t="str">
        <f>Q21*T21</f>
      </c>
      <c r="V21" s="93" t="str">
        <f>R21*T21</f>
      </c>
      <c r="W21" s="94" t="str">
        <f>S21*T21</f>
      </c>
      <c r="X21" t="n">
        <v>0</v>
      </c>
      <c r="Y21" s="95" t="n">
        <v>2017</v>
      </c>
      <c r="Z21" t="s">
        <v>266</v>
      </c>
      <c r="AA21" s="96" t="str">
        <f>IF(G21="shared-count-once",COUNTIFS($A$2:$A$313,A21,$B$2:$B$313,B21,$D$2:$D$313,D21),1)</f>
      </c>
    </row>
    <row r="22">
      <c r="A22" t="s">
        <v>164</v>
      </c>
      <c r="B22" s="74" t="n">
        <v>2045</v>
      </c>
      <c r="C22" t="s">
        <v>164</v>
      </c>
      <c r="D22" s="75" t="s">
        <v>335</v>
      </c>
      <c r="E22" s="76" t="s">
        <v>336</v>
      </c>
      <c r="F22" s="77" t="s">
        <v>172</v>
      </c>
      <c r="G22" s="78" t="s">
        <v>337</v>
      </c>
      <c r="H22" s="79" t="s">
        <v>339</v>
      </c>
      <c r="I22" s="80" t="n">
        <v>1</v>
      </c>
      <c r="J22" s="81" t="n">
        <v>1</v>
      </c>
      <c r="K22" s="82" t="n">
        <v>0.0056</v>
      </c>
      <c r="L22" s="83" t="n">
        <v>319717846.138924</v>
      </c>
      <c r="M22" s="84" t="n">
        <v>319717840.85179</v>
      </c>
      <c r="N22" s="85" t="str">
        <f>MIN(MAX((B22-'Calculation_Assumptions'!$B$5+1)/'Calculation_Assumptions'!$B$7,0),1)</f>
      </c>
      <c r="O22" s="86" t="str">
        <f>L22*I22</f>
      </c>
      <c r="P22" s="87" t="str">
        <f>M22*I22</f>
      </c>
      <c r="Q22" s="88" t="str">
        <f>P22*'Calculation_Assumptions'!$B$14*J22*K22</f>
      </c>
      <c r="R22" s="89" t="str">
        <f>O22*N22*J22*K22</f>
      </c>
      <c r="S22" s="90" t="str">
        <f>R22-Q22</f>
      </c>
      <c r="T22" s="91" t="str">
        <f>1/(1+'Calculation_Assumptions'!$B$8)^(B22-'Calculation_Assumptions'!$B$2)</f>
      </c>
      <c r="U22" s="92" t="str">
        <f>Q22*T22</f>
      </c>
      <c r="V22" s="93" t="str">
        <f>R22*T22</f>
      </c>
      <c r="W22" s="94" t="str">
        <f>S22*T22</f>
      </c>
      <c r="X22" t="n">
        <v>0</v>
      </c>
      <c r="Y22" s="95" t="n">
        <v>2017</v>
      </c>
      <c r="Z22" t="s">
        <v>266</v>
      </c>
      <c r="AA22" s="96" t="str">
        <f>IF(G22="shared-count-once",COUNTIFS($A$2:$A$313,A22,$B$2:$B$313,B22,$D$2:$D$313,D22),1)</f>
      </c>
    </row>
    <row r="23">
      <c r="A23" t="s">
        <v>164</v>
      </c>
      <c r="B23" s="74" t="n">
        <v>2046</v>
      </c>
      <c r="C23" t="s">
        <v>164</v>
      </c>
      <c r="D23" s="75" t="s">
        <v>335</v>
      </c>
      <c r="E23" s="76" t="s">
        <v>336</v>
      </c>
      <c r="F23" s="77" t="s">
        <v>172</v>
      </c>
      <c r="G23" s="78" t="s">
        <v>337</v>
      </c>
      <c r="H23" s="79" t="s">
        <v>339</v>
      </c>
      <c r="I23" s="80" t="n">
        <v>1</v>
      </c>
      <c r="J23" s="81" t="n">
        <v>1</v>
      </c>
      <c r="K23" s="82" t="n">
        <v>0.0056</v>
      </c>
      <c r="L23" s="83" t="n">
        <v>320683885.477757</v>
      </c>
      <c r="M23" s="84" t="n">
        <v>320683879.806276</v>
      </c>
      <c r="N23" s="85" t="str">
        <f>MIN(MAX((B23-'Calculation_Assumptions'!$B$5+1)/'Calculation_Assumptions'!$B$7,0),1)</f>
      </c>
      <c r="O23" s="86" t="str">
        <f>L23*I23</f>
      </c>
      <c r="P23" s="87" t="str">
        <f>M23*I23</f>
      </c>
      <c r="Q23" s="88" t="str">
        <f>P23*'Calculation_Assumptions'!$B$14*J23*K23</f>
      </c>
      <c r="R23" s="89" t="str">
        <f>O23*N23*J23*K23</f>
      </c>
      <c r="S23" s="90" t="str">
        <f>R23-Q23</f>
      </c>
      <c r="T23" s="91" t="str">
        <f>1/(1+'Calculation_Assumptions'!$B$8)^(B23-'Calculation_Assumptions'!$B$2)</f>
      </c>
      <c r="U23" s="92" t="str">
        <f>Q23*T23</f>
      </c>
      <c r="V23" s="93" t="str">
        <f>R23*T23</f>
      </c>
      <c r="W23" s="94" t="str">
        <f>S23*T23</f>
      </c>
      <c r="X23" t="n">
        <v>0</v>
      </c>
      <c r="Y23" s="95" t="n">
        <v>2017</v>
      </c>
      <c r="Z23" t="s">
        <v>266</v>
      </c>
      <c r="AA23" s="96" t="str">
        <f>IF(G23="shared-count-once",COUNTIFS($A$2:$A$313,A23,$B$2:$B$313,B23,$D$2:$D$313,D23),1)</f>
      </c>
    </row>
    <row r="24">
      <c r="A24" t="s">
        <v>164</v>
      </c>
      <c r="B24" s="74" t="n">
        <v>2047</v>
      </c>
      <c r="C24" t="s">
        <v>164</v>
      </c>
      <c r="D24" s="75" t="s">
        <v>335</v>
      </c>
      <c r="E24" s="76" t="s">
        <v>336</v>
      </c>
      <c r="F24" s="77" t="s">
        <v>172</v>
      </c>
      <c r="G24" s="78" t="s">
        <v>337</v>
      </c>
      <c r="H24" s="79" t="s">
        <v>339</v>
      </c>
      <c r="I24" s="80" t="n">
        <v>1</v>
      </c>
      <c r="J24" s="81" t="n">
        <v>1</v>
      </c>
      <c r="K24" s="82" t="n">
        <v>0.0056</v>
      </c>
      <c r="L24" s="83" t="n">
        <v>321595547.441023</v>
      </c>
      <c r="M24" s="84" t="n">
        <v>321595541.389526</v>
      </c>
      <c r="N24" s="85" t="str">
        <f>MIN(MAX((B24-'Calculation_Assumptions'!$B$5+1)/'Calculation_Assumptions'!$B$7,0),1)</f>
      </c>
      <c r="O24" s="86" t="str">
        <f>L24*I24</f>
      </c>
      <c r="P24" s="87" t="str">
        <f>M24*I24</f>
      </c>
      <c r="Q24" s="88" t="str">
        <f>P24*'Calculation_Assumptions'!$B$14*J24*K24</f>
      </c>
      <c r="R24" s="89" t="str">
        <f>O24*N24*J24*K24</f>
      </c>
      <c r="S24" s="90" t="str">
        <f>R24-Q24</f>
      </c>
      <c r="T24" s="91" t="str">
        <f>1/(1+'Calculation_Assumptions'!$B$8)^(B24-'Calculation_Assumptions'!$B$2)</f>
      </c>
      <c r="U24" s="92" t="str">
        <f>Q24*T24</f>
      </c>
      <c r="V24" s="93" t="str">
        <f>R24*T24</f>
      </c>
      <c r="W24" s="94" t="str">
        <f>S24*T24</f>
      </c>
      <c r="X24" t="n">
        <v>0</v>
      </c>
      <c r="Y24" s="95" t="n">
        <v>2017</v>
      </c>
      <c r="Z24" t="s">
        <v>266</v>
      </c>
      <c r="AA24" s="96" t="str">
        <f>IF(G24="shared-count-once",COUNTIFS($A$2:$A$313,A24,$B$2:$B$313,B24,$D$2:$D$313,D24),1)</f>
      </c>
    </row>
    <row r="25">
      <c r="A25" t="s">
        <v>164</v>
      </c>
      <c r="B25" s="74" t="n">
        <v>2048</v>
      </c>
      <c r="C25" t="s">
        <v>164</v>
      </c>
      <c r="D25" s="75" t="s">
        <v>335</v>
      </c>
      <c r="E25" s="76" t="s">
        <v>336</v>
      </c>
      <c r="F25" s="77" t="s">
        <v>172</v>
      </c>
      <c r="G25" s="78" t="s">
        <v>337</v>
      </c>
      <c r="H25" s="79" t="s">
        <v>339</v>
      </c>
      <c r="I25" s="80" t="n">
        <v>1</v>
      </c>
      <c r="J25" s="81" t="n">
        <v>1</v>
      </c>
      <c r="K25" s="82" t="n">
        <v>0.0056</v>
      </c>
      <c r="L25" s="83" t="n">
        <v>322275163.359884</v>
      </c>
      <c r="M25" s="84" t="n">
        <v>322453622.669464</v>
      </c>
      <c r="N25" s="85" t="str">
        <f>MIN(MAX((B25-'Calculation_Assumptions'!$B$5+1)/'Calculation_Assumptions'!$B$7,0),1)</f>
      </c>
      <c r="O25" s="86" t="str">
        <f>L25*I25</f>
      </c>
      <c r="P25" s="87" t="str">
        <f>M25*I25</f>
      </c>
      <c r="Q25" s="88" t="str">
        <f>P25*'Calculation_Assumptions'!$B$14*J25*K25</f>
      </c>
      <c r="R25" s="89" t="str">
        <f>O25*N25*J25*K25</f>
      </c>
      <c r="S25" s="90" t="str">
        <f>R25-Q25</f>
      </c>
      <c r="T25" s="91" t="str">
        <f>1/(1+'Calculation_Assumptions'!$B$8)^(B25-'Calculation_Assumptions'!$B$2)</f>
      </c>
      <c r="U25" s="92" t="str">
        <f>Q25*T25</f>
      </c>
      <c r="V25" s="93" t="str">
        <f>R25*T25</f>
      </c>
      <c r="W25" s="94" t="str">
        <f>S25*T25</f>
      </c>
      <c r="X25" t="n">
        <v>0</v>
      </c>
      <c r="Y25" s="95" t="n">
        <v>2017</v>
      </c>
      <c r="Z25" t="s">
        <v>266</v>
      </c>
      <c r="AA25" s="96" t="str">
        <f>IF(G25="shared-count-once",COUNTIFS($A$2:$A$313,A25,$B$2:$B$313,B25,$D$2:$D$313,D25),1)</f>
      </c>
    </row>
    <row r="26">
      <c r="A26" t="s">
        <v>164</v>
      </c>
      <c r="B26" s="74" t="n">
        <v>2049</v>
      </c>
      <c r="C26" t="s">
        <v>164</v>
      </c>
      <c r="D26" s="75" t="s">
        <v>335</v>
      </c>
      <c r="E26" s="76" t="s">
        <v>336</v>
      </c>
      <c r="F26" s="77" t="s">
        <v>172</v>
      </c>
      <c r="G26" s="78" t="s">
        <v>337</v>
      </c>
      <c r="H26" s="79" t="s">
        <v>339</v>
      </c>
      <c r="I26" s="80" t="n">
        <v>1</v>
      </c>
      <c r="J26" s="81" t="n">
        <v>1</v>
      </c>
      <c r="K26" s="82" t="n">
        <v>0.0056</v>
      </c>
      <c r="L26" s="83" t="n">
        <v>323070815.966945</v>
      </c>
      <c r="M26" s="84" t="n">
        <v>323259246.716719</v>
      </c>
      <c r="N26" s="85" t="str">
        <f>MIN(MAX((B26-'Calculation_Assumptions'!$B$5+1)/'Calculation_Assumptions'!$B$7,0),1)</f>
      </c>
      <c r="O26" s="86" t="str">
        <f>L26*I26</f>
      </c>
      <c r="P26" s="87" t="str">
        <f>M26*I26</f>
      </c>
      <c r="Q26" s="88" t="str">
        <f>P26*'Calculation_Assumptions'!$B$14*J26*K26</f>
      </c>
      <c r="R26" s="89" t="str">
        <f>O26*N26*J26*K26</f>
      </c>
      <c r="S26" s="90" t="str">
        <f>R26-Q26</f>
      </c>
      <c r="T26" s="91" t="str">
        <f>1/(1+'Calculation_Assumptions'!$B$8)^(B26-'Calculation_Assumptions'!$B$2)</f>
      </c>
      <c r="U26" s="92" t="str">
        <f>Q26*T26</f>
      </c>
      <c r="V26" s="93" t="str">
        <f>R26*T26</f>
      </c>
      <c r="W26" s="94" t="str">
        <f>S26*T26</f>
      </c>
      <c r="X26" t="n">
        <v>0</v>
      </c>
      <c r="Y26" s="95" t="n">
        <v>2017</v>
      </c>
      <c r="Z26" t="s">
        <v>266</v>
      </c>
      <c r="AA26" s="96" t="str">
        <f>IF(G26="shared-count-once",COUNTIFS($A$2:$A$313,A26,$B$2:$B$313,B26,$D$2:$D$313,D26),1)</f>
      </c>
    </row>
    <row r="27">
      <c r="A27" t="s">
        <v>164</v>
      </c>
      <c r="B27" s="74" t="n">
        <v>2050</v>
      </c>
      <c r="C27" t="s">
        <v>164</v>
      </c>
      <c r="D27" s="75" t="s">
        <v>335</v>
      </c>
      <c r="E27" s="76" t="s">
        <v>336</v>
      </c>
      <c r="F27" s="77" t="s">
        <v>172</v>
      </c>
      <c r="G27" s="78" t="s">
        <v>337</v>
      </c>
      <c r="H27" s="79" t="s">
        <v>339</v>
      </c>
      <c r="I27" s="80" t="n">
        <v>1</v>
      </c>
      <c r="J27" s="81" t="n">
        <v>1</v>
      </c>
      <c r="K27" s="82" t="n">
        <v>0.0056</v>
      </c>
      <c r="L27" s="83" t="n">
        <v>323814616.574504</v>
      </c>
      <c r="M27" s="84" t="n">
        <v>324013738.182479</v>
      </c>
      <c r="N27" s="85" t="str">
        <f>MIN(MAX((B27-'Calculation_Assumptions'!$B$5+1)/'Calculation_Assumptions'!$B$7,0),1)</f>
      </c>
      <c r="O27" s="86" t="str">
        <f>L27*I27</f>
      </c>
      <c r="P27" s="87" t="str">
        <f>M27*I27</f>
      </c>
      <c r="Q27" s="88" t="str">
        <f>P27*'Calculation_Assumptions'!$B$14*J27*K27</f>
      </c>
      <c r="R27" s="89" t="str">
        <f>O27*N27*J27*K27</f>
      </c>
      <c r="S27" s="90" t="str">
        <f>R27-Q27</f>
      </c>
      <c r="T27" s="91" t="str">
        <f>1/(1+'Calculation_Assumptions'!$B$8)^(B27-'Calculation_Assumptions'!$B$2)</f>
      </c>
      <c r="U27" s="92" t="str">
        <f>Q27*T27</f>
      </c>
      <c r="V27" s="93" t="str">
        <f>R27*T27</f>
      </c>
      <c r="W27" s="94" t="str">
        <f>S27*T27</f>
      </c>
      <c r="X27" t="n">
        <v>0</v>
      </c>
      <c r="Y27" s="95" t="n">
        <v>2017</v>
      </c>
      <c r="Z27" t="s">
        <v>266</v>
      </c>
      <c r="AA27" s="96" t="str">
        <f>IF(G27="shared-count-once",COUNTIFS($A$2:$A$313,A27,$B$2:$B$313,B27,$D$2:$D$313,D27),1)</f>
      </c>
    </row>
    <row r="28">
      <c r="A28" t="s">
        <v>187</v>
      </c>
      <c r="B28" s="74" t="n">
        <v>2025</v>
      </c>
      <c r="C28" t="s">
        <v>187</v>
      </c>
      <c r="D28" s="75" t="s">
        <v>342</v>
      </c>
      <c r="E28" s="76" t="s">
        <v>343</v>
      </c>
      <c r="F28" s="77" t="s">
        <v>190</v>
      </c>
      <c r="G28" s="78" t="s">
        <v>337</v>
      </c>
      <c r="H28" s="79" t="s">
        <v>339</v>
      </c>
      <c r="I28" s="80" t="n">
        <v>1</v>
      </c>
      <c r="J28" s="81" t="n">
        <v>1</v>
      </c>
      <c r="K28" s="82" t="n">
        <v>0.004</v>
      </c>
      <c r="L28" s="83" t="n">
        <v>288000821.106462</v>
      </c>
      <c r="M28" s="84" t="n">
        <v>288000821.106462</v>
      </c>
      <c r="N28" s="85" t="str">
        <f>MIN(MAX((B28-'Calculation_Assumptions'!$B$5+1)/'Calculation_Assumptions'!$B$7,0),1)</f>
      </c>
      <c r="O28" s="86" t="str">
        <f>L28*I28</f>
      </c>
      <c r="P28" s="87" t="str">
        <f>M28*I28</f>
      </c>
      <c r="Q28" s="88" t="str">
        <f>P28*'Calculation_Assumptions'!$B$14*J28*K28</f>
      </c>
      <c r="R28" s="89" t="str">
        <f>O28*N28*J28*K28</f>
      </c>
      <c r="S28" s="90" t="str">
        <f>R28-Q28</f>
      </c>
      <c r="T28" s="91" t="str">
        <f>1/(1+'Calculation_Assumptions'!$B$8)^(B28-'Calculation_Assumptions'!$B$2)</f>
      </c>
      <c r="U28" s="92" t="str">
        <f>Q28*T28</f>
      </c>
      <c r="V28" s="93" t="str">
        <f>R28*T28</f>
      </c>
      <c r="W28" s="94" t="str">
        <f>S28*T28</f>
      </c>
      <c r="X28" t="n">
        <v>0</v>
      </c>
      <c r="Y28" s="95" t="n">
        <v>2017</v>
      </c>
      <c r="Z28" t="s">
        <v>266</v>
      </c>
      <c r="AA28" s="96" t="str">
        <f>IF(G28="shared-count-once",COUNTIFS($A$2:$A$313,A28,$B$2:$B$313,B28,$D$2:$D$313,D28),1)</f>
      </c>
    </row>
    <row r="29">
      <c r="A29" t="s">
        <v>187</v>
      </c>
      <c r="B29" s="74" t="n">
        <v>2026</v>
      </c>
      <c r="C29" t="s">
        <v>187</v>
      </c>
      <c r="D29" s="75" t="s">
        <v>342</v>
      </c>
      <c r="E29" s="76" t="s">
        <v>343</v>
      </c>
      <c r="F29" s="77" t="s">
        <v>190</v>
      </c>
      <c r="G29" s="78" t="s">
        <v>337</v>
      </c>
      <c r="H29" s="79" t="s">
        <v>339</v>
      </c>
      <c r="I29" s="80" t="n">
        <v>1</v>
      </c>
      <c r="J29" s="81" t="n">
        <v>1</v>
      </c>
      <c r="K29" s="82" t="n">
        <v>0.004</v>
      </c>
      <c r="L29" s="83" t="n">
        <v>290123496.103219</v>
      </c>
      <c r="M29" s="84" t="n">
        <v>290123496.103219</v>
      </c>
      <c r="N29" s="85" t="str">
        <f>MIN(MAX((B29-'Calculation_Assumptions'!$B$5+1)/'Calculation_Assumptions'!$B$7,0),1)</f>
      </c>
      <c r="O29" s="86" t="str">
        <f>L29*I29</f>
      </c>
      <c r="P29" s="87" t="str">
        <f>M29*I29</f>
      </c>
      <c r="Q29" s="88" t="str">
        <f>P29*'Calculation_Assumptions'!$B$14*J29*K29</f>
      </c>
      <c r="R29" s="89" t="str">
        <f>O29*N29*J29*K29</f>
      </c>
      <c r="S29" s="90" t="str">
        <f>R29-Q29</f>
      </c>
      <c r="T29" s="91" t="str">
        <f>1/(1+'Calculation_Assumptions'!$B$8)^(B29-'Calculation_Assumptions'!$B$2)</f>
      </c>
      <c r="U29" s="92" t="str">
        <f>Q29*T29</f>
      </c>
      <c r="V29" s="93" t="str">
        <f>R29*T29</f>
      </c>
      <c r="W29" s="94" t="str">
        <f>S29*T29</f>
      </c>
      <c r="X29" t="n">
        <v>0</v>
      </c>
      <c r="Y29" s="95" t="n">
        <v>2017</v>
      </c>
      <c r="Z29" t="s">
        <v>266</v>
      </c>
      <c r="AA29" s="96" t="str">
        <f>IF(G29="shared-count-once",COUNTIFS($A$2:$A$313,A29,$B$2:$B$313,B29,$D$2:$D$313,D29),1)</f>
      </c>
    </row>
    <row r="30">
      <c r="A30" t="s">
        <v>187</v>
      </c>
      <c r="B30" s="74" t="n">
        <v>2027</v>
      </c>
      <c r="C30" t="s">
        <v>187</v>
      </c>
      <c r="D30" s="75" t="s">
        <v>342</v>
      </c>
      <c r="E30" s="76" t="s">
        <v>343</v>
      </c>
      <c r="F30" s="77" t="s">
        <v>190</v>
      </c>
      <c r="G30" s="78" t="s">
        <v>337</v>
      </c>
      <c r="H30" s="79" t="s">
        <v>339</v>
      </c>
      <c r="I30" s="80" t="n">
        <v>1</v>
      </c>
      <c r="J30" s="81" t="n">
        <v>1</v>
      </c>
      <c r="K30" s="82" t="n">
        <v>0.004</v>
      </c>
      <c r="L30" s="83" t="n">
        <v>292252895.096956</v>
      </c>
      <c r="M30" s="84" t="n">
        <v>292252895.096956</v>
      </c>
      <c r="N30" s="85" t="str">
        <f>MIN(MAX((B30-'Calculation_Assumptions'!$B$5+1)/'Calculation_Assumptions'!$B$7,0),1)</f>
      </c>
      <c r="O30" s="86" t="str">
        <f>L30*I30</f>
      </c>
      <c r="P30" s="87" t="str">
        <f>M30*I30</f>
      </c>
      <c r="Q30" s="88" t="str">
        <f>P30*'Calculation_Assumptions'!$B$14*J30*K30</f>
      </c>
      <c r="R30" s="89" t="str">
        <f>O30*N30*J30*K30</f>
      </c>
      <c r="S30" s="90" t="str">
        <f>R30-Q30</f>
      </c>
      <c r="T30" s="91" t="str">
        <f>1/(1+'Calculation_Assumptions'!$B$8)^(B30-'Calculation_Assumptions'!$B$2)</f>
      </c>
      <c r="U30" s="92" t="str">
        <f>Q30*T30</f>
      </c>
      <c r="V30" s="93" t="str">
        <f>R30*T30</f>
      </c>
      <c r="W30" s="94" t="str">
        <f>S30*T30</f>
      </c>
      <c r="X30" t="n">
        <v>0</v>
      </c>
      <c r="Y30" s="95" t="n">
        <v>2017</v>
      </c>
      <c r="Z30" t="s">
        <v>266</v>
      </c>
      <c r="AA30" s="96" t="str">
        <f>IF(G30="shared-count-once",COUNTIFS($A$2:$A$313,A30,$B$2:$B$313,B30,$D$2:$D$313,D30),1)</f>
      </c>
    </row>
    <row r="31">
      <c r="A31" t="s">
        <v>187</v>
      </c>
      <c r="B31" s="74" t="n">
        <v>2028</v>
      </c>
      <c r="C31" t="s">
        <v>187</v>
      </c>
      <c r="D31" s="75" t="s">
        <v>342</v>
      </c>
      <c r="E31" s="76" t="s">
        <v>343</v>
      </c>
      <c r="F31" s="77" t="s">
        <v>190</v>
      </c>
      <c r="G31" s="78" t="s">
        <v>337</v>
      </c>
      <c r="H31" s="79" t="s">
        <v>339</v>
      </c>
      <c r="I31" s="80" t="n">
        <v>1</v>
      </c>
      <c r="J31" s="81" t="n">
        <v>1</v>
      </c>
      <c r="K31" s="82" t="n">
        <v>0.004</v>
      </c>
      <c r="L31" s="83" t="n">
        <v>294314895.349006</v>
      </c>
      <c r="M31" s="84" t="n">
        <v>294314895.305465</v>
      </c>
      <c r="N31" s="85" t="str">
        <f>MIN(MAX((B31-'Calculation_Assumptions'!$B$5+1)/'Calculation_Assumptions'!$B$7,0),1)</f>
      </c>
      <c r="O31" s="86" t="str">
        <f>L31*I31</f>
      </c>
      <c r="P31" s="87" t="str">
        <f>M31*I31</f>
      </c>
      <c r="Q31" s="88" t="str">
        <f>P31*'Calculation_Assumptions'!$B$14*J31*K31</f>
      </c>
      <c r="R31" s="89" t="str">
        <f>O31*N31*J31*K31</f>
      </c>
      <c r="S31" s="90" t="str">
        <f>R31-Q31</f>
      </c>
      <c r="T31" s="91" t="str">
        <f>1/(1+'Calculation_Assumptions'!$B$8)^(B31-'Calculation_Assumptions'!$B$2)</f>
      </c>
      <c r="U31" s="92" t="str">
        <f>Q31*T31</f>
      </c>
      <c r="V31" s="93" t="str">
        <f>R31*T31</f>
      </c>
      <c r="W31" s="94" t="str">
        <f>S31*T31</f>
      </c>
      <c r="X31" t="n">
        <v>0</v>
      </c>
      <c r="Y31" s="95" t="n">
        <v>2017</v>
      </c>
      <c r="Z31" t="s">
        <v>266</v>
      </c>
      <c r="AA31" s="96" t="str">
        <f>IF(G31="shared-count-once",COUNTIFS($A$2:$A$313,A31,$B$2:$B$313,B31,$D$2:$D$313,D31),1)</f>
      </c>
    </row>
    <row r="32">
      <c r="A32" t="s">
        <v>187</v>
      </c>
      <c r="B32" s="74" t="n">
        <v>2029</v>
      </c>
      <c r="C32" t="s">
        <v>187</v>
      </c>
      <c r="D32" s="75" t="s">
        <v>342</v>
      </c>
      <c r="E32" s="76" t="s">
        <v>343</v>
      </c>
      <c r="F32" s="77" t="s">
        <v>190</v>
      </c>
      <c r="G32" s="78" t="s">
        <v>337</v>
      </c>
      <c r="H32" s="79" t="s">
        <v>339</v>
      </c>
      <c r="I32" s="80" t="n">
        <v>1</v>
      </c>
      <c r="J32" s="81" t="n">
        <v>1</v>
      </c>
      <c r="K32" s="82" t="n">
        <v>0.004</v>
      </c>
      <c r="L32" s="83" t="n">
        <v>296341062.699734</v>
      </c>
      <c r="M32" s="84" t="n">
        <v>296341062.542853</v>
      </c>
      <c r="N32" s="85" t="str">
        <f>MIN(MAX((B32-'Calculation_Assumptions'!$B$5+1)/'Calculation_Assumptions'!$B$7,0),1)</f>
      </c>
      <c r="O32" s="86" t="str">
        <f>L32*I32</f>
      </c>
      <c r="P32" s="87" t="str">
        <f>M32*I32</f>
      </c>
      <c r="Q32" s="88" t="str">
        <f>P32*'Calculation_Assumptions'!$B$14*J32*K32</f>
      </c>
      <c r="R32" s="89" t="str">
        <f>O32*N32*J32*K32</f>
      </c>
      <c r="S32" s="90" t="str">
        <f>R32-Q32</f>
      </c>
      <c r="T32" s="91" t="str">
        <f>1/(1+'Calculation_Assumptions'!$B$8)^(B32-'Calculation_Assumptions'!$B$2)</f>
      </c>
      <c r="U32" s="92" t="str">
        <f>Q32*T32</f>
      </c>
      <c r="V32" s="93" t="str">
        <f>R32*T32</f>
      </c>
      <c r="W32" s="94" t="str">
        <f>S32*T32</f>
      </c>
      <c r="X32" t="n">
        <v>0</v>
      </c>
      <c r="Y32" s="95" t="n">
        <v>2017</v>
      </c>
      <c r="Z32" t="s">
        <v>266</v>
      </c>
      <c r="AA32" s="96" t="str">
        <f>IF(G32="shared-count-once",COUNTIFS($A$2:$A$313,A32,$B$2:$B$313,B32,$D$2:$D$313,D32),1)</f>
      </c>
    </row>
    <row r="33">
      <c r="A33" t="s">
        <v>187</v>
      </c>
      <c r="B33" s="74" t="n">
        <v>2030</v>
      </c>
      <c r="C33" t="s">
        <v>187</v>
      </c>
      <c r="D33" s="75" t="s">
        <v>342</v>
      </c>
      <c r="E33" s="76" t="s">
        <v>343</v>
      </c>
      <c r="F33" s="77" t="s">
        <v>190</v>
      </c>
      <c r="G33" s="78" t="s">
        <v>337</v>
      </c>
      <c r="H33" s="79" t="s">
        <v>339</v>
      </c>
      <c r="I33" s="80" t="n">
        <v>1</v>
      </c>
      <c r="J33" s="81" t="n">
        <v>1</v>
      </c>
      <c r="K33" s="82" t="n">
        <v>0.004</v>
      </c>
      <c r="L33" s="83" t="n">
        <v>298280286.416178</v>
      </c>
      <c r="M33" s="84" t="n">
        <v>298280286.057263</v>
      </c>
      <c r="N33" s="85" t="str">
        <f>MIN(MAX((B33-'Calculation_Assumptions'!$B$5+1)/'Calculation_Assumptions'!$B$7,0),1)</f>
      </c>
      <c r="O33" s="86" t="str">
        <f>L33*I33</f>
      </c>
      <c r="P33" s="87" t="str">
        <f>M33*I33</f>
      </c>
      <c r="Q33" s="88" t="str">
        <f>P33*'Calculation_Assumptions'!$B$14*J33*K33</f>
      </c>
      <c r="R33" s="89" t="str">
        <f>O33*N33*J33*K33</f>
      </c>
      <c r="S33" s="90" t="str">
        <f>R33-Q33</f>
      </c>
      <c r="T33" s="91" t="str">
        <f>1/(1+'Calculation_Assumptions'!$B$8)^(B33-'Calculation_Assumptions'!$B$2)</f>
      </c>
      <c r="U33" s="92" t="str">
        <f>Q33*T33</f>
      </c>
      <c r="V33" s="93" t="str">
        <f>R33*T33</f>
      </c>
      <c r="W33" s="94" t="str">
        <f>S33*T33</f>
      </c>
      <c r="X33" t="n">
        <v>0</v>
      </c>
      <c r="Y33" s="95" t="n">
        <v>2017</v>
      </c>
      <c r="Z33" t="s">
        <v>266</v>
      </c>
      <c r="AA33" s="96" t="str">
        <f>IF(G33="shared-count-once",COUNTIFS($A$2:$A$313,A33,$B$2:$B$313,B33,$D$2:$D$313,D33),1)</f>
      </c>
    </row>
    <row r="34">
      <c r="A34" t="s">
        <v>187</v>
      </c>
      <c r="B34" s="74" t="n">
        <v>2031</v>
      </c>
      <c r="C34" t="s">
        <v>187</v>
      </c>
      <c r="D34" s="75" t="s">
        <v>342</v>
      </c>
      <c r="E34" s="76" t="s">
        <v>343</v>
      </c>
      <c r="F34" s="77" t="s">
        <v>190</v>
      </c>
      <c r="G34" s="78" t="s">
        <v>337</v>
      </c>
      <c r="H34" s="79" t="s">
        <v>339</v>
      </c>
      <c r="I34" s="80" t="n">
        <v>1</v>
      </c>
      <c r="J34" s="81" t="n">
        <v>1</v>
      </c>
      <c r="K34" s="82" t="n">
        <v>0.004</v>
      </c>
      <c r="L34" s="83" t="n">
        <v>300152603.920562</v>
      </c>
      <c r="M34" s="84" t="n">
        <v>300152603.254782</v>
      </c>
      <c r="N34" s="85" t="str">
        <f>MIN(MAX((B34-'Calculation_Assumptions'!$B$5+1)/'Calculation_Assumptions'!$B$7,0),1)</f>
      </c>
      <c r="O34" s="86" t="str">
        <f>L34*I34</f>
      </c>
      <c r="P34" s="87" t="str">
        <f>M34*I34</f>
      </c>
      <c r="Q34" s="88" t="str">
        <f>P34*'Calculation_Assumptions'!$B$14*J34*K34</f>
      </c>
      <c r="R34" s="89" t="str">
        <f>O34*N34*J34*K34</f>
      </c>
      <c r="S34" s="90" t="str">
        <f>R34-Q34</f>
      </c>
      <c r="T34" s="91" t="str">
        <f>1/(1+'Calculation_Assumptions'!$B$8)^(B34-'Calculation_Assumptions'!$B$2)</f>
      </c>
      <c r="U34" s="92" t="str">
        <f>Q34*T34</f>
      </c>
      <c r="V34" s="93" t="str">
        <f>R34*T34</f>
      </c>
      <c r="W34" s="94" t="str">
        <f>S34*T34</f>
      </c>
      <c r="X34" t="n">
        <v>0</v>
      </c>
      <c r="Y34" s="95" t="n">
        <v>2017</v>
      </c>
      <c r="Z34" t="s">
        <v>266</v>
      </c>
      <c r="AA34" s="96" t="str">
        <f>IF(G34="shared-count-once",COUNTIFS($A$2:$A$313,A34,$B$2:$B$313,B34,$D$2:$D$313,D34),1)</f>
      </c>
    </row>
    <row r="35">
      <c r="A35" t="s">
        <v>187</v>
      </c>
      <c r="B35" s="74" t="n">
        <v>2032</v>
      </c>
      <c r="C35" t="s">
        <v>187</v>
      </c>
      <c r="D35" s="75" t="s">
        <v>342</v>
      </c>
      <c r="E35" s="76" t="s">
        <v>343</v>
      </c>
      <c r="F35" s="77" t="s">
        <v>190</v>
      </c>
      <c r="G35" s="78" t="s">
        <v>337</v>
      </c>
      <c r="H35" s="79" t="s">
        <v>339</v>
      </c>
      <c r="I35" s="80" t="n">
        <v>1</v>
      </c>
      <c r="J35" s="81" t="n">
        <v>1</v>
      </c>
      <c r="K35" s="82" t="n">
        <v>0.004</v>
      </c>
      <c r="L35" s="83" t="n">
        <v>301886268.280136</v>
      </c>
      <c r="M35" s="84" t="n">
        <v>301959399.633888</v>
      </c>
      <c r="N35" s="85" t="str">
        <f>MIN(MAX((B35-'Calculation_Assumptions'!$B$5+1)/'Calculation_Assumptions'!$B$7,0),1)</f>
      </c>
      <c r="O35" s="86" t="str">
        <f>L35*I35</f>
      </c>
      <c r="P35" s="87" t="str">
        <f>M35*I35</f>
      </c>
      <c r="Q35" s="88" t="str">
        <f>P35*'Calculation_Assumptions'!$B$14*J35*K35</f>
      </c>
      <c r="R35" s="89" t="str">
        <f>O35*N35*J35*K35</f>
      </c>
      <c r="S35" s="90" t="str">
        <f>R35-Q35</f>
      </c>
      <c r="T35" s="91" t="str">
        <f>1/(1+'Calculation_Assumptions'!$B$8)^(B35-'Calculation_Assumptions'!$B$2)</f>
      </c>
      <c r="U35" s="92" t="str">
        <f>Q35*T35</f>
      </c>
      <c r="V35" s="93" t="str">
        <f>R35*T35</f>
      </c>
      <c r="W35" s="94" t="str">
        <f>S35*T35</f>
      </c>
      <c r="X35" t="n">
        <v>0</v>
      </c>
      <c r="Y35" s="95" t="n">
        <v>2017</v>
      </c>
      <c r="Z35" t="s">
        <v>266</v>
      </c>
      <c r="AA35" s="96" t="str">
        <f>IF(G35="shared-count-once",COUNTIFS($A$2:$A$313,A35,$B$2:$B$313,B35,$D$2:$D$313,D35),1)</f>
      </c>
    </row>
    <row r="36">
      <c r="A36" t="s">
        <v>187</v>
      </c>
      <c r="B36" s="74" t="n">
        <v>2033</v>
      </c>
      <c r="C36" t="s">
        <v>187</v>
      </c>
      <c r="D36" s="75" t="s">
        <v>342</v>
      </c>
      <c r="E36" s="76" t="s">
        <v>343</v>
      </c>
      <c r="F36" s="77" t="s">
        <v>190</v>
      </c>
      <c r="G36" s="78" t="s">
        <v>337</v>
      </c>
      <c r="H36" s="79" t="s">
        <v>339</v>
      </c>
      <c r="I36" s="80" t="n">
        <v>1</v>
      </c>
      <c r="J36" s="81" t="n">
        <v>1</v>
      </c>
      <c r="K36" s="82" t="n">
        <v>0.004</v>
      </c>
      <c r="L36" s="83" t="n">
        <v>303619537.793292</v>
      </c>
      <c r="M36" s="84" t="n">
        <v>303701035.202051</v>
      </c>
      <c r="N36" s="85" t="str">
        <f>MIN(MAX((B36-'Calculation_Assumptions'!$B$5+1)/'Calculation_Assumptions'!$B$7,0),1)</f>
      </c>
      <c r="O36" s="86" t="str">
        <f>L36*I36</f>
      </c>
      <c r="P36" s="87" t="str">
        <f>M36*I36</f>
      </c>
      <c r="Q36" s="88" t="str">
        <f>P36*'Calculation_Assumptions'!$B$14*J36*K36</f>
      </c>
      <c r="R36" s="89" t="str">
        <f>O36*N36*J36*K36</f>
      </c>
      <c r="S36" s="90" t="str">
        <f>R36-Q36</f>
      </c>
      <c r="T36" s="91" t="str">
        <f>1/(1+'Calculation_Assumptions'!$B$8)^(B36-'Calculation_Assumptions'!$B$2)</f>
      </c>
      <c r="U36" s="92" t="str">
        <f>Q36*T36</f>
      </c>
      <c r="V36" s="93" t="str">
        <f>R36*T36</f>
      </c>
      <c r="W36" s="94" t="str">
        <f>S36*T36</f>
      </c>
      <c r="X36" t="n">
        <v>0</v>
      </c>
      <c r="Y36" s="95" t="n">
        <v>2017</v>
      </c>
      <c r="Z36" t="s">
        <v>266</v>
      </c>
      <c r="AA36" s="96" t="str">
        <f>IF(G36="shared-count-once",COUNTIFS($A$2:$A$313,A36,$B$2:$B$313,B36,$D$2:$D$313,D36),1)</f>
      </c>
    </row>
    <row r="37">
      <c r="A37" t="s">
        <v>187</v>
      </c>
      <c r="B37" s="74" t="n">
        <v>2034</v>
      </c>
      <c r="C37" t="s">
        <v>187</v>
      </c>
      <c r="D37" s="75" t="s">
        <v>342</v>
      </c>
      <c r="E37" s="76" t="s">
        <v>343</v>
      </c>
      <c r="F37" s="77" t="s">
        <v>190</v>
      </c>
      <c r="G37" s="78" t="s">
        <v>337</v>
      </c>
      <c r="H37" s="79" t="s">
        <v>339</v>
      </c>
      <c r="I37" s="80" t="n">
        <v>1</v>
      </c>
      <c r="J37" s="81" t="n">
        <v>1</v>
      </c>
      <c r="K37" s="82" t="n">
        <v>0.004</v>
      </c>
      <c r="L37" s="83" t="n">
        <v>305288028.509049</v>
      </c>
      <c r="M37" s="84" t="n">
        <v>305377998.093319</v>
      </c>
      <c r="N37" s="85" t="str">
        <f>MIN(MAX((B37-'Calculation_Assumptions'!$B$5+1)/'Calculation_Assumptions'!$B$7,0),1)</f>
      </c>
      <c r="O37" s="86" t="str">
        <f>L37*I37</f>
      </c>
      <c r="P37" s="87" t="str">
        <f>M37*I37</f>
      </c>
      <c r="Q37" s="88" t="str">
        <f>P37*'Calculation_Assumptions'!$B$14*J37*K37</f>
      </c>
      <c r="R37" s="89" t="str">
        <f>O37*N37*J37*K37</f>
      </c>
      <c r="S37" s="90" t="str">
        <f>R37-Q37</f>
      </c>
      <c r="T37" s="91" t="str">
        <f>1/(1+'Calculation_Assumptions'!$B$8)^(B37-'Calculation_Assumptions'!$B$2)</f>
      </c>
      <c r="U37" s="92" t="str">
        <f>Q37*T37</f>
      </c>
      <c r="V37" s="93" t="str">
        <f>R37*T37</f>
      </c>
      <c r="W37" s="94" t="str">
        <f>S37*T37</f>
      </c>
      <c r="X37" t="n">
        <v>0</v>
      </c>
      <c r="Y37" s="95" t="n">
        <v>2017</v>
      </c>
      <c r="Z37" t="s">
        <v>266</v>
      </c>
      <c r="AA37" s="96" t="str">
        <f>IF(G37="shared-count-once",COUNTIFS($A$2:$A$313,A37,$B$2:$B$313,B37,$D$2:$D$313,D37),1)</f>
      </c>
    </row>
    <row r="38">
      <c r="A38" t="s">
        <v>187</v>
      </c>
      <c r="B38" s="74" t="n">
        <v>2035</v>
      </c>
      <c r="C38" t="s">
        <v>187</v>
      </c>
      <c r="D38" s="75" t="s">
        <v>342</v>
      </c>
      <c r="E38" s="76" t="s">
        <v>343</v>
      </c>
      <c r="F38" s="77" t="s">
        <v>190</v>
      </c>
      <c r="G38" s="78" t="s">
        <v>337</v>
      </c>
      <c r="H38" s="79" t="s">
        <v>339</v>
      </c>
      <c r="I38" s="80" t="n">
        <v>1</v>
      </c>
      <c r="J38" s="81" t="n">
        <v>1</v>
      </c>
      <c r="K38" s="82" t="n">
        <v>0.004</v>
      </c>
      <c r="L38" s="83" t="n">
        <v>306890892.836906</v>
      </c>
      <c r="M38" s="84" t="n">
        <v>306989258.29407</v>
      </c>
      <c r="N38" s="85" t="str">
        <f>MIN(MAX((B38-'Calculation_Assumptions'!$B$5+1)/'Calculation_Assumptions'!$B$7,0),1)</f>
      </c>
      <c r="O38" s="86" t="str">
        <f>L38*I38</f>
      </c>
      <c r="P38" s="87" t="str">
        <f>M38*I38</f>
      </c>
      <c r="Q38" s="88" t="str">
        <f>P38*'Calculation_Assumptions'!$B$14*J38*K38</f>
      </c>
      <c r="R38" s="89" t="str">
        <f>O38*N38*J38*K38</f>
      </c>
      <c r="S38" s="90" t="str">
        <f>R38-Q38</f>
      </c>
      <c r="T38" s="91" t="str">
        <f>1/(1+'Calculation_Assumptions'!$B$8)^(B38-'Calculation_Assumptions'!$B$2)</f>
      </c>
      <c r="U38" s="92" t="str">
        <f>Q38*T38</f>
      </c>
      <c r="V38" s="93" t="str">
        <f>R38*T38</f>
      </c>
      <c r="W38" s="94" t="str">
        <f>S38*T38</f>
      </c>
      <c r="X38" t="n">
        <v>0</v>
      </c>
      <c r="Y38" s="95" t="n">
        <v>2017</v>
      </c>
      <c r="Z38" t="s">
        <v>266</v>
      </c>
      <c r="AA38" s="96" t="str">
        <f>IF(G38="shared-count-once",COUNTIFS($A$2:$A$313,A38,$B$2:$B$313,B38,$D$2:$D$313,D38),1)</f>
      </c>
    </row>
    <row r="39">
      <c r="A39" t="s">
        <v>187</v>
      </c>
      <c r="B39" s="74" t="n">
        <v>2036</v>
      </c>
      <c r="C39" t="s">
        <v>187</v>
      </c>
      <c r="D39" s="75" t="s">
        <v>342</v>
      </c>
      <c r="E39" s="76" t="s">
        <v>343</v>
      </c>
      <c r="F39" s="77" t="s">
        <v>190</v>
      </c>
      <c r="G39" s="78" t="s">
        <v>337</v>
      </c>
      <c r="H39" s="79" t="s">
        <v>339</v>
      </c>
      <c r="I39" s="80" t="n">
        <v>1</v>
      </c>
      <c r="J39" s="81" t="n">
        <v>1</v>
      </c>
      <c r="K39" s="82" t="n">
        <v>0.004</v>
      </c>
      <c r="L39" s="83" t="n">
        <v>308430965.621275</v>
      </c>
      <c r="M39" s="84" t="n">
        <v>308537399.672094</v>
      </c>
      <c r="N39" s="85" t="str">
        <f>MIN(MAX((B39-'Calculation_Assumptions'!$B$5+1)/'Calculation_Assumptions'!$B$7,0),1)</f>
      </c>
      <c r="O39" s="86" t="str">
        <f>L39*I39</f>
      </c>
      <c r="P39" s="87" t="str">
        <f>M39*I39</f>
      </c>
      <c r="Q39" s="88" t="str">
        <f>P39*'Calculation_Assumptions'!$B$14*J39*K39</f>
      </c>
      <c r="R39" s="89" t="str">
        <f>O39*N39*J39*K39</f>
      </c>
      <c r="S39" s="90" t="str">
        <f>R39-Q39</f>
      </c>
      <c r="T39" s="91" t="str">
        <f>1/(1+'Calculation_Assumptions'!$B$8)^(B39-'Calculation_Assumptions'!$B$2)</f>
      </c>
      <c r="U39" s="92" t="str">
        <f>Q39*T39</f>
      </c>
      <c r="V39" s="93" t="str">
        <f>R39*T39</f>
      </c>
      <c r="W39" s="94" t="str">
        <f>S39*T39</f>
      </c>
      <c r="X39" t="n">
        <v>0</v>
      </c>
      <c r="Y39" s="95" t="n">
        <v>2017</v>
      </c>
      <c r="Z39" t="s">
        <v>266</v>
      </c>
      <c r="AA39" s="96" t="str">
        <f>IF(G39="shared-count-once",COUNTIFS($A$2:$A$313,A39,$B$2:$B$313,B39,$D$2:$D$313,D39),1)</f>
      </c>
    </row>
    <row r="40">
      <c r="A40" t="s">
        <v>187</v>
      </c>
      <c r="B40" s="74" t="n">
        <v>2037</v>
      </c>
      <c r="C40" t="s">
        <v>187</v>
      </c>
      <c r="D40" s="75" t="s">
        <v>342</v>
      </c>
      <c r="E40" s="76" t="s">
        <v>343</v>
      </c>
      <c r="F40" s="77" t="s">
        <v>190</v>
      </c>
      <c r="G40" s="78" t="s">
        <v>337</v>
      </c>
      <c r="H40" s="79" t="s">
        <v>339</v>
      </c>
      <c r="I40" s="80" t="n">
        <v>1</v>
      </c>
      <c r="J40" s="81" t="n">
        <v>1</v>
      </c>
      <c r="K40" s="82" t="n">
        <v>0.004</v>
      </c>
      <c r="L40" s="83" t="n">
        <v>309909030.366933</v>
      </c>
      <c r="M40" s="84" t="n">
        <v>310023120.393472</v>
      </c>
      <c r="N40" s="85" t="str">
        <f>MIN(MAX((B40-'Calculation_Assumptions'!$B$5+1)/'Calculation_Assumptions'!$B$7,0),1)</f>
      </c>
      <c r="O40" s="86" t="str">
        <f>L40*I40</f>
      </c>
      <c r="P40" s="87" t="str">
        <f>M40*I40</f>
      </c>
      <c r="Q40" s="88" t="str">
        <f>P40*'Calculation_Assumptions'!$B$14*J40*K40</f>
      </c>
      <c r="R40" s="89" t="str">
        <f>O40*N40*J40*K40</f>
      </c>
      <c r="S40" s="90" t="str">
        <f>R40-Q40</f>
      </c>
      <c r="T40" s="91" t="str">
        <f>1/(1+'Calculation_Assumptions'!$B$8)^(B40-'Calculation_Assumptions'!$B$2)</f>
      </c>
      <c r="U40" s="92" t="str">
        <f>Q40*T40</f>
      </c>
      <c r="V40" s="93" t="str">
        <f>R40*T40</f>
      </c>
      <c r="W40" s="94" t="str">
        <f>S40*T40</f>
      </c>
      <c r="X40" t="n">
        <v>0</v>
      </c>
      <c r="Y40" s="95" t="n">
        <v>2017</v>
      </c>
      <c r="Z40" t="s">
        <v>266</v>
      </c>
      <c r="AA40" s="96" t="str">
        <f>IF(G40="shared-count-once",COUNTIFS($A$2:$A$313,A40,$B$2:$B$313,B40,$D$2:$D$313,D40),1)</f>
      </c>
    </row>
    <row r="41">
      <c r="A41" t="s">
        <v>187</v>
      </c>
      <c r="B41" s="74" t="n">
        <v>2038</v>
      </c>
      <c r="C41" t="s">
        <v>187</v>
      </c>
      <c r="D41" s="75" t="s">
        <v>342</v>
      </c>
      <c r="E41" s="76" t="s">
        <v>343</v>
      </c>
      <c r="F41" s="77" t="s">
        <v>190</v>
      </c>
      <c r="G41" s="78" t="s">
        <v>337</v>
      </c>
      <c r="H41" s="79" t="s">
        <v>339</v>
      </c>
      <c r="I41" s="80" t="n">
        <v>1</v>
      </c>
      <c r="J41" s="81" t="n">
        <v>1</v>
      </c>
      <c r="K41" s="82" t="n">
        <v>0.004</v>
      </c>
      <c r="L41" s="83" t="n">
        <v>311325164.122099</v>
      </c>
      <c r="M41" s="84" t="n">
        <v>311445837.134625</v>
      </c>
      <c r="N41" s="85" t="str">
        <f>MIN(MAX((B41-'Calculation_Assumptions'!$B$5+1)/'Calculation_Assumptions'!$B$7,0),1)</f>
      </c>
      <c r="O41" s="86" t="str">
        <f>L41*I41</f>
      </c>
      <c r="P41" s="87" t="str">
        <f>M41*I41</f>
      </c>
      <c r="Q41" s="88" t="str">
        <f>P41*'Calculation_Assumptions'!$B$14*J41*K41</f>
      </c>
      <c r="R41" s="89" t="str">
        <f>O41*N41*J41*K41</f>
      </c>
      <c r="S41" s="90" t="str">
        <f>R41-Q41</f>
      </c>
      <c r="T41" s="91" t="str">
        <f>1/(1+'Calculation_Assumptions'!$B$8)^(B41-'Calculation_Assumptions'!$B$2)</f>
      </c>
      <c r="U41" s="92" t="str">
        <f>Q41*T41</f>
      </c>
      <c r="V41" s="93" t="str">
        <f>R41*T41</f>
      </c>
      <c r="W41" s="94" t="str">
        <f>S41*T41</f>
      </c>
      <c r="X41" t="n">
        <v>0</v>
      </c>
      <c r="Y41" s="95" t="n">
        <v>2017</v>
      </c>
      <c r="Z41" t="s">
        <v>266</v>
      </c>
      <c r="AA41" s="96" t="str">
        <f>IF(G41="shared-count-once",COUNTIFS($A$2:$A$313,A41,$B$2:$B$313,B41,$D$2:$D$313,D41),1)</f>
      </c>
    </row>
    <row r="42">
      <c r="A42" t="s">
        <v>187</v>
      </c>
      <c r="B42" s="74" t="n">
        <v>2039</v>
      </c>
      <c r="C42" t="s">
        <v>187</v>
      </c>
      <c r="D42" s="75" t="s">
        <v>342</v>
      </c>
      <c r="E42" s="76" t="s">
        <v>343</v>
      </c>
      <c r="F42" s="77" t="s">
        <v>190</v>
      </c>
      <c r="G42" s="78" t="s">
        <v>337</v>
      </c>
      <c r="H42" s="79" t="s">
        <v>339</v>
      </c>
      <c r="I42" s="80" t="n">
        <v>1</v>
      </c>
      <c r="J42" s="81" t="n">
        <v>1</v>
      </c>
      <c r="K42" s="82" t="n">
        <v>0.004</v>
      </c>
      <c r="L42" s="83" t="n">
        <v>312680642.559273</v>
      </c>
      <c r="M42" s="84" t="n">
        <v>312806989.715685</v>
      </c>
      <c r="N42" s="85" t="str">
        <f>MIN(MAX((B42-'Calculation_Assumptions'!$B$5+1)/'Calculation_Assumptions'!$B$7,0),1)</f>
      </c>
      <c r="O42" s="86" t="str">
        <f>L42*I42</f>
      </c>
      <c r="P42" s="87" t="str">
        <f>M42*I42</f>
      </c>
      <c r="Q42" s="88" t="str">
        <f>P42*'Calculation_Assumptions'!$B$14*J42*K42</f>
      </c>
      <c r="R42" s="89" t="str">
        <f>O42*N42*J42*K42</f>
      </c>
      <c r="S42" s="90" t="str">
        <f>R42-Q42</f>
      </c>
      <c r="T42" s="91" t="str">
        <f>1/(1+'Calculation_Assumptions'!$B$8)^(B42-'Calculation_Assumptions'!$B$2)</f>
      </c>
      <c r="U42" s="92" t="str">
        <f>Q42*T42</f>
      </c>
      <c r="V42" s="93" t="str">
        <f>R42*T42</f>
      </c>
      <c r="W42" s="94" t="str">
        <f>S42*T42</f>
      </c>
      <c r="X42" t="n">
        <v>0</v>
      </c>
      <c r="Y42" s="95" t="n">
        <v>2017</v>
      </c>
      <c r="Z42" t="s">
        <v>266</v>
      </c>
      <c r="AA42" s="96" t="str">
        <f>IF(G42="shared-count-once",COUNTIFS($A$2:$A$313,A42,$B$2:$B$313,B42,$D$2:$D$313,D42),1)</f>
      </c>
    </row>
    <row r="43">
      <c r="A43" t="s">
        <v>187</v>
      </c>
      <c r="B43" s="74" t="n">
        <v>2040</v>
      </c>
      <c r="C43" t="s">
        <v>187</v>
      </c>
      <c r="D43" s="75" t="s">
        <v>342</v>
      </c>
      <c r="E43" s="76" t="s">
        <v>343</v>
      </c>
      <c r="F43" s="77" t="s">
        <v>190</v>
      </c>
      <c r="G43" s="78" t="s">
        <v>337</v>
      </c>
      <c r="H43" s="79" t="s">
        <v>339</v>
      </c>
      <c r="I43" s="80" t="n">
        <v>1</v>
      </c>
      <c r="J43" s="81" t="n">
        <v>1</v>
      </c>
      <c r="K43" s="82" t="n">
        <v>0.004</v>
      </c>
      <c r="L43" s="83" t="n">
        <v>313977868.48433</v>
      </c>
      <c r="M43" s="84" t="n">
        <v>314109251.582649</v>
      </c>
      <c r="N43" s="85" t="str">
        <f>MIN(MAX((B43-'Calculation_Assumptions'!$B$5+1)/'Calculation_Assumptions'!$B$7,0),1)</f>
      </c>
      <c r="O43" s="86" t="str">
        <f>L43*I43</f>
      </c>
      <c r="P43" s="87" t="str">
        <f>M43*I43</f>
      </c>
      <c r="Q43" s="88" t="str">
        <f>P43*'Calculation_Assumptions'!$B$14*J43*K43</f>
      </c>
      <c r="R43" s="89" t="str">
        <f>O43*N43*J43*K43</f>
      </c>
      <c r="S43" s="90" t="str">
        <f>R43-Q43</f>
      </c>
      <c r="T43" s="91" t="str">
        <f>1/(1+'Calculation_Assumptions'!$B$8)^(B43-'Calculation_Assumptions'!$B$2)</f>
      </c>
      <c r="U43" s="92" t="str">
        <f>Q43*T43</f>
      </c>
      <c r="V43" s="93" t="str">
        <f>R43*T43</f>
      </c>
      <c r="W43" s="94" t="str">
        <f>S43*T43</f>
      </c>
      <c r="X43" t="n">
        <v>0</v>
      </c>
      <c r="Y43" s="95" t="n">
        <v>2017</v>
      </c>
      <c r="Z43" t="s">
        <v>266</v>
      </c>
      <c r="AA43" s="96" t="str">
        <f>IF(G43="shared-count-once",COUNTIFS($A$2:$A$313,A43,$B$2:$B$313,B43,$D$2:$D$313,D43),1)</f>
      </c>
    </row>
    <row r="44">
      <c r="A44" t="s">
        <v>187</v>
      </c>
      <c r="B44" s="74" t="n">
        <v>2041</v>
      </c>
      <c r="C44" t="s">
        <v>187</v>
      </c>
      <c r="D44" s="75" t="s">
        <v>342</v>
      </c>
      <c r="E44" s="76" t="s">
        <v>343</v>
      </c>
      <c r="F44" s="77" t="s">
        <v>190</v>
      </c>
      <c r="G44" s="78" t="s">
        <v>337</v>
      </c>
      <c r="H44" s="79" t="s">
        <v>339</v>
      </c>
      <c r="I44" s="80" t="n">
        <v>1</v>
      </c>
      <c r="J44" s="81" t="n">
        <v>1</v>
      </c>
      <c r="K44" s="82" t="n">
        <v>0.004</v>
      </c>
      <c r="L44" s="83" t="n">
        <v>315215804.814153</v>
      </c>
      <c r="M44" s="84" t="n">
        <v>315352079.812423</v>
      </c>
      <c r="N44" s="85" t="str">
        <f>MIN(MAX((B44-'Calculation_Assumptions'!$B$5+1)/'Calculation_Assumptions'!$B$7,0),1)</f>
      </c>
      <c r="O44" s="86" t="str">
        <f>L44*I44</f>
      </c>
      <c r="P44" s="87" t="str">
        <f>M44*I44</f>
      </c>
      <c r="Q44" s="88" t="str">
        <f>P44*'Calculation_Assumptions'!$B$14*J44*K44</f>
      </c>
      <c r="R44" s="89" t="str">
        <f>O44*N44*J44*K44</f>
      </c>
      <c r="S44" s="90" t="str">
        <f>R44-Q44</f>
      </c>
      <c r="T44" s="91" t="str">
        <f>1/(1+'Calculation_Assumptions'!$B$8)^(B44-'Calculation_Assumptions'!$B$2)</f>
      </c>
      <c r="U44" s="92" t="str">
        <f>Q44*T44</f>
      </c>
      <c r="V44" s="93" t="str">
        <f>R44*T44</f>
      </c>
      <c r="W44" s="94" t="str">
        <f>S44*T44</f>
      </c>
      <c r="X44" t="n">
        <v>0</v>
      </c>
      <c r="Y44" s="95" t="n">
        <v>2017</v>
      </c>
      <c r="Z44" t="s">
        <v>266</v>
      </c>
      <c r="AA44" s="96" t="str">
        <f>IF(G44="shared-count-once",COUNTIFS($A$2:$A$313,A44,$B$2:$B$313,B44,$D$2:$D$313,D44),1)</f>
      </c>
    </row>
    <row r="45">
      <c r="A45" t="s">
        <v>187</v>
      </c>
      <c r="B45" s="74" t="n">
        <v>2042</v>
      </c>
      <c r="C45" t="s">
        <v>187</v>
      </c>
      <c r="D45" s="75" t="s">
        <v>342</v>
      </c>
      <c r="E45" s="76" t="s">
        <v>343</v>
      </c>
      <c r="F45" s="77" t="s">
        <v>190</v>
      </c>
      <c r="G45" s="78" t="s">
        <v>337</v>
      </c>
      <c r="H45" s="79" t="s">
        <v>339</v>
      </c>
      <c r="I45" s="80" t="n">
        <v>1</v>
      </c>
      <c r="J45" s="81" t="n">
        <v>1</v>
      </c>
      <c r="K45" s="82" t="n">
        <v>0.004</v>
      </c>
      <c r="L45" s="83" t="n">
        <v>316395293.735683</v>
      </c>
      <c r="M45" s="84" t="n">
        <v>316395286.312016</v>
      </c>
      <c r="N45" s="85" t="str">
        <f>MIN(MAX((B45-'Calculation_Assumptions'!$B$5+1)/'Calculation_Assumptions'!$B$7,0),1)</f>
      </c>
      <c r="O45" s="86" t="str">
        <f>L45*I45</f>
      </c>
      <c r="P45" s="87" t="str">
        <f>M45*I45</f>
      </c>
      <c r="Q45" s="88" t="str">
        <f>P45*'Calculation_Assumptions'!$B$14*J45*K45</f>
      </c>
      <c r="R45" s="89" t="str">
        <f>O45*N45*J45*K45</f>
      </c>
      <c r="S45" s="90" t="str">
        <f>R45-Q45</f>
      </c>
      <c r="T45" s="91" t="str">
        <f>1/(1+'Calculation_Assumptions'!$B$8)^(B45-'Calculation_Assumptions'!$B$2)</f>
      </c>
      <c r="U45" s="92" t="str">
        <f>Q45*T45</f>
      </c>
      <c r="V45" s="93" t="str">
        <f>R45*T45</f>
      </c>
      <c r="W45" s="94" t="str">
        <f>S45*T45</f>
      </c>
      <c r="X45" t="n">
        <v>0</v>
      </c>
      <c r="Y45" s="95" t="n">
        <v>2017</v>
      </c>
      <c r="Z45" t="s">
        <v>266</v>
      </c>
      <c r="AA45" s="96" t="str">
        <f>IF(G45="shared-count-once",COUNTIFS($A$2:$A$313,A45,$B$2:$B$313,B45,$D$2:$D$313,D45),1)</f>
      </c>
    </row>
    <row r="46">
      <c r="A46" t="s">
        <v>187</v>
      </c>
      <c r="B46" s="74" t="n">
        <v>2043</v>
      </c>
      <c r="C46" t="s">
        <v>187</v>
      </c>
      <c r="D46" s="75" t="s">
        <v>342</v>
      </c>
      <c r="E46" s="76" t="s">
        <v>343</v>
      </c>
      <c r="F46" s="77" t="s">
        <v>190</v>
      </c>
      <c r="G46" s="78" t="s">
        <v>337</v>
      </c>
      <c r="H46" s="79" t="s">
        <v>339</v>
      </c>
      <c r="I46" s="80" t="n">
        <v>1</v>
      </c>
      <c r="J46" s="81" t="n">
        <v>1</v>
      </c>
      <c r="K46" s="82" t="n">
        <v>0.004</v>
      </c>
      <c r="L46" s="83" t="n">
        <v>317619743.904387</v>
      </c>
      <c r="M46" s="84" t="n">
        <v>317619735.688289</v>
      </c>
      <c r="N46" s="85" t="str">
        <f>MIN(MAX((B46-'Calculation_Assumptions'!$B$5+1)/'Calculation_Assumptions'!$B$7,0),1)</f>
      </c>
      <c r="O46" s="86" t="str">
        <f>L46*I46</f>
      </c>
      <c r="P46" s="87" t="str">
        <f>M46*I46</f>
      </c>
      <c r="Q46" s="88" t="str">
        <f>P46*'Calculation_Assumptions'!$B$14*J46*K46</f>
      </c>
      <c r="R46" s="89" t="str">
        <f>O46*N46*J46*K46</f>
      </c>
      <c r="S46" s="90" t="str">
        <f>R46-Q46</f>
      </c>
      <c r="T46" s="91" t="str">
        <f>1/(1+'Calculation_Assumptions'!$B$8)^(B46-'Calculation_Assumptions'!$B$2)</f>
      </c>
      <c r="U46" s="92" t="str">
        <f>Q46*T46</f>
      </c>
      <c r="V46" s="93" t="str">
        <f>R46*T46</f>
      </c>
      <c r="W46" s="94" t="str">
        <f>S46*T46</f>
      </c>
      <c r="X46" t="n">
        <v>0</v>
      </c>
      <c r="Y46" s="95" t="n">
        <v>2017</v>
      </c>
      <c r="Z46" t="s">
        <v>266</v>
      </c>
      <c r="AA46" s="96" t="str">
        <f>IF(G46="shared-count-once",COUNTIFS($A$2:$A$313,A46,$B$2:$B$313,B46,$D$2:$D$313,D46),1)</f>
      </c>
    </row>
    <row r="47">
      <c r="A47" t="s">
        <v>187</v>
      </c>
      <c r="B47" s="74" t="n">
        <v>2044</v>
      </c>
      <c r="C47" t="s">
        <v>187</v>
      </c>
      <c r="D47" s="75" t="s">
        <v>342</v>
      </c>
      <c r="E47" s="76" t="s">
        <v>343</v>
      </c>
      <c r="F47" s="77" t="s">
        <v>190</v>
      </c>
      <c r="G47" s="78" t="s">
        <v>337</v>
      </c>
      <c r="H47" s="79" t="s">
        <v>339</v>
      </c>
      <c r="I47" s="80" t="n">
        <v>1</v>
      </c>
      <c r="J47" s="81" t="n">
        <v>1</v>
      </c>
      <c r="K47" s="82" t="n">
        <v>0.004</v>
      </c>
      <c r="L47" s="83" t="n">
        <v>318697144.789039</v>
      </c>
      <c r="M47" s="84" t="n">
        <v>318697135.863652</v>
      </c>
      <c r="N47" s="85" t="str">
        <f>MIN(MAX((B47-'Calculation_Assumptions'!$B$5+1)/'Calculation_Assumptions'!$B$7,0),1)</f>
      </c>
      <c r="O47" s="86" t="str">
        <f>L47*I47</f>
      </c>
      <c r="P47" s="87" t="str">
        <f>M47*I47</f>
      </c>
      <c r="Q47" s="88" t="str">
        <f>P47*'Calculation_Assumptions'!$B$14*J47*K47</f>
      </c>
      <c r="R47" s="89" t="str">
        <f>O47*N47*J47*K47</f>
      </c>
      <c r="S47" s="90" t="str">
        <f>R47-Q47</f>
      </c>
      <c r="T47" s="91" t="str">
        <f>1/(1+'Calculation_Assumptions'!$B$8)^(B47-'Calculation_Assumptions'!$B$2)</f>
      </c>
      <c r="U47" s="92" t="str">
        <f>Q47*T47</f>
      </c>
      <c r="V47" s="93" t="str">
        <f>R47*T47</f>
      </c>
      <c r="W47" s="94" t="str">
        <f>S47*T47</f>
      </c>
      <c r="X47" t="n">
        <v>0</v>
      </c>
      <c r="Y47" s="95" t="n">
        <v>2017</v>
      </c>
      <c r="Z47" t="s">
        <v>266</v>
      </c>
      <c r="AA47" s="96" t="str">
        <f>IF(G47="shared-count-once",COUNTIFS($A$2:$A$313,A47,$B$2:$B$313,B47,$D$2:$D$313,D47),1)</f>
      </c>
    </row>
    <row r="48">
      <c r="A48" t="s">
        <v>187</v>
      </c>
      <c r="B48" s="74" t="n">
        <v>2045</v>
      </c>
      <c r="C48" t="s">
        <v>187</v>
      </c>
      <c r="D48" s="75" t="s">
        <v>342</v>
      </c>
      <c r="E48" s="76" t="s">
        <v>343</v>
      </c>
      <c r="F48" s="77" t="s">
        <v>190</v>
      </c>
      <c r="G48" s="78" t="s">
        <v>337</v>
      </c>
      <c r="H48" s="79" t="s">
        <v>339</v>
      </c>
      <c r="I48" s="80" t="n">
        <v>1</v>
      </c>
      <c r="J48" s="81" t="n">
        <v>1</v>
      </c>
      <c r="K48" s="82" t="n">
        <v>0.004</v>
      </c>
      <c r="L48" s="83" t="n">
        <v>319717850.482626</v>
      </c>
      <c r="M48" s="84" t="n">
        <v>319717840.85179</v>
      </c>
      <c r="N48" s="85" t="str">
        <f>MIN(MAX((B48-'Calculation_Assumptions'!$B$5+1)/'Calculation_Assumptions'!$B$7,0),1)</f>
      </c>
      <c r="O48" s="86" t="str">
        <f>L48*I48</f>
      </c>
      <c r="P48" s="87" t="str">
        <f>M48*I48</f>
      </c>
      <c r="Q48" s="88" t="str">
        <f>P48*'Calculation_Assumptions'!$B$14*J48*K48</f>
      </c>
      <c r="R48" s="89" t="str">
        <f>O48*N48*J48*K48</f>
      </c>
      <c r="S48" s="90" t="str">
        <f>R48-Q48</f>
      </c>
      <c r="T48" s="91" t="str">
        <f>1/(1+'Calculation_Assumptions'!$B$8)^(B48-'Calculation_Assumptions'!$B$2)</f>
      </c>
      <c r="U48" s="92" t="str">
        <f>Q48*T48</f>
      </c>
      <c r="V48" s="93" t="str">
        <f>R48*T48</f>
      </c>
      <c r="W48" s="94" t="str">
        <f>S48*T48</f>
      </c>
      <c r="X48" t="n">
        <v>0</v>
      </c>
      <c r="Y48" s="95" t="n">
        <v>2017</v>
      </c>
      <c r="Z48" t="s">
        <v>266</v>
      </c>
      <c r="AA48" s="96" t="str">
        <f>IF(G48="shared-count-once",COUNTIFS($A$2:$A$313,A48,$B$2:$B$313,B48,$D$2:$D$313,D48),1)</f>
      </c>
    </row>
    <row r="49">
      <c r="A49" t="s">
        <v>187</v>
      </c>
      <c r="B49" s="74" t="n">
        <v>2046</v>
      </c>
      <c r="C49" t="s">
        <v>187</v>
      </c>
      <c r="D49" s="75" t="s">
        <v>342</v>
      </c>
      <c r="E49" s="76" t="s">
        <v>343</v>
      </c>
      <c r="F49" s="77" t="s">
        <v>190</v>
      </c>
      <c r="G49" s="78" t="s">
        <v>337</v>
      </c>
      <c r="H49" s="79" t="s">
        <v>339</v>
      </c>
      <c r="I49" s="80" t="n">
        <v>1</v>
      </c>
      <c r="J49" s="81" t="n">
        <v>1</v>
      </c>
      <c r="K49" s="82" t="n">
        <v>0.004</v>
      </c>
      <c r="L49" s="83" t="n">
        <v>320683890.137224</v>
      </c>
      <c r="M49" s="84" t="n">
        <v>320683879.806276</v>
      </c>
      <c r="N49" s="85" t="str">
        <f>MIN(MAX((B49-'Calculation_Assumptions'!$B$5+1)/'Calculation_Assumptions'!$B$7,0),1)</f>
      </c>
      <c r="O49" s="86" t="str">
        <f>L49*I49</f>
      </c>
      <c r="P49" s="87" t="str">
        <f>M49*I49</f>
      </c>
      <c r="Q49" s="88" t="str">
        <f>P49*'Calculation_Assumptions'!$B$14*J49*K49</f>
      </c>
      <c r="R49" s="89" t="str">
        <f>O49*N49*J49*K49</f>
      </c>
      <c r="S49" s="90" t="str">
        <f>R49-Q49</f>
      </c>
      <c r="T49" s="91" t="str">
        <f>1/(1+'Calculation_Assumptions'!$B$8)^(B49-'Calculation_Assumptions'!$B$2)</f>
      </c>
      <c r="U49" s="92" t="str">
        <f>Q49*T49</f>
      </c>
      <c r="V49" s="93" t="str">
        <f>R49*T49</f>
      </c>
      <c r="W49" s="94" t="str">
        <f>S49*T49</f>
      </c>
      <c r="X49" t="n">
        <v>0</v>
      </c>
      <c r="Y49" s="95" t="n">
        <v>2017</v>
      </c>
      <c r="Z49" t="s">
        <v>266</v>
      </c>
      <c r="AA49" s="96" t="str">
        <f>IF(G49="shared-count-once",COUNTIFS($A$2:$A$313,A49,$B$2:$B$313,B49,$D$2:$D$313,D49),1)</f>
      </c>
    </row>
    <row r="50">
      <c r="A50" t="s">
        <v>187</v>
      </c>
      <c r="B50" s="74" t="n">
        <v>2047</v>
      </c>
      <c r="C50" t="s">
        <v>187</v>
      </c>
      <c r="D50" s="75" t="s">
        <v>342</v>
      </c>
      <c r="E50" s="76" t="s">
        <v>343</v>
      </c>
      <c r="F50" s="77" t="s">
        <v>190</v>
      </c>
      <c r="G50" s="78" t="s">
        <v>337</v>
      </c>
      <c r="H50" s="79" t="s">
        <v>339</v>
      </c>
      <c r="I50" s="80" t="n">
        <v>1</v>
      </c>
      <c r="J50" s="81" t="n">
        <v>1</v>
      </c>
      <c r="K50" s="82" t="n">
        <v>0.004</v>
      </c>
      <c r="L50" s="83" t="n">
        <v>321595552.412697</v>
      </c>
      <c r="M50" s="84" t="n">
        <v>321595541.389526</v>
      </c>
      <c r="N50" s="85" t="str">
        <f>MIN(MAX((B50-'Calculation_Assumptions'!$B$5+1)/'Calculation_Assumptions'!$B$7,0),1)</f>
      </c>
      <c r="O50" s="86" t="str">
        <f>L50*I50</f>
      </c>
      <c r="P50" s="87" t="str">
        <f>M50*I50</f>
      </c>
      <c r="Q50" s="88" t="str">
        <f>P50*'Calculation_Assumptions'!$B$14*J50*K50</f>
      </c>
      <c r="R50" s="89" t="str">
        <f>O50*N50*J50*K50</f>
      </c>
      <c r="S50" s="90" t="str">
        <f>R50-Q50</f>
      </c>
      <c r="T50" s="91" t="str">
        <f>1/(1+'Calculation_Assumptions'!$B$8)^(B50-'Calculation_Assumptions'!$B$2)</f>
      </c>
      <c r="U50" s="92" t="str">
        <f>Q50*T50</f>
      </c>
      <c r="V50" s="93" t="str">
        <f>R50*T50</f>
      </c>
      <c r="W50" s="94" t="str">
        <f>S50*T50</f>
      </c>
      <c r="X50" t="n">
        <v>0</v>
      </c>
      <c r="Y50" s="95" t="n">
        <v>2017</v>
      </c>
      <c r="Z50" t="s">
        <v>266</v>
      </c>
      <c r="AA50" s="96" t="str">
        <f>IF(G50="shared-count-once",COUNTIFS($A$2:$A$313,A50,$B$2:$B$313,B50,$D$2:$D$313,D50),1)</f>
      </c>
    </row>
    <row r="51">
      <c r="A51" t="s">
        <v>187</v>
      </c>
      <c r="B51" s="74" t="n">
        <v>2048</v>
      </c>
      <c r="C51" t="s">
        <v>187</v>
      </c>
      <c r="D51" s="75" t="s">
        <v>342</v>
      </c>
      <c r="E51" s="76" t="s">
        <v>343</v>
      </c>
      <c r="F51" s="77" t="s">
        <v>190</v>
      </c>
      <c r="G51" s="78" t="s">
        <v>337</v>
      </c>
      <c r="H51" s="79" t="s">
        <v>339</v>
      </c>
      <c r="I51" s="80" t="n">
        <v>1</v>
      </c>
      <c r="J51" s="81" t="n">
        <v>1</v>
      </c>
      <c r="K51" s="82" t="n">
        <v>0.004</v>
      </c>
      <c r="L51" s="83" t="n">
        <v>322453634.374644</v>
      </c>
      <c r="M51" s="84" t="n">
        <v>322453622.669464</v>
      </c>
      <c r="N51" s="85" t="str">
        <f>MIN(MAX((B51-'Calculation_Assumptions'!$B$5+1)/'Calculation_Assumptions'!$B$7,0),1)</f>
      </c>
      <c r="O51" s="86" t="str">
        <f>L51*I51</f>
      </c>
      <c r="P51" s="87" t="str">
        <f>M51*I51</f>
      </c>
      <c r="Q51" s="88" t="str">
        <f>P51*'Calculation_Assumptions'!$B$14*J51*K51</f>
      </c>
      <c r="R51" s="89" t="str">
        <f>O51*N51*J51*K51</f>
      </c>
      <c r="S51" s="90" t="str">
        <f>R51-Q51</f>
      </c>
      <c r="T51" s="91" t="str">
        <f>1/(1+'Calculation_Assumptions'!$B$8)^(B51-'Calculation_Assumptions'!$B$2)</f>
      </c>
      <c r="U51" s="92" t="str">
        <f>Q51*T51</f>
      </c>
      <c r="V51" s="93" t="str">
        <f>R51*T51</f>
      </c>
      <c r="W51" s="94" t="str">
        <f>S51*T51</f>
      </c>
      <c r="X51" t="n">
        <v>0</v>
      </c>
      <c r="Y51" s="95" t="n">
        <v>2017</v>
      </c>
      <c r="Z51" t="s">
        <v>266</v>
      </c>
      <c r="AA51" s="96" t="str">
        <f>IF(G51="shared-count-once",COUNTIFS($A$2:$A$313,A51,$B$2:$B$313,B51,$D$2:$D$313,D51),1)</f>
      </c>
    </row>
    <row r="52">
      <c r="A52" t="s">
        <v>187</v>
      </c>
      <c r="B52" s="74" t="n">
        <v>2049</v>
      </c>
      <c r="C52" t="s">
        <v>187</v>
      </c>
      <c r="D52" s="75" t="s">
        <v>342</v>
      </c>
      <c r="E52" s="76" t="s">
        <v>343</v>
      </c>
      <c r="F52" s="77" t="s">
        <v>190</v>
      </c>
      <c r="G52" s="78" t="s">
        <v>337</v>
      </c>
      <c r="H52" s="79" t="s">
        <v>339</v>
      </c>
      <c r="I52" s="80" t="n">
        <v>1</v>
      </c>
      <c r="J52" s="81" t="n">
        <v>1</v>
      </c>
      <c r="K52" s="82" t="n">
        <v>0.004</v>
      </c>
      <c r="L52" s="83" t="n">
        <v>323070821.461351</v>
      </c>
      <c r="M52" s="84" t="n">
        <v>323259246.716719</v>
      </c>
      <c r="N52" s="85" t="str">
        <f>MIN(MAX((B52-'Calculation_Assumptions'!$B$5+1)/'Calculation_Assumptions'!$B$7,0),1)</f>
      </c>
      <c r="O52" s="86" t="str">
        <f>L52*I52</f>
      </c>
      <c r="P52" s="87" t="str">
        <f>M52*I52</f>
      </c>
      <c r="Q52" s="88" t="str">
        <f>P52*'Calculation_Assumptions'!$B$14*J52*K52</f>
      </c>
      <c r="R52" s="89" t="str">
        <f>O52*N52*J52*K52</f>
      </c>
      <c r="S52" s="90" t="str">
        <f>R52-Q52</f>
      </c>
      <c r="T52" s="91" t="str">
        <f>1/(1+'Calculation_Assumptions'!$B$8)^(B52-'Calculation_Assumptions'!$B$2)</f>
      </c>
      <c r="U52" s="92" t="str">
        <f>Q52*T52</f>
      </c>
      <c r="V52" s="93" t="str">
        <f>R52*T52</f>
      </c>
      <c r="W52" s="94" t="str">
        <f>S52*T52</f>
      </c>
      <c r="X52" t="n">
        <v>0</v>
      </c>
      <c r="Y52" s="95" t="n">
        <v>2017</v>
      </c>
      <c r="Z52" t="s">
        <v>266</v>
      </c>
      <c r="AA52" s="96" t="str">
        <f>IF(G52="shared-count-once",COUNTIFS($A$2:$A$313,A52,$B$2:$B$313,B52,$D$2:$D$313,D52),1)</f>
      </c>
    </row>
    <row r="53">
      <c r="A53" t="s">
        <v>187</v>
      </c>
      <c r="B53" s="74" t="n">
        <v>2050</v>
      </c>
      <c r="C53" t="s">
        <v>187</v>
      </c>
      <c r="D53" s="75" t="s">
        <v>342</v>
      </c>
      <c r="E53" s="76" t="s">
        <v>343</v>
      </c>
      <c r="F53" s="77" t="s">
        <v>190</v>
      </c>
      <c r="G53" s="78" t="s">
        <v>337</v>
      </c>
      <c r="H53" s="79" t="s">
        <v>339</v>
      </c>
      <c r="I53" s="80" t="n">
        <v>1</v>
      </c>
      <c r="J53" s="81" t="n">
        <v>1</v>
      </c>
      <c r="K53" s="82" t="n">
        <v>0.004</v>
      </c>
      <c r="L53" s="83" t="n">
        <v>323814622.356605</v>
      </c>
      <c r="M53" s="84" t="n">
        <v>324013738.182479</v>
      </c>
      <c r="N53" s="85" t="str">
        <f>MIN(MAX((B53-'Calculation_Assumptions'!$B$5+1)/'Calculation_Assumptions'!$B$7,0),1)</f>
      </c>
      <c r="O53" s="86" t="str">
        <f>L53*I53</f>
      </c>
      <c r="P53" s="87" t="str">
        <f>M53*I53</f>
      </c>
      <c r="Q53" s="88" t="str">
        <f>P53*'Calculation_Assumptions'!$B$14*J53*K53</f>
      </c>
      <c r="R53" s="89" t="str">
        <f>O53*N53*J53*K53</f>
      </c>
      <c r="S53" s="90" t="str">
        <f>R53-Q53</f>
      </c>
      <c r="T53" s="91" t="str">
        <f>1/(1+'Calculation_Assumptions'!$B$8)^(B53-'Calculation_Assumptions'!$B$2)</f>
      </c>
      <c r="U53" s="92" t="str">
        <f>Q53*T53</f>
      </c>
      <c r="V53" s="93" t="str">
        <f>R53*T53</f>
      </c>
      <c r="W53" s="94" t="str">
        <f>S53*T53</f>
      </c>
      <c r="X53" t="n">
        <v>0</v>
      </c>
      <c r="Y53" s="95" t="n">
        <v>2017</v>
      </c>
      <c r="Z53" t="s">
        <v>266</v>
      </c>
      <c r="AA53" s="96" t="str">
        <f>IF(G53="shared-count-once",COUNTIFS($A$2:$A$313,A53,$B$2:$B$313,B53,$D$2:$D$313,D53),1)</f>
      </c>
    </row>
    <row r="54">
      <c r="A54" t="s">
        <v>195</v>
      </c>
      <c r="B54" s="74" t="n">
        <v>2025</v>
      </c>
      <c r="C54" t="s">
        <v>195</v>
      </c>
      <c r="D54" s="75" t="s">
        <v>344</v>
      </c>
      <c r="E54" s="76" t="s">
        <v>345</v>
      </c>
      <c r="F54" s="77" t="s">
        <v>199</v>
      </c>
      <c r="G54" s="78" t="s">
        <v>337</v>
      </c>
      <c r="H54" s="79" t="s">
        <v>339</v>
      </c>
      <c r="I54" s="80" t="n">
        <v>1</v>
      </c>
      <c r="J54" s="81" t="n">
        <v>1</v>
      </c>
      <c r="K54" s="82" t="n">
        <v>0.0351</v>
      </c>
      <c r="L54" s="83" t="n">
        <v>288000821.106462</v>
      </c>
      <c r="M54" s="84" t="n">
        <v>288000821.106462</v>
      </c>
      <c r="N54" s="85" t="str">
        <f>MIN(MAX((B54-'Calculation_Assumptions'!$B$5+1)/'Calculation_Assumptions'!$B$7,0),1)</f>
      </c>
      <c r="O54" s="86" t="str">
        <f>L54*I54</f>
      </c>
      <c r="P54" s="87" t="str">
        <f>M54*I54</f>
      </c>
      <c r="Q54" s="88" t="str">
        <f>P54*'Calculation_Assumptions'!$B$14*J54*K54</f>
      </c>
      <c r="R54" s="89" t="str">
        <f>O54*N54*J54*K54</f>
      </c>
      <c r="S54" s="90" t="str">
        <f>R54-Q54</f>
      </c>
      <c r="T54" s="91" t="str">
        <f>1/(1+'Calculation_Assumptions'!$B$8)^(B54-'Calculation_Assumptions'!$B$2)</f>
      </c>
      <c r="U54" s="92" t="str">
        <f>Q54*T54</f>
      </c>
      <c r="V54" s="93" t="str">
        <f>R54*T54</f>
      </c>
      <c r="W54" s="94" t="str">
        <f>S54*T54</f>
      </c>
      <c r="X54" t="n">
        <v>0</v>
      </c>
      <c r="Y54" s="95" t="n">
        <v>2017</v>
      </c>
      <c r="Z54" t="s">
        <v>266</v>
      </c>
      <c r="AA54" s="96" t="str">
        <f>IF(G54="shared-count-once",COUNTIFS($A$2:$A$313,A54,$B$2:$B$313,B54,$D$2:$D$313,D54),1)</f>
      </c>
    </row>
    <row r="55">
      <c r="A55" t="s">
        <v>195</v>
      </c>
      <c r="B55" s="74" t="n">
        <v>2026</v>
      </c>
      <c r="C55" t="s">
        <v>195</v>
      </c>
      <c r="D55" s="75" t="s">
        <v>344</v>
      </c>
      <c r="E55" s="76" t="s">
        <v>345</v>
      </c>
      <c r="F55" s="77" t="s">
        <v>199</v>
      </c>
      <c r="G55" s="78" t="s">
        <v>337</v>
      </c>
      <c r="H55" s="79" t="s">
        <v>339</v>
      </c>
      <c r="I55" s="80" t="n">
        <v>1</v>
      </c>
      <c r="J55" s="81" t="n">
        <v>1</v>
      </c>
      <c r="K55" s="82" t="n">
        <v>0.0351</v>
      </c>
      <c r="L55" s="83" t="n">
        <v>290123496.103219</v>
      </c>
      <c r="M55" s="84" t="n">
        <v>290123496.103219</v>
      </c>
      <c r="N55" s="85" t="str">
        <f>MIN(MAX((B55-'Calculation_Assumptions'!$B$5+1)/'Calculation_Assumptions'!$B$7,0),1)</f>
      </c>
      <c r="O55" s="86" t="str">
        <f>L55*I55</f>
      </c>
      <c r="P55" s="87" t="str">
        <f>M55*I55</f>
      </c>
      <c r="Q55" s="88" t="str">
        <f>P55*'Calculation_Assumptions'!$B$14*J55*K55</f>
      </c>
      <c r="R55" s="89" t="str">
        <f>O55*N55*J55*K55</f>
      </c>
      <c r="S55" s="90" t="str">
        <f>R55-Q55</f>
      </c>
      <c r="T55" s="91" t="str">
        <f>1/(1+'Calculation_Assumptions'!$B$8)^(B55-'Calculation_Assumptions'!$B$2)</f>
      </c>
      <c r="U55" s="92" t="str">
        <f>Q55*T55</f>
      </c>
      <c r="V55" s="93" t="str">
        <f>R55*T55</f>
      </c>
      <c r="W55" s="94" t="str">
        <f>S55*T55</f>
      </c>
      <c r="X55" t="n">
        <v>0</v>
      </c>
      <c r="Y55" s="95" t="n">
        <v>2017</v>
      </c>
      <c r="Z55" t="s">
        <v>266</v>
      </c>
      <c r="AA55" s="96" t="str">
        <f>IF(G55="shared-count-once",COUNTIFS($A$2:$A$313,A55,$B$2:$B$313,B55,$D$2:$D$313,D55),1)</f>
      </c>
    </row>
    <row r="56">
      <c r="A56" t="s">
        <v>195</v>
      </c>
      <c r="B56" s="74" t="n">
        <v>2027</v>
      </c>
      <c r="C56" t="s">
        <v>195</v>
      </c>
      <c r="D56" s="75" t="s">
        <v>344</v>
      </c>
      <c r="E56" s="76" t="s">
        <v>345</v>
      </c>
      <c r="F56" s="77" t="s">
        <v>199</v>
      </c>
      <c r="G56" s="78" t="s">
        <v>337</v>
      </c>
      <c r="H56" s="79" t="s">
        <v>339</v>
      </c>
      <c r="I56" s="80" t="n">
        <v>1</v>
      </c>
      <c r="J56" s="81" t="n">
        <v>1</v>
      </c>
      <c r="K56" s="82" t="n">
        <v>0.0351</v>
      </c>
      <c r="L56" s="83" t="n">
        <v>292252895.096956</v>
      </c>
      <c r="M56" s="84" t="n">
        <v>292252895.096956</v>
      </c>
      <c r="N56" s="85" t="str">
        <f>MIN(MAX((B56-'Calculation_Assumptions'!$B$5+1)/'Calculation_Assumptions'!$B$7,0),1)</f>
      </c>
      <c r="O56" s="86" t="str">
        <f>L56*I56</f>
      </c>
      <c r="P56" s="87" t="str">
        <f>M56*I56</f>
      </c>
      <c r="Q56" s="88" t="str">
        <f>P56*'Calculation_Assumptions'!$B$14*J56*K56</f>
      </c>
      <c r="R56" s="89" t="str">
        <f>O56*N56*J56*K56</f>
      </c>
      <c r="S56" s="90" t="str">
        <f>R56-Q56</f>
      </c>
      <c r="T56" s="91" t="str">
        <f>1/(1+'Calculation_Assumptions'!$B$8)^(B56-'Calculation_Assumptions'!$B$2)</f>
      </c>
      <c r="U56" s="92" t="str">
        <f>Q56*T56</f>
      </c>
      <c r="V56" s="93" t="str">
        <f>R56*T56</f>
      </c>
      <c r="W56" s="94" t="str">
        <f>S56*T56</f>
      </c>
      <c r="X56" t="n">
        <v>0</v>
      </c>
      <c r="Y56" s="95" t="n">
        <v>2017</v>
      </c>
      <c r="Z56" t="s">
        <v>266</v>
      </c>
      <c r="AA56" s="96" t="str">
        <f>IF(G56="shared-count-once",COUNTIFS($A$2:$A$313,A56,$B$2:$B$313,B56,$D$2:$D$313,D56),1)</f>
      </c>
    </row>
    <row r="57">
      <c r="A57" t="s">
        <v>195</v>
      </c>
      <c r="B57" s="74" t="n">
        <v>2028</v>
      </c>
      <c r="C57" t="s">
        <v>195</v>
      </c>
      <c r="D57" s="75" t="s">
        <v>344</v>
      </c>
      <c r="E57" s="76" t="s">
        <v>345</v>
      </c>
      <c r="F57" s="77" t="s">
        <v>199</v>
      </c>
      <c r="G57" s="78" t="s">
        <v>337</v>
      </c>
      <c r="H57" s="79" t="s">
        <v>339</v>
      </c>
      <c r="I57" s="80" t="n">
        <v>1</v>
      </c>
      <c r="J57" s="81" t="n">
        <v>1</v>
      </c>
      <c r="K57" s="82" t="n">
        <v>0.0351</v>
      </c>
      <c r="L57" s="83" t="n">
        <v>294318667.805847</v>
      </c>
      <c r="M57" s="84" t="n">
        <v>294314895.305465</v>
      </c>
      <c r="N57" s="85" t="str">
        <f>MIN(MAX((B57-'Calculation_Assumptions'!$B$5+1)/'Calculation_Assumptions'!$B$7,0),1)</f>
      </c>
      <c r="O57" s="86" t="str">
        <f>L57*I57</f>
      </c>
      <c r="P57" s="87" t="str">
        <f>M57*I57</f>
      </c>
      <c r="Q57" s="88" t="str">
        <f>P57*'Calculation_Assumptions'!$B$14*J57*K57</f>
      </c>
      <c r="R57" s="89" t="str">
        <f>O57*N57*J57*K57</f>
      </c>
      <c r="S57" s="90" t="str">
        <f>R57-Q57</f>
      </c>
      <c r="T57" s="91" t="str">
        <f>1/(1+'Calculation_Assumptions'!$B$8)^(B57-'Calculation_Assumptions'!$B$2)</f>
      </c>
      <c r="U57" s="92" t="str">
        <f>Q57*T57</f>
      </c>
      <c r="V57" s="93" t="str">
        <f>R57*T57</f>
      </c>
      <c r="W57" s="94" t="str">
        <f>S57*T57</f>
      </c>
      <c r="X57" t="n">
        <v>0</v>
      </c>
      <c r="Y57" s="95" t="n">
        <v>2017</v>
      </c>
      <c r="Z57" t="s">
        <v>266</v>
      </c>
      <c r="AA57" s="96" t="str">
        <f>IF(G57="shared-count-once",COUNTIFS($A$2:$A$313,A57,$B$2:$B$313,B57,$D$2:$D$313,D57),1)</f>
      </c>
    </row>
    <row r="58">
      <c r="A58" t="s">
        <v>195</v>
      </c>
      <c r="B58" s="74" t="n">
        <v>2029</v>
      </c>
      <c r="C58" t="s">
        <v>195</v>
      </c>
      <c r="D58" s="75" t="s">
        <v>344</v>
      </c>
      <c r="E58" s="76" t="s">
        <v>345</v>
      </c>
      <c r="F58" s="77" t="s">
        <v>199</v>
      </c>
      <c r="G58" s="78" t="s">
        <v>337</v>
      </c>
      <c r="H58" s="79" t="s">
        <v>339</v>
      </c>
      <c r="I58" s="80" t="n">
        <v>1</v>
      </c>
      <c r="J58" s="81" t="n">
        <v>1</v>
      </c>
      <c r="K58" s="82" t="n">
        <v>0.0351</v>
      </c>
      <c r="L58" s="83" t="n">
        <v>296354690.693478</v>
      </c>
      <c r="M58" s="84" t="n">
        <v>296341062.542853</v>
      </c>
      <c r="N58" s="85" t="str">
        <f>MIN(MAX((B58-'Calculation_Assumptions'!$B$5+1)/'Calculation_Assumptions'!$B$7,0),1)</f>
      </c>
      <c r="O58" s="86" t="str">
        <f>L58*I58</f>
      </c>
      <c r="P58" s="87" t="str">
        <f>M58*I58</f>
      </c>
      <c r="Q58" s="88" t="str">
        <f>P58*'Calculation_Assumptions'!$B$14*J58*K58</f>
      </c>
      <c r="R58" s="89" t="str">
        <f>O58*N58*J58*K58</f>
      </c>
      <c r="S58" s="90" t="str">
        <f>R58-Q58</f>
      </c>
      <c r="T58" s="91" t="str">
        <f>1/(1+'Calculation_Assumptions'!$B$8)^(B58-'Calculation_Assumptions'!$B$2)</f>
      </c>
      <c r="U58" s="92" t="str">
        <f>Q58*T58</f>
      </c>
      <c r="V58" s="93" t="str">
        <f>R58*T58</f>
      </c>
      <c r="W58" s="94" t="str">
        <f>S58*T58</f>
      </c>
      <c r="X58" t="n">
        <v>0</v>
      </c>
      <c r="Y58" s="95" t="n">
        <v>2017</v>
      </c>
      <c r="Z58" t="s">
        <v>266</v>
      </c>
      <c r="AA58" s="96" t="str">
        <f>IF(G58="shared-count-once",COUNTIFS($A$2:$A$313,A58,$B$2:$B$313,B58,$D$2:$D$313,D58),1)</f>
      </c>
    </row>
    <row r="59">
      <c r="A59" t="s">
        <v>195</v>
      </c>
      <c r="B59" s="74" t="n">
        <v>2030</v>
      </c>
      <c r="C59" t="s">
        <v>195</v>
      </c>
      <c r="D59" s="75" t="s">
        <v>344</v>
      </c>
      <c r="E59" s="76" t="s">
        <v>345</v>
      </c>
      <c r="F59" s="77" t="s">
        <v>199</v>
      </c>
      <c r="G59" s="78" t="s">
        <v>337</v>
      </c>
      <c r="H59" s="79" t="s">
        <v>339</v>
      </c>
      <c r="I59" s="80" t="n">
        <v>1</v>
      </c>
      <c r="J59" s="81" t="n">
        <v>1</v>
      </c>
      <c r="K59" s="82" t="n">
        <v>0.0351</v>
      </c>
      <c r="L59" s="83" t="n">
        <v>298311507.640124</v>
      </c>
      <c r="M59" s="84" t="n">
        <v>298280286.057263</v>
      </c>
      <c r="N59" s="85" t="str">
        <f>MIN(MAX((B59-'Calculation_Assumptions'!$B$5+1)/'Calculation_Assumptions'!$B$7,0),1)</f>
      </c>
      <c r="O59" s="86" t="str">
        <f>L59*I59</f>
      </c>
      <c r="P59" s="87" t="str">
        <f>M59*I59</f>
      </c>
      <c r="Q59" s="88" t="str">
        <f>P59*'Calculation_Assumptions'!$B$14*J59*K59</f>
      </c>
      <c r="R59" s="89" t="str">
        <f>O59*N59*J59*K59</f>
      </c>
      <c r="S59" s="90" t="str">
        <f>R59-Q59</f>
      </c>
      <c r="T59" s="91" t="str">
        <f>1/(1+'Calculation_Assumptions'!$B$8)^(B59-'Calculation_Assumptions'!$B$2)</f>
      </c>
      <c r="U59" s="92" t="str">
        <f>Q59*T59</f>
      </c>
      <c r="V59" s="93" t="str">
        <f>R59*T59</f>
      </c>
      <c r="W59" s="94" t="str">
        <f>S59*T59</f>
      </c>
      <c r="X59" t="n">
        <v>0</v>
      </c>
      <c r="Y59" s="95" t="n">
        <v>2017</v>
      </c>
      <c r="Z59" t="s">
        <v>266</v>
      </c>
      <c r="AA59" s="96" t="str">
        <f>IF(G59="shared-count-once",COUNTIFS($A$2:$A$313,A59,$B$2:$B$313,B59,$D$2:$D$313,D59),1)</f>
      </c>
    </row>
    <row r="60">
      <c r="A60" t="s">
        <v>195</v>
      </c>
      <c r="B60" s="74" t="n">
        <v>2031</v>
      </c>
      <c r="C60" t="s">
        <v>195</v>
      </c>
      <c r="D60" s="75" t="s">
        <v>344</v>
      </c>
      <c r="E60" s="76" t="s">
        <v>345</v>
      </c>
      <c r="F60" s="77" t="s">
        <v>199</v>
      </c>
      <c r="G60" s="78" t="s">
        <v>337</v>
      </c>
      <c r="H60" s="79" t="s">
        <v>339</v>
      </c>
      <c r="I60" s="80" t="n">
        <v>1</v>
      </c>
      <c r="J60" s="81" t="n">
        <v>1</v>
      </c>
      <c r="K60" s="82" t="n">
        <v>0.0351</v>
      </c>
      <c r="L60" s="83" t="n">
        <v>300210565.008526</v>
      </c>
      <c r="M60" s="84" t="n">
        <v>300152603.254782</v>
      </c>
      <c r="N60" s="85" t="str">
        <f>MIN(MAX((B60-'Calculation_Assumptions'!$B$5+1)/'Calculation_Assumptions'!$B$7,0),1)</f>
      </c>
      <c r="O60" s="86" t="str">
        <f>L60*I60</f>
      </c>
      <c r="P60" s="87" t="str">
        <f>M60*I60</f>
      </c>
      <c r="Q60" s="88" t="str">
        <f>P60*'Calculation_Assumptions'!$B$14*J60*K60</f>
      </c>
      <c r="R60" s="89" t="str">
        <f>O60*N60*J60*K60</f>
      </c>
      <c r="S60" s="90" t="str">
        <f>R60-Q60</f>
      </c>
      <c r="T60" s="91" t="str">
        <f>1/(1+'Calculation_Assumptions'!$B$8)^(B60-'Calculation_Assumptions'!$B$2)</f>
      </c>
      <c r="U60" s="92" t="str">
        <f>Q60*T60</f>
      </c>
      <c r="V60" s="93" t="str">
        <f>R60*T60</f>
      </c>
      <c r="W60" s="94" t="str">
        <f>S60*T60</f>
      </c>
      <c r="X60" t="n">
        <v>0</v>
      </c>
      <c r="Y60" s="95" t="n">
        <v>2017</v>
      </c>
      <c r="Z60" t="s">
        <v>266</v>
      </c>
      <c r="AA60" s="96" t="str">
        <f>IF(G60="shared-count-once",COUNTIFS($A$2:$A$313,A60,$B$2:$B$313,B60,$D$2:$D$313,D60),1)</f>
      </c>
    </row>
    <row r="61">
      <c r="A61" t="s">
        <v>195</v>
      </c>
      <c r="B61" s="74" t="n">
        <v>2032</v>
      </c>
      <c r="C61" t="s">
        <v>195</v>
      </c>
      <c r="D61" s="75" t="s">
        <v>344</v>
      </c>
      <c r="E61" s="76" t="s">
        <v>345</v>
      </c>
      <c r="F61" s="77" t="s">
        <v>199</v>
      </c>
      <c r="G61" s="78" t="s">
        <v>337</v>
      </c>
      <c r="H61" s="79" t="s">
        <v>339</v>
      </c>
      <c r="I61" s="80" t="n">
        <v>1</v>
      </c>
      <c r="J61" s="81" t="n">
        <v>1</v>
      </c>
      <c r="K61" s="82" t="n">
        <v>0.0351</v>
      </c>
      <c r="L61" s="83" t="n">
        <v>301980128.919278</v>
      </c>
      <c r="M61" s="84" t="n">
        <v>301959399.633888</v>
      </c>
      <c r="N61" s="85" t="str">
        <f>MIN(MAX((B61-'Calculation_Assumptions'!$B$5+1)/'Calculation_Assumptions'!$B$7,0),1)</f>
      </c>
      <c r="O61" s="86" t="str">
        <f>L61*I61</f>
      </c>
      <c r="P61" s="87" t="str">
        <f>M61*I61</f>
      </c>
      <c r="Q61" s="88" t="str">
        <f>P61*'Calculation_Assumptions'!$B$14*J61*K61</f>
      </c>
      <c r="R61" s="89" t="str">
        <f>O61*N61*J61*K61</f>
      </c>
      <c r="S61" s="90" t="str">
        <f>R61-Q61</f>
      </c>
      <c r="T61" s="91" t="str">
        <f>1/(1+'Calculation_Assumptions'!$B$8)^(B61-'Calculation_Assumptions'!$B$2)</f>
      </c>
      <c r="U61" s="92" t="str">
        <f>Q61*T61</f>
      </c>
      <c r="V61" s="93" t="str">
        <f>R61*T61</f>
      </c>
      <c r="W61" s="94" t="str">
        <f>S61*T61</f>
      </c>
      <c r="X61" t="n">
        <v>0</v>
      </c>
      <c r="Y61" s="95" t="n">
        <v>2017</v>
      </c>
      <c r="Z61" t="s">
        <v>266</v>
      </c>
      <c r="AA61" s="96" t="str">
        <f>IF(G61="shared-count-once",COUNTIFS($A$2:$A$313,A61,$B$2:$B$313,B61,$D$2:$D$313,D61),1)</f>
      </c>
    </row>
    <row r="62">
      <c r="A62" t="s">
        <v>195</v>
      </c>
      <c r="B62" s="74" t="n">
        <v>2033</v>
      </c>
      <c r="C62" t="s">
        <v>195</v>
      </c>
      <c r="D62" s="75" t="s">
        <v>344</v>
      </c>
      <c r="E62" s="76" t="s">
        <v>345</v>
      </c>
      <c r="F62" s="77" t="s">
        <v>199</v>
      </c>
      <c r="G62" s="78" t="s">
        <v>337</v>
      </c>
      <c r="H62" s="79" t="s">
        <v>339</v>
      </c>
      <c r="I62" s="80" t="n">
        <v>1</v>
      </c>
      <c r="J62" s="81" t="n">
        <v>1</v>
      </c>
      <c r="K62" s="82" t="n">
        <v>0.0351</v>
      </c>
      <c r="L62" s="83" t="n">
        <v>303756745.186049</v>
      </c>
      <c r="M62" s="84" t="n">
        <v>303701035.202051</v>
      </c>
      <c r="N62" s="85" t="str">
        <f>MIN(MAX((B62-'Calculation_Assumptions'!$B$5+1)/'Calculation_Assumptions'!$B$7,0),1)</f>
      </c>
      <c r="O62" s="86" t="str">
        <f>L62*I62</f>
      </c>
      <c r="P62" s="87" t="str">
        <f>M62*I62</f>
      </c>
      <c r="Q62" s="88" t="str">
        <f>P62*'Calculation_Assumptions'!$B$14*J62*K62</f>
      </c>
      <c r="R62" s="89" t="str">
        <f>O62*N62*J62*K62</f>
      </c>
      <c r="S62" s="90" t="str">
        <f>R62-Q62</f>
      </c>
      <c r="T62" s="91" t="str">
        <f>1/(1+'Calculation_Assumptions'!$B$8)^(B62-'Calculation_Assumptions'!$B$2)</f>
      </c>
      <c r="U62" s="92" t="str">
        <f>Q62*T62</f>
      </c>
      <c r="V62" s="93" t="str">
        <f>R62*T62</f>
      </c>
      <c r="W62" s="94" t="str">
        <f>S62*T62</f>
      </c>
      <c r="X62" t="n">
        <v>0</v>
      </c>
      <c r="Y62" s="95" t="n">
        <v>2017</v>
      </c>
      <c r="Z62" t="s">
        <v>266</v>
      </c>
      <c r="AA62" s="96" t="str">
        <f>IF(G62="shared-count-once",COUNTIFS($A$2:$A$313,A62,$B$2:$B$313,B62,$D$2:$D$313,D62),1)</f>
      </c>
    </row>
    <row r="63">
      <c r="A63" t="s">
        <v>195</v>
      </c>
      <c r="B63" s="74" t="n">
        <v>2034</v>
      </c>
      <c r="C63" t="s">
        <v>195</v>
      </c>
      <c r="D63" s="75" t="s">
        <v>344</v>
      </c>
      <c r="E63" s="76" t="s">
        <v>345</v>
      </c>
      <c r="F63" s="77" t="s">
        <v>199</v>
      </c>
      <c r="G63" s="78" t="s">
        <v>337</v>
      </c>
      <c r="H63" s="79" t="s">
        <v>339</v>
      </c>
      <c r="I63" s="80" t="n">
        <v>1</v>
      </c>
      <c r="J63" s="81" t="n">
        <v>1</v>
      </c>
      <c r="K63" s="82" t="n">
        <v>0.0351</v>
      </c>
      <c r="L63" s="83" t="n">
        <v>305473835.218247</v>
      </c>
      <c r="M63" s="84" t="n">
        <v>305377998.093319</v>
      </c>
      <c r="N63" s="85" t="str">
        <f>MIN(MAX((B63-'Calculation_Assumptions'!$B$5+1)/'Calculation_Assumptions'!$B$7,0),1)</f>
      </c>
      <c r="O63" s="86" t="str">
        <f>L63*I63</f>
      </c>
      <c r="P63" s="87" t="str">
        <f>M63*I63</f>
      </c>
      <c r="Q63" s="88" t="str">
        <f>P63*'Calculation_Assumptions'!$B$14*J63*K63</f>
      </c>
      <c r="R63" s="89" t="str">
        <f>O63*N63*J63*K63</f>
      </c>
      <c r="S63" s="90" t="str">
        <f>R63-Q63</f>
      </c>
      <c r="T63" s="91" t="str">
        <f>1/(1+'Calculation_Assumptions'!$B$8)^(B63-'Calculation_Assumptions'!$B$2)</f>
      </c>
      <c r="U63" s="92" t="str">
        <f>Q63*T63</f>
      </c>
      <c r="V63" s="93" t="str">
        <f>R63*T63</f>
      </c>
      <c r="W63" s="94" t="str">
        <f>S63*T63</f>
      </c>
      <c r="X63" t="n">
        <v>0</v>
      </c>
      <c r="Y63" s="95" t="n">
        <v>2017</v>
      </c>
      <c r="Z63" t="s">
        <v>266</v>
      </c>
      <c r="AA63" s="96" t="str">
        <f>IF(G63="shared-count-once",COUNTIFS($A$2:$A$313,A63,$B$2:$B$313,B63,$D$2:$D$313,D63),1)</f>
      </c>
    </row>
    <row r="64">
      <c r="A64" t="s">
        <v>195</v>
      </c>
      <c r="B64" s="74" t="n">
        <v>2035</v>
      </c>
      <c r="C64" t="s">
        <v>195</v>
      </c>
      <c r="D64" s="75" t="s">
        <v>344</v>
      </c>
      <c r="E64" s="76" t="s">
        <v>345</v>
      </c>
      <c r="F64" s="77" t="s">
        <v>199</v>
      </c>
      <c r="G64" s="78" t="s">
        <v>337</v>
      </c>
      <c r="H64" s="79" t="s">
        <v>339</v>
      </c>
      <c r="I64" s="80" t="n">
        <v>1</v>
      </c>
      <c r="J64" s="81" t="n">
        <v>1</v>
      </c>
      <c r="K64" s="82" t="n">
        <v>0.0351</v>
      </c>
      <c r="L64" s="83" t="n">
        <v>307129506.879934</v>
      </c>
      <c r="M64" s="84" t="n">
        <v>306989258.29407</v>
      </c>
      <c r="N64" s="85" t="str">
        <f>MIN(MAX((B64-'Calculation_Assumptions'!$B$5+1)/'Calculation_Assumptions'!$B$7,0),1)</f>
      </c>
      <c r="O64" s="86" t="str">
        <f>L64*I64</f>
      </c>
      <c r="P64" s="87" t="str">
        <f>M64*I64</f>
      </c>
      <c r="Q64" s="88" t="str">
        <f>P64*'Calculation_Assumptions'!$B$14*J64*K64</f>
      </c>
      <c r="R64" s="89" t="str">
        <f>O64*N64*J64*K64</f>
      </c>
      <c r="S64" s="90" t="str">
        <f>R64-Q64</f>
      </c>
      <c r="T64" s="91" t="str">
        <f>1/(1+'Calculation_Assumptions'!$B$8)^(B64-'Calculation_Assumptions'!$B$2)</f>
      </c>
      <c r="U64" s="92" t="str">
        <f>Q64*T64</f>
      </c>
      <c r="V64" s="93" t="str">
        <f>R64*T64</f>
      </c>
      <c r="W64" s="94" t="str">
        <f>S64*T64</f>
      </c>
      <c r="X64" t="n">
        <v>0</v>
      </c>
      <c r="Y64" s="95" t="n">
        <v>2017</v>
      </c>
      <c r="Z64" t="s">
        <v>266</v>
      </c>
      <c r="AA64" s="96" t="str">
        <f>IF(G64="shared-count-once",COUNTIFS($A$2:$A$313,A64,$B$2:$B$313,B64,$D$2:$D$313,D64),1)</f>
      </c>
    </row>
    <row r="65">
      <c r="A65" t="s">
        <v>195</v>
      </c>
      <c r="B65" s="74" t="n">
        <v>2036</v>
      </c>
      <c r="C65" t="s">
        <v>195</v>
      </c>
      <c r="D65" s="75" t="s">
        <v>344</v>
      </c>
      <c r="E65" s="76" t="s">
        <v>345</v>
      </c>
      <c r="F65" s="77" t="s">
        <v>199</v>
      </c>
      <c r="G65" s="78" t="s">
        <v>337</v>
      </c>
      <c r="H65" s="79" t="s">
        <v>339</v>
      </c>
      <c r="I65" s="80" t="n">
        <v>1</v>
      </c>
      <c r="J65" s="81" t="n">
        <v>1</v>
      </c>
      <c r="K65" s="82" t="n">
        <v>0.0351</v>
      </c>
      <c r="L65" s="83" t="n">
        <v>308725795.267541</v>
      </c>
      <c r="M65" s="84" t="n">
        <v>308537399.672094</v>
      </c>
      <c r="N65" s="85" t="str">
        <f>MIN(MAX((B65-'Calculation_Assumptions'!$B$5+1)/'Calculation_Assumptions'!$B$7,0),1)</f>
      </c>
      <c r="O65" s="86" t="str">
        <f>L65*I65</f>
      </c>
      <c r="P65" s="87" t="str">
        <f>M65*I65</f>
      </c>
      <c r="Q65" s="88" t="str">
        <f>P65*'Calculation_Assumptions'!$B$14*J65*K65</f>
      </c>
      <c r="R65" s="89" t="str">
        <f>O65*N65*J65*K65</f>
      </c>
      <c r="S65" s="90" t="str">
        <f>R65-Q65</f>
      </c>
      <c r="T65" s="91" t="str">
        <f>1/(1+'Calculation_Assumptions'!$B$8)^(B65-'Calculation_Assumptions'!$B$2)</f>
      </c>
      <c r="U65" s="92" t="str">
        <f>Q65*T65</f>
      </c>
      <c r="V65" s="93" t="str">
        <f>R65*T65</f>
      </c>
      <c r="W65" s="94" t="str">
        <f>S65*T65</f>
      </c>
      <c r="X65" t="n">
        <v>0</v>
      </c>
      <c r="Y65" s="95" t="n">
        <v>2017</v>
      </c>
      <c r="Z65" t="s">
        <v>266</v>
      </c>
      <c r="AA65" s="96" t="str">
        <f>IF(G65="shared-count-once",COUNTIFS($A$2:$A$313,A65,$B$2:$B$313,B65,$D$2:$D$313,D65),1)</f>
      </c>
    </row>
    <row r="66">
      <c r="A66" t="s">
        <v>195</v>
      </c>
      <c r="B66" s="74" t="n">
        <v>2037</v>
      </c>
      <c r="C66" t="s">
        <v>195</v>
      </c>
      <c r="D66" s="75" t="s">
        <v>344</v>
      </c>
      <c r="E66" s="76" t="s">
        <v>345</v>
      </c>
      <c r="F66" s="77" t="s">
        <v>199</v>
      </c>
      <c r="G66" s="78" t="s">
        <v>337</v>
      </c>
      <c r="H66" s="79" t="s">
        <v>339</v>
      </c>
      <c r="I66" s="80" t="n">
        <v>1</v>
      </c>
      <c r="J66" s="81" t="n">
        <v>1</v>
      </c>
      <c r="K66" s="82" t="n">
        <v>0.0351</v>
      </c>
      <c r="L66" s="83" t="n">
        <v>310262848.454415</v>
      </c>
      <c r="M66" s="84" t="n">
        <v>310023120.393472</v>
      </c>
      <c r="N66" s="85" t="str">
        <f>MIN(MAX((B66-'Calculation_Assumptions'!$B$5+1)/'Calculation_Assumptions'!$B$7,0),1)</f>
      </c>
      <c r="O66" s="86" t="str">
        <f>L66*I66</f>
      </c>
      <c r="P66" s="87" t="str">
        <f>M66*I66</f>
      </c>
      <c r="Q66" s="88" t="str">
        <f>P66*'Calculation_Assumptions'!$B$14*J66*K66</f>
      </c>
      <c r="R66" s="89" t="str">
        <f>O66*N66*J66*K66</f>
      </c>
      <c r="S66" s="90" t="str">
        <f>R66-Q66</f>
      </c>
      <c r="T66" s="91" t="str">
        <f>1/(1+'Calculation_Assumptions'!$B$8)^(B66-'Calculation_Assumptions'!$B$2)</f>
      </c>
      <c r="U66" s="92" t="str">
        <f>Q66*T66</f>
      </c>
      <c r="V66" s="93" t="str">
        <f>R66*T66</f>
      </c>
      <c r="W66" s="94" t="str">
        <f>S66*T66</f>
      </c>
      <c r="X66" t="n">
        <v>0</v>
      </c>
      <c r="Y66" s="95" t="n">
        <v>2017</v>
      </c>
      <c r="Z66" t="s">
        <v>266</v>
      </c>
      <c r="AA66" s="96" t="str">
        <f>IF(G66="shared-count-once",COUNTIFS($A$2:$A$313,A66,$B$2:$B$313,B66,$D$2:$D$313,D66),1)</f>
      </c>
    </row>
    <row r="67">
      <c r="A67" t="s">
        <v>195</v>
      </c>
      <c r="B67" s="74" t="n">
        <v>2038</v>
      </c>
      <c r="C67" t="s">
        <v>195</v>
      </c>
      <c r="D67" s="75" t="s">
        <v>344</v>
      </c>
      <c r="E67" s="76" t="s">
        <v>345</v>
      </c>
      <c r="F67" s="77" t="s">
        <v>199</v>
      </c>
      <c r="G67" s="78" t="s">
        <v>337</v>
      </c>
      <c r="H67" s="79" t="s">
        <v>339</v>
      </c>
      <c r="I67" s="80" t="n">
        <v>1</v>
      </c>
      <c r="J67" s="81" t="n">
        <v>1</v>
      </c>
      <c r="K67" s="82" t="n">
        <v>0.0351</v>
      </c>
      <c r="L67" s="83" t="n">
        <v>311740225.32238</v>
      </c>
      <c r="M67" s="84" t="n">
        <v>311445837.134625</v>
      </c>
      <c r="N67" s="85" t="str">
        <f>MIN(MAX((B67-'Calculation_Assumptions'!$B$5+1)/'Calculation_Assumptions'!$B$7,0),1)</f>
      </c>
      <c r="O67" s="86" t="str">
        <f>L67*I67</f>
      </c>
      <c r="P67" s="87" t="str">
        <f>M67*I67</f>
      </c>
      <c r="Q67" s="88" t="str">
        <f>P67*'Calculation_Assumptions'!$B$14*J67*K67</f>
      </c>
      <c r="R67" s="89" t="str">
        <f>O67*N67*J67*K67</f>
      </c>
      <c r="S67" s="90" t="str">
        <f>R67-Q67</f>
      </c>
      <c r="T67" s="91" t="str">
        <f>1/(1+'Calculation_Assumptions'!$B$8)^(B67-'Calculation_Assumptions'!$B$2)</f>
      </c>
      <c r="U67" s="92" t="str">
        <f>Q67*T67</f>
      </c>
      <c r="V67" s="93" t="str">
        <f>R67*T67</f>
      </c>
      <c r="W67" s="94" t="str">
        <f>S67*T67</f>
      </c>
      <c r="X67" t="n">
        <v>0</v>
      </c>
      <c r="Y67" s="95" t="n">
        <v>2017</v>
      </c>
      <c r="Z67" t="s">
        <v>266</v>
      </c>
      <c r="AA67" s="96" t="str">
        <f>IF(G67="shared-count-once",COUNTIFS($A$2:$A$313,A67,$B$2:$B$313,B67,$D$2:$D$313,D67),1)</f>
      </c>
    </row>
    <row r="68">
      <c r="A68" t="s">
        <v>195</v>
      </c>
      <c r="B68" s="74" t="n">
        <v>2039</v>
      </c>
      <c r="C68" t="s">
        <v>195</v>
      </c>
      <c r="D68" s="75" t="s">
        <v>344</v>
      </c>
      <c r="E68" s="76" t="s">
        <v>345</v>
      </c>
      <c r="F68" s="77" t="s">
        <v>199</v>
      </c>
      <c r="G68" s="78" t="s">
        <v>337</v>
      </c>
      <c r="H68" s="79" t="s">
        <v>339</v>
      </c>
      <c r="I68" s="80" t="n">
        <v>1</v>
      </c>
      <c r="J68" s="81" t="n">
        <v>1</v>
      </c>
      <c r="K68" s="82" t="n">
        <v>0.0351</v>
      </c>
      <c r="L68" s="83" t="n">
        <v>313158738.456818</v>
      </c>
      <c r="M68" s="84" t="n">
        <v>312806989.715685</v>
      </c>
      <c r="N68" s="85" t="str">
        <f>MIN(MAX((B68-'Calculation_Assumptions'!$B$5+1)/'Calculation_Assumptions'!$B$7,0),1)</f>
      </c>
      <c r="O68" s="86" t="str">
        <f>L68*I68</f>
      </c>
      <c r="P68" s="87" t="str">
        <f>M68*I68</f>
      </c>
      <c r="Q68" s="88" t="str">
        <f>P68*'Calculation_Assumptions'!$B$14*J68*K68</f>
      </c>
      <c r="R68" s="89" t="str">
        <f>O68*N68*J68*K68</f>
      </c>
      <c r="S68" s="90" t="str">
        <f>R68-Q68</f>
      </c>
      <c r="T68" s="91" t="str">
        <f>1/(1+'Calculation_Assumptions'!$B$8)^(B68-'Calculation_Assumptions'!$B$2)</f>
      </c>
      <c r="U68" s="92" t="str">
        <f>Q68*T68</f>
      </c>
      <c r="V68" s="93" t="str">
        <f>R68*T68</f>
      </c>
      <c r="W68" s="94" t="str">
        <f>S68*T68</f>
      </c>
      <c r="X68" t="n">
        <v>0</v>
      </c>
      <c r="Y68" s="95" t="n">
        <v>2017</v>
      </c>
      <c r="Z68" t="s">
        <v>266</v>
      </c>
      <c r="AA68" s="96" t="str">
        <f>IF(G68="shared-count-once",COUNTIFS($A$2:$A$313,A68,$B$2:$B$313,B68,$D$2:$D$313,D68),1)</f>
      </c>
    </row>
    <row r="69">
      <c r="A69" t="s">
        <v>195</v>
      </c>
      <c r="B69" s="74" t="n">
        <v>2040</v>
      </c>
      <c r="C69" t="s">
        <v>195</v>
      </c>
      <c r="D69" s="75" t="s">
        <v>344</v>
      </c>
      <c r="E69" s="76" t="s">
        <v>345</v>
      </c>
      <c r="F69" s="77" t="s">
        <v>199</v>
      </c>
      <c r="G69" s="78" t="s">
        <v>337</v>
      </c>
      <c r="H69" s="79" t="s">
        <v>339</v>
      </c>
      <c r="I69" s="80" t="n">
        <v>1</v>
      </c>
      <c r="J69" s="81" t="n">
        <v>1</v>
      </c>
      <c r="K69" s="82" t="n">
        <v>0.0351</v>
      </c>
      <c r="L69" s="83" t="n">
        <v>314520320.413446</v>
      </c>
      <c r="M69" s="84" t="n">
        <v>314109251.582649</v>
      </c>
      <c r="N69" s="85" t="str">
        <f>MIN(MAX((B69-'Calculation_Assumptions'!$B$5+1)/'Calculation_Assumptions'!$B$7,0),1)</f>
      </c>
      <c r="O69" s="86" t="str">
        <f>L69*I69</f>
      </c>
      <c r="P69" s="87" t="str">
        <f>M69*I69</f>
      </c>
      <c r="Q69" s="88" t="str">
        <f>P69*'Calculation_Assumptions'!$B$14*J69*K69</f>
      </c>
      <c r="R69" s="89" t="str">
        <f>O69*N69*J69*K69</f>
      </c>
      <c r="S69" s="90" t="str">
        <f>R69-Q69</f>
      </c>
      <c r="T69" s="91" t="str">
        <f>1/(1+'Calculation_Assumptions'!$B$8)^(B69-'Calculation_Assumptions'!$B$2)</f>
      </c>
      <c r="U69" s="92" t="str">
        <f>Q69*T69</f>
      </c>
      <c r="V69" s="93" t="str">
        <f>R69*T69</f>
      </c>
      <c r="W69" s="94" t="str">
        <f>S69*T69</f>
      </c>
      <c r="X69" t="n">
        <v>0</v>
      </c>
      <c r="Y69" s="95" t="n">
        <v>2017</v>
      </c>
      <c r="Z69" t="s">
        <v>266</v>
      </c>
      <c r="AA69" s="96" t="str">
        <f>IF(G69="shared-count-once",COUNTIFS($A$2:$A$313,A69,$B$2:$B$313,B69,$D$2:$D$313,D69),1)</f>
      </c>
    </row>
    <row r="70">
      <c r="A70" t="s">
        <v>195</v>
      </c>
      <c r="B70" s="74" t="n">
        <v>2041</v>
      </c>
      <c r="C70" t="s">
        <v>195</v>
      </c>
      <c r="D70" s="75" t="s">
        <v>344</v>
      </c>
      <c r="E70" s="76" t="s">
        <v>345</v>
      </c>
      <c r="F70" s="77" t="s">
        <v>199</v>
      </c>
      <c r="G70" s="78" t="s">
        <v>337</v>
      </c>
      <c r="H70" s="79" t="s">
        <v>339</v>
      </c>
      <c r="I70" s="80" t="n">
        <v>1</v>
      </c>
      <c r="J70" s="81" t="n">
        <v>1</v>
      </c>
      <c r="K70" s="82" t="n">
        <v>0.0351</v>
      </c>
      <c r="L70" s="83" t="n">
        <v>315823664.162864</v>
      </c>
      <c r="M70" s="84" t="n">
        <v>315352079.812423</v>
      </c>
      <c r="N70" s="85" t="str">
        <f>MIN(MAX((B70-'Calculation_Assumptions'!$B$5+1)/'Calculation_Assumptions'!$B$7,0),1)</f>
      </c>
      <c r="O70" s="86" t="str">
        <f>L70*I70</f>
      </c>
      <c r="P70" s="87" t="str">
        <f>M70*I70</f>
      </c>
      <c r="Q70" s="88" t="str">
        <f>P70*'Calculation_Assumptions'!$B$14*J70*K70</f>
      </c>
      <c r="R70" s="89" t="str">
        <f>O70*N70*J70*K70</f>
      </c>
      <c r="S70" s="90" t="str">
        <f>R70-Q70</f>
      </c>
      <c r="T70" s="91" t="str">
        <f>1/(1+'Calculation_Assumptions'!$B$8)^(B70-'Calculation_Assumptions'!$B$2)</f>
      </c>
      <c r="U70" s="92" t="str">
        <f>Q70*T70</f>
      </c>
      <c r="V70" s="93" t="str">
        <f>R70*T70</f>
      </c>
      <c r="W70" s="94" t="str">
        <f>S70*T70</f>
      </c>
      <c r="X70" t="n">
        <v>0</v>
      </c>
      <c r="Y70" s="95" t="n">
        <v>2017</v>
      </c>
      <c r="Z70" t="s">
        <v>266</v>
      </c>
      <c r="AA70" s="96" t="str">
        <f>IF(G70="shared-count-once",COUNTIFS($A$2:$A$313,A70,$B$2:$B$313,B70,$D$2:$D$313,D70),1)</f>
      </c>
    </row>
    <row r="71">
      <c r="A71" t="s">
        <v>195</v>
      </c>
      <c r="B71" s="74" t="n">
        <v>2042</v>
      </c>
      <c r="C71" t="s">
        <v>195</v>
      </c>
      <c r="D71" s="75" t="s">
        <v>344</v>
      </c>
      <c r="E71" s="76" t="s">
        <v>345</v>
      </c>
      <c r="F71" s="77" t="s">
        <v>199</v>
      </c>
      <c r="G71" s="78" t="s">
        <v>337</v>
      </c>
      <c r="H71" s="79" t="s">
        <v>339</v>
      </c>
      <c r="I71" s="80" t="n">
        <v>1</v>
      </c>
      <c r="J71" s="81" t="n">
        <v>1</v>
      </c>
      <c r="K71" s="82" t="n">
        <v>0.0351</v>
      </c>
      <c r="L71" s="83" t="n">
        <v>317069280.303352</v>
      </c>
      <c r="M71" s="84" t="n">
        <v>316395286.312016</v>
      </c>
      <c r="N71" s="85" t="str">
        <f>MIN(MAX((B71-'Calculation_Assumptions'!$B$5+1)/'Calculation_Assumptions'!$B$7,0),1)</f>
      </c>
      <c r="O71" s="86" t="str">
        <f>L71*I71</f>
      </c>
      <c r="P71" s="87" t="str">
        <f>M71*I71</f>
      </c>
      <c r="Q71" s="88" t="str">
        <f>P71*'Calculation_Assumptions'!$B$14*J71*K71</f>
      </c>
      <c r="R71" s="89" t="str">
        <f>O71*N71*J71*K71</f>
      </c>
      <c r="S71" s="90" t="str">
        <f>R71-Q71</f>
      </c>
      <c r="T71" s="91" t="str">
        <f>1/(1+'Calculation_Assumptions'!$B$8)^(B71-'Calculation_Assumptions'!$B$2)</f>
      </c>
      <c r="U71" s="92" t="str">
        <f>Q71*T71</f>
      </c>
      <c r="V71" s="93" t="str">
        <f>R71*T71</f>
      </c>
      <c r="W71" s="94" t="str">
        <f>S71*T71</f>
      </c>
      <c r="X71" t="n">
        <v>0</v>
      </c>
      <c r="Y71" s="95" t="n">
        <v>2017</v>
      </c>
      <c r="Z71" t="s">
        <v>266</v>
      </c>
      <c r="AA71" s="96" t="str">
        <f>IF(G71="shared-count-once",COUNTIFS($A$2:$A$313,A71,$B$2:$B$313,B71,$D$2:$D$313,D71),1)</f>
      </c>
    </row>
    <row r="72">
      <c r="A72" t="s">
        <v>195</v>
      </c>
      <c r="B72" s="74" t="n">
        <v>2043</v>
      </c>
      <c r="C72" t="s">
        <v>195</v>
      </c>
      <c r="D72" s="75" t="s">
        <v>344</v>
      </c>
      <c r="E72" s="76" t="s">
        <v>345</v>
      </c>
      <c r="F72" s="77" t="s">
        <v>199</v>
      </c>
      <c r="G72" s="78" t="s">
        <v>337</v>
      </c>
      <c r="H72" s="79" t="s">
        <v>339</v>
      </c>
      <c r="I72" s="80" t="n">
        <v>1</v>
      </c>
      <c r="J72" s="81" t="n">
        <v>1</v>
      </c>
      <c r="K72" s="82" t="n">
        <v>0.0351</v>
      </c>
      <c r="L72" s="83" t="n">
        <v>318369232.786934</v>
      </c>
      <c r="M72" s="84" t="n">
        <v>317619735.688289</v>
      </c>
      <c r="N72" s="85" t="str">
        <f>MIN(MAX((B72-'Calculation_Assumptions'!$B$5+1)/'Calculation_Assumptions'!$B$7,0),1)</f>
      </c>
      <c r="O72" s="86" t="str">
        <f>L72*I72</f>
      </c>
      <c r="P72" s="87" t="str">
        <f>M72*I72</f>
      </c>
      <c r="Q72" s="88" t="str">
        <f>P72*'Calculation_Assumptions'!$B$14*J72*K72</f>
      </c>
      <c r="R72" s="89" t="str">
        <f>O72*N72*J72*K72</f>
      </c>
      <c r="S72" s="90" t="str">
        <f>R72-Q72</f>
      </c>
      <c r="T72" s="91" t="str">
        <f>1/(1+'Calculation_Assumptions'!$B$8)^(B72-'Calculation_Assumptions'!$B$2)</f>
      </c>
      <c r="U72" s="92" t="str">
        <f>Q72*T72</f>
      </c>
      <c r="V72" s="93" t="str">
        <f>R72*T72</f>
      </c>
      <c r="W72" s="94" t="str">
        <f>S72*T72</f>
      </c>
      <c r="X72" t="n">
        <v>0</v>
      </c>
      <c r="Y72" s="95" t="n">
        <v>2017</v>
      </c>
      <c r="Z72" t="s">
        <v>266</v>
      </c>
      <c r="AA72" s="96" t="str">
        <f>IF(G72="shared-count-once",COUNTIFS($A$2:$A$313,A72,$B$2:$B$313,B72,$D$2:$D$313,D72),1)</f>
      </c>
    </row>
    <row r="73">
      <c r="A73" t="s">
        <v>195</v>
      </c>
      <c r="B73" s="74" t="n">
        <v>2044</v>
      </c>
      <c r="C73" t="s">
        <v>195</v>
      </c>
      <c r="D73" s="75" t="s">
        <v>344</v>
      </c>
      <c r="E73" s="76" t="s">
        <v>345</v>
      </c>
      <c r="F73" s="77" t="s">
        <v>199</v>
      </c>
      <c r="G73" s="78" t="s">
        <v>337</v>
      </c>
      <c r="H73" s="79" t="s">
        <v>339</v>
      </c>
      <c r="I73" s="80" t="n">
        <v>1</v>
      </c>
      <c r="J73" s="81" t="n">
        <v>1</v>
      </c>
      <c r="K73" s="82" t="n">
        <v>0.0351</v>
      </c>
      <c r="L73" s="83" t="n">
        <v>319514388.284457</v>
      </c>
      <c r="M73" s="84" t="n">
        <v>318697135.863652</v>
      </c>
      <c r="N73" s="85" t="str">
        <f>MIN(MAX((B73-'Calculation_Assumptions'!$B$5+1)/'Calculation_Assumptions'!$B$7,0),1)</f>
      </c>
      <c r="O73" s="86" t="str">
        <f>L73*I73</f>
      </c>
      <c r="P73" s="87" t="str">
        <f>M73*I73</f>
      </c>
      <c r="Q73" s="88" t="str">
        <f>P73*'Calculation_Assumptions'!$B$14*J73*K73</f>
      </c>
      <c r="R73" s="89" t="str">
        <f>O73*N73*J73*K73</f>
      </c>
      <c r="S73" s="90" t="str">
        <f>R73-Q73</f>
      </c>
      <c r="T73" s="91" t="str">
        <f>1/(1+'Calculation_Assumptions'!$B$8)^(B73-'Calculation_Assumptions'!$B$2)</f>
      </c>
      <c r="U73" s="92" t="str">
        <f>Q73*T73</f>
      </c>
      <c r="V73" s="93" t="str">
        <f>R73*T73</f>
      </c>
      <c r="W73" s="94" t="str">
        <f>S73*T73</f>
      </c>
      <c r="X73" t="n">
        <v>0</v>
      </c>
      <c r="Y73" s="95" t="n">
        <v>2017</v>
      </c>
      <c r="Z73" t="s">
        <v>266</v>
      </c>
      <c r="AA73" s="96" t="str">
        <f>IF(G73="shared-count-once",COUNTIFS($A$2:$A$313,A73,$B$2:$B$313,B73,$D$2:$D$313,D73),1)</f>
      </c>
    </row>
    <row r="74">
      <c r="A74" t="s">
        <v>195</v>
      </c>
      <c r="B74" s="74" t="n">
        <v>2045</v>
      </c>
      <c r="C74" t="s">
        <v>195</v>
      </c>
      <c r="D74" s="75" t="s">
        <v>344</v>
      </c>
      <c r="E74" s="76" t="s">
        <v>345</v>
      </c>
      <c r="F74" s="77" t="s">
        <v>199</v>
      </c>
      <c r="G74" s="78" t="s">
        <v>337</v>
      </c>
      <c r="H74" s="79" t="s">
        <v>339</v>
      </c>
      <c r="I74" s="80" t="n">
        <v>1</v>
      </c>
      <c r="J74" s="81" t="n">
        <v>1</v>
      </c>
      <c r="K74" s="82" t="n">
        <v>0.0351</v>
      </c>
      <c r="L74" s="83" t="n">
        <v>320602846.869582</v>
      </c>
      <c r="M74" s="84" t="n">
        <v>319717840.85179</v>
      </c>
      <c r="N74" s="85" t="str">
        <f>MIN(MAX((B74-'Calculation_Assumptions'!$B$5+1)/'Calculation_Assumptions'!$B$7,0),1)</f>
      </c>
      <c r="O74" s="86" t="str">
        <f>L74*I74</f>
      </c>
      <c r="P74" s="87" t="str">
        <f>M74*I74</f>
      </c>
      <c r="Q74" s="88" t="str">
        <f>P74*'Calculation_Assumptions'!$B$14*J74*K74</f>
      </c>
      <c r="R74" s="89" t="str">
        <f>O74*N74*J74*K74</f>
      </c>
      <c r="S74" s="90" t="str">
        <f>R74-Q74</f>
      </c>
      <c r="T74" s="91" t="str">
        <f>1/(1+'Calculation_Assumptions'!$B$8)^(B74-'Calculation_Assumptions'!$B$2)</f>
      </c>
      <c r="U74" s="92" t="str">
        <f>Q74*T74</f>
      </c>
      <c r="V74" s="93" t="str">
        <f>R74*T74</f>
      </c>
      <c r="W74" s="94" t="str">
        <f>S74*T74</f>
      </c>
      <c r="X74" t="n">
        <v>0</v>
      </c>
      <c r="Y74" s="95" t="n">
        <v>2017</v>
      </c>
      <c r="Z74" t="s">
        <v>266</v>
      </c>
      <c r="AA74" s="96" t="str">
        <f>IF(G74="shared-count-once",COUNTIFS($A$2:$A$313,A74,$B$2:$B$313,B74,$D$2:$D$313,D74),1)</f>
      </c>
    </row>
    <row r="75">
      <c r="A75" t="s">
        <v>195</v>
      </c>
      <c r="B75" s="74" t="n">
        <v>2046</v>
      </c>
      <c r="C75" t="s">
        <v>195</v>
      </c>
      <c r="D75" s="75" t="s">
        <v>344</v>
      </c>
      <c r="E75" s="76" t="s">
        <v>345</v>
      </c>
      <c r="F75" s="77" t="s">
        <v>199</v>
      </c>
      <c r="G75" s="78" t="s">
        <v>337</v>
      </c>
      <c r="H75" s="79" t="s">
        <v>339</v>
      </c>
      <c r="I75" s="80" t="n">
        <v>1</v>
      </c>
      <c r="J75" s="81" t="n">
        <v>1</v>
      </c>
      <c r="K75" s="82" t="n">
        <v>0.0351</v>
      </c>
      <c r="L75" s="83" t="n">
        <v>321636472.383982</v>
      </c>
      <c r="M75" s="84" t="n">
        <v>320683879.806276</v>
      </c>
      <c r="N75" s="85" t="str">
        <f>MIN(MAX((B75-'Calculation_Assumptions'!$B$5+1)/'Calculation_Assumptions'!$B$7,0),1)</f>
      </c>
      <c r="O75" s="86" t="str">
        <f>L75*I75</f>
      </c>
      <c r="P75" s="87" t="str">
        <f>M75*I75</f>
      </c>
      <c r="Q75" s="88" t="str">
        <f>P75*'Calculation_Assumptions'!$B$14*J75*K75</f>
      </c>
      <c r="R75" s="89" t="str">
        <f>O75*N75*J75*K75</f>
      </c>
      <c r="S75" s="90" t="str">
        <f>R75-Q75</f>
      </c>
      <c r="T75" s="91" t="str">
        <f>1/(1+'Calculation_Assumptions'!$B$8)^(B75-'Calculation_Assumptions'!$B$2)</f>
      </c>
      <c r="U75" s="92" t="str">
        <f>Q75*T75</f>
      </c>
      <c r="V75" s="93" t="str">
        <f>R75*T75</f>
      </c>
      <c r="W75" s="94" t="str">
        <f>S75*T75</f>
      </c>
      <c r="X75" t="n">
        <v>0</v>
      </c>
      <c r="Y75" s="95" t="n">
        <v>2017</v>
      </c>
      <c r="Z75" t="s">
        <v>266</v>
      </c>
      <c r="AA75" s="96" t="str">
        <f>IF(G75="shared-count-once",COUNTIFS($A$2:$A$313,A75,$B$2:$B$313,B75,$D$2:$D$313,D75),1)</f>
      </c>
    </row>
    <row r="76">
      <c r="A76" t="s">
        <v>195</v>
      </c>
      <c r="B76" s="74" t="n">
        <v>2047</v>
      </c>
      <c r="C76" t="s">
        <v>195</v>
      </c>
      <c r="D76" s="75" t="s">
        <v>344</v>
      </c>
      <c r="E76" s="76" t="s">
        <v>345</v>
      </c>
      <c r="F76" s="77" t="s">
        <v>199</v>
      </c>
      <c r="G76" s="78" t="s">
        <v>337</v>
      </c>
      <c r="H76" s="79" t="s">
        <v>339</v>
      </c>
      <c r="I76" s="80" t="n">
        <v>1</v>
      </c>
      <c r="J76" s="81" t="n">
        <v>1</v>
      </c>
      <c r="K76" s="82" t="n">
        <v>0.0351</v>
      </c>
      <c r="L76" s="83" t="n">
        <v>322615297.403368</v>
      </c>
      <c r="M76" s="84" t="n">
        <v>321595541.389526</v>
      </c>
      <c r="N76" s="85" t="str">
        <f>MIN(MAX((B76-'Calculation_Assumptions'!$B$5+1)/'Calculation_Assumptions'!$B$7,0),1)</f>
      </c>
      <c r="O76" s="86" t="str">
        <f>L76*I76</f>
      </c>
      <c r="P76" s="87" t="str">
        <f>M76*I76</f>
      </c>
      <c r="Q76" s="88" t="str">
        <f>P76*'Calculation_Assumptions'!$B$14*J76*K76</f>
      </c>
      <c r="R76" s="89" t="str">
        <f>O76*N76*J76*K76</f>
      </c>
      <c r="S76" s="90" t="str">
        <f>R76-Q76</f>
      </c>
      <c r="T76" s="91" t="str">
        <f>1/(1+'Calculation_Assumptions'!$B$8)^(B76-'Calculation_Assumptions'!$B$2)</f>
      </c>
      <c r="U76" s="92" t="str">
        <f>Q76*T76</f>
      </c>
      <c r="V76" s="93" t="str">
        <f>R76*T76</f>
      </c>
      <c r="W76" s="94" t="str">
        <f>S76*T76</f>
      </c>
      <c r="X76" t="n">
        <v>0</v>
      </c>
      <c r="Y76" s="95" t="n">
        <v>2017</v>
      </c>
      <c r="Z76" t="s">
        <v>266</v>
      </c>
      <c r="AA76" s="96" t="str">
        <f>IF(G76="shared-count-once",COUNTIFS($A$2:$A$313,A76,$B$2:$B$313,B76,$D$2:$D$313,D76),1)</f>
      </c>
    </row>
    <row r="77">
      <c r="A77" t="s">
        <v>195</v>
      </c>
      <c r="B77" s="74" t="n">
        <v>2048</v>
      </c>
      <c r="C77" t="s">
        <v>195</v>
      </c>
      <c r="D77" s="75" t="s">
        <v>344</v>
      </c>
      <c r="E77" s="76" t="s">
        <v>345</v>
      </c>
      <c r="F77" s="77" t="s">
        <v>199</v>
      </c>
      <c r="G77" s="78" t="s">
        <v>337</v>
      </c>
      <c r="H77" s="79" t="s">
        <v>339</v>
      </c>
      <c r="I77" s="80" t="n">
        <v>1</v>
      </c>
      <c r="J77" s="81" t="n">
        <v>1</v>
      </c>
      <c r="K77" s="82" t="n">
        <v>0.0351</v>
      </c>
      <c r="L77" s="83" t="n">
        <v>323539889.002346</v>
      </c>
      <c r="M77" s="84" t="n">
        <v>322453622.669464</v>
      </c>
      <c r="N77" s="85" t="str">
        <f>MIN(MAX((B77-'Calculation_Assumptions'!$B$5+1)/'Calculation_Assumptions'!$B$7,0),1)</f>
      </c>
      <c r="O77" s="86" t="str">
        <f>L77*I77</f>
      </c>
      <c r="P77" s="87" t="str">
        <f>M77*I77</f>
      </c>
      <c r="Q77" s="88" t="str">
        <f>P77*'Calculation_Assumptions'!$B$14*J77*K77</f>
      </c>
      <c r="R77" s="89" t="str">
        <f>O77*N77*J77*K77</f>
      </c>
      <c r="S77" s="90" t="str">
        <f>R77-Q77</f>
      </c>
      <c r="T77" s="91" t="str">
        <f>1/(1+'Calculation_Assumptions'!$B$8)^(B77-'Calculation_Assumptions'!$B$2)</f>
      </c>
      <c r="U77" s="92" t="str">
        <f>Q77*T77</f>
      </c>
      <c r="V77" s="93" t="str">
        <f>R77*T77</f>
      </c>
      <c r="W77" s="94" t="str">
        <f>S77*T77</f>
      </c>
      <c r="X77" t="n">
        <v>0</v>
      </c>
      <c r="Y77" s="95" t="n">
        <v>2017</v>
      </c>
      <c r="Z77" t="s">
        <v>266</v>
      </c>
      <c r="AA77" s="96" t="str">
        <f>IF(G77="shared-count-once",COUNTIFS($A$2:$A$313,A77,$B$2:$B$313,B77,$D$2:$D$313,D77),1)</f>
      </c>
    </row>
    <row r="78">
      <c r="A78" t="s">
        <v>195</v>
      </c>
      <c r="B78" s="74" t="n">
        <v>2049</v>
      </c>
      <c r="C78" t="s">
        <v>195</v>
      </c>
      <c r="D78" s="75" t="s">
        <v>344</v>
      </c>
      <c r="E78" s="76" t="s">
        <v>345</v>
      </c>
      <c r="F78" s="77" t="s">
        <v>199</v>
      </c>
      <c r="G78" s="78" t="s">
        <v>337</v>
      </c>
      <c r="H78" s="79" t="s">
        <v>339</v>
      </c>
      <c r="I78" s="80" t="n">
        <v>1</v>
      </c>
      <c r="J78" s="81" t="n">
        <v>1</v>
      </c>
      <c r="K78" s="82" t="n">
        <v>0.0351</v>
      </c>
      <c r="L78" s="83" t="n">
        <v>324411161.12728</v>
      </c>
      <c r="M78" s="84" t="n">
        <v>323259246.716719</v>
      </c>
      <c r="N78" s="85" t="str">
        <f>MIN(MAX((B78-'Calculation_Assumptions'!$B$5+1)/'Calculation_Assumptions'!$B$7,0),1)</f>
      </c>
      <c r="O78" s="86" t="str">
        <f>L78*I78</f>
      </c>
      <c r="P78" s="87" t="str">
        <f>M78*I78</f>
      </c>
      <c r="Q78" s="88" t="str">
        <f>P78*'Calculation_Assumptions'!$B$14*J78*K78</f>
      </c>
      <c r="R78" s="89" t="str">
        <f>O78*N78*J78*K78</f>
      </c>
      <c r="S78" s="90" t="str">
        <f>R78-Q78</f>
      </c>
      <c r="T78" s="91" t="str">
        <f>1/(1+'Calculation_Assumptions'!$B$8)^(B78-'Calculation_Assumptions'!$B$2)</f>
      </c>
      <c r="U78" s="92" t="str">
        <f>Q78*T78</f>
      </c>
      <c r="V78" s="93" t="str">
        <f>R78*T78</f>
      </c>
      <c r="W78" s="94" t="str">
        <f>S78*T78</f>
      </c>
      <c r="X78" t="n">
        <v>0</v>
      </c>
      <c r="Y78" s="95" t="n">
        <v>2017</v>
      </c>
      <c r="Z78" t="s">
        <v>266</v>
      </c>
      <c r="AA78" s="96" t="str">
        <f>IF(G78="shared-count-once",COUNTIFS($A$2:$A$313,A78,$B$2:$B$313,B78,$D$2:$D$313,D78),1)</f>
      </c>
    </row>
    <row r="79">
      <c r="A79" t="s">
        <v>195</v>
      </c>
      <c r="B79" s="74" t="n">
        <v>2050</v>
      </c>
      <c r="C79" t="s">
        <v>195</v>
      </c>
      <c r="D79" s="75" t="s">
        <v>344</v>
      </c>
      <c r="E79" s="76" t="s">
        <v>345</v>
      </c>
      <c r="F79" s="77" t="s">
        <v>199</v>
      </c>
      <c r="G79" s="78" t="s">
        <v>337</v>
      </c>
      <c r="H79" s="79" t="s">
        <v>339</v>
      </c>
      <c r="I79" s="80" t="n">
        <v>1</v>
      </c>
      <c r="J79" s="81" t="n">
        <v>1</v>
      </c>
      <c r="K79" s="82" t="n">
        <v>0.0351</v>
      </c>
      <c r="L79" s="83" t="n">
        <v>325010987.964171</v>
      </c>
      <c r="M79" s="84" t="n">
        <v>324013738.182479</v>
      </c>
      <c r="N79" s="85" t="str">
        <f>MIN(MAX((B79-'Calculation_Assumptions'!$B$5+1)/'Calculation_Assumptions'!$B$7,0),1)</f>
      </c>
      <c r="O79" s="86" t="str">
        <f>L79*I79</f>
      </c>
      <c r="P79" s="87" t="str">
        <f>M79*I79</f>
      </c>
      <c r="Q79" s="88" t="str">
        <f>P79*'Calculation_Assumptions'!$B$14*J79*K79</f>
      </c>
      <c r="R79" s="89" t="str">
        <f>O79*N79*J79*K79</f>
      </c>
      <c r="S79" s="90" t="str">
        <f>R79-Q79</f>
      </c>
      <c r="T79" s="91" t="str">
        <f>1/(1+'Calculation_Assumptions'!$B$8)^(B79-'Calculation_Assumptions'!$B$2)</f>
      </c>
      <c r="U79" s="92" t="str">
        <f>Q79*T79</f>
      </c>
      <c r="V79" s="93" t="str">
        <f>R79*T79</f>
      </c>
      <c r="W79" s="94" t="str">
        <f>S79*T79</f>
      </c>
      <c r="X79" t="n">
        <v>0</v>
      </c>
      <c r="Y79" s="95" t="n">
        <v>2017</v>
      </c>
      <c r="Z79" t="s">
        <v>266</v>
      </c>
      <c r="AA79" s="96" t="str">
        <f>IF(G79="shared-count-once",COUNTIFS($A$2:$A$313,A79,$B$2:$B$313,B79,$D$2:$D$313,D79),1)</f>
      </c>
    </row>
    <row r="80">
      <c r="A80" t="s">
        <v>203</v>
      </c>
      <c r="B80" s="74" t="n">
        <v>2025</v>
      </c>
      <c r="C80" t="s">
        <v>203</v>
      </c>
      <c r="D80" s="75" t="s">
        <v>346</v>
      </c>
      <c r="E80" s="76" t="s">
        <v>347</v>
      </c>
      <c r="F80" s="77" t="s">
        <v>209</v>
      </c>
      <c r="G80" s="78" t="s">
        <v>337</v>
      </c>
      <c r="H80" s="79" t="s">
        <v>339</v>
      </c>
      <c r="I80" s="80" t="n">
        <v>1</v>
      </c>
      <c r="J80" s="81" t="n">
        <v>1</v>
      </c>
      <c r="K80" s="82" t="n">
        <v>0.004</v>
      </c>
      <c r="L80" s="83" t="n">
        <v>288000821.106462</v>
      </c>
      <c r="M80" s="84" t="n">
        <v>288000821.106462</v>
      </c>
      <c r="N80" s="85" t="str">
        <f>MIN(MAX((B80-'Calculation_Assumptions'!$B$5+1)/'Calculation_Assumptions'!$B$7,0),1)</f>
      </c>
      <c r="O80" s="86" t="str">
        <f>L80*I80</f>
      </c>
      <c r="P80" s="87" t="str">
        <f>M80*I80</f>
      </c>
      <c r="Q80" s="88" t="str">
        <f>P80*'Calculation_Assumptions'!$B$14*J80*K80</f>
      </c>
      <c r="R80" s="89" t="str">
        <f>O80*N80*J80*K80</f>
      </c>
      <c r="S80" s="90" t="str">
        <f>R80-Q80</f>
      </c>
      <c r="T80" s="91" t="str">
        <f>1/(1+'Calculation_Assumptions'!$B$8)^(B80-'Calculation_Assumptions'!$B$2)</f>
      </c>
      <c r="U80" s="92" t="str">
        <f>Q80*T80</f>
      </c>
      <c r="V80" s="93" t="str">
        <f>R80*T80</f>
      </c>
      <c r="W80" s="94" t="str">
        <f>S80*T80</f>
      </c>
      <c r="X80" t="n">
        <v>0</v>
      </c>
      <c r="Y80" s="95" t="n">
        <v>2017</v>
      </c>
      <c r="Z80" t="s">
        <v>266</v>
      </c>
      <c r="AA80" s="96" t="str">
        <f>IF(G80="shared-count-once",COUNTIFS($A$2:$A$313,A80,$B$2:$B$313,B80,$D$2:$D$313,D80),1)</f>
      </c>
    </row>
    <row r="81">
      <c r="A81" t="s">
        <v>203</v>
      </c>
      <c r="B81" s="74" t="n">
        <v>2026</v>
      </c>
      <c r="C81" t="s">
        <v>203</v>
      </c>
      <c r="D81" s="75" t="s">
        <v>346</v>
      </c>
      <c r="E81" s="76" t="s">
        <v>347</v>
      </c>
      <c r="F81" s="77" t="s">
        <v>209</v>
      </c>
      <c r="G81" s="78" t="s">
        <v>337</v>
      </c>
      <c r="H81" s="79" t="s">
        <v>339</v>
      </c>
      <c r="I81" s="80" t="n">
        <v>1</v>
      </c>
      <c r="J81" s="81" t="n">
        <v>1</v>
      </c>
      <c r="K81" s="82" t="n">
        <v>0.004</v>
      </c>
      <c r="L81" s="83" t="n">
        <v>290123496.103219</v>
      </c>
      <c r="M81" s="84" t="n">
        <v>290123496.103219</v>
      </c>
      <c r="N81" s="85" t="str">
        <f>MIN(MAX((B81-'Calculation_Assumptions'!$B$5+1)/'Calculation_Assumptions'!$B$7,0),1)</f>
      </c>
      <c r="O81" s="86" t="str">
        <f>L81*I81</f>
      </c>
      <c r="P81" s="87" t="str">
        <f>M81*I81</f>
      </c>
      <c r="Q81" s="88" t="str">
        <f>P81*'Calculation_Assumptions'!$B$14*J81*K81</f>
      </c>
      <c r="R81" s="89" t="str">
        <f>O81*N81*J81*K81</f>
      </c>
      <c r="S81" s="90" t="str">
        <f>R81-Q81</f>
      </c>
      <c r="T81" s="91" t="str">
        <f>1/(1+'Calculation_Assumptions'!$B$8)^(B81-'Calculation_Assumptions'!$B$2)</f>
      </c>
      <c r="U81" s="92" t="str">
        <f>Q81*T81</f>
      </c>
      <c r="V81" s="93" t="str">
        <f>R81*T81</f>
      </c>
      <c r="W81" s="94" t="str">
        <f>S81*T81</f>
      </c>
      <c r="X81" t="n">
        <v>0</v>
      </c>
      <c r="Y81" s="95" t="n">
        <v>2017</v>
      </c>
      <c r="Z81" t="s">
        <v>266</v>
      </c>
      <c r="AA81" s="96" t="str">
        <f>IF(G81="shared-count-once",COUNTIFS($A$2:$A$313,A81,$B$2:$B$313,B81,$D$2:$D$313,D81),1)</f>
      </c>
    </row>
    <row r="82">
      <c r="A82" t="s">
        <v>203</v>
      </c>
      <c r="B82" s="74" t="n">
        <v>2027</v>
      </c>
      <c r="C82" t="s">
        <v>203</v>
      </c>
      <c r="D82" s="75" t="s">
        <v>346</v>
      </c>
      <c r="E82" s="76" t="s">
        <v>347</v>
      </c>
      <c r="F82" s="77" t="s">
        <v>209</v>
      </c>
      <c r="G82" s="78" t="s">
        <v>337</v>
      </c>
      <c r="H82" s="79" t="s">
        <v>339</v>
      </c>
      <c r="I82" s="80" t="n">
        <v>1</v>
      </c>
      <c r="J82" s="81" t="n">
        <v>1</v>
      </c>
      <c r="K82" s="82" t="n">
        <v>0.004</v>
      </c>
      <c r="L82" s="83" t="n">
        <v>292252895.096956</v>
      </c>
      <c r="M82" s="84" t="n">
        <v>292252895.096956</v>
      </c>
      <c r="N82" s="85" t="str">
        <f>MIN(MAX((B82-'Calculation_Assumptions'!$B$5+1)/'Calculation_Assumptions'!$B$7,0),1)</f>
      </c>
      <c r="O82" s="86" t="str">
        <f>L82*I82</f>
      </c>
      <c r="P82" s="87" t="str">
        <f>M82*I82</f>
      </c>
      <c r="Q82" s="88" t="str">
        <f>P82*'Calculation_Assumptions'!$B$14*J82*K82</f>
      </c>
      <c r="R82" s="89" t="str">
        <f>O82*N82*J82*K82</f>
      </c>
      <c r="S82" s="90" t="str">
        <f>R82-Q82</f>
      </c>
      <c r="T82" s="91" t="str">
        <f>1/(1+'Calculation_Assumptions'!$B$8)^(B82-'Calculation_Assumptions'!$B$2)</f>
      </c>
      <c r="U82" s="92" t="str">
        <f>Q82*T82</f>
      </c>
      <c r="V82" s="93" t="str">
        <f>R82*T82</f>
      </c>
      <c r="W82" s="94" t="str">
        <f>S82*T82</f>
      </c>
      <c r="X82" t="n">
        <v>0</v>
      </c>
      <c r="Y82" s="95" t="n">
        <v>2017</v>
      </c>
      <c r="Z82" t="s">
        <v>266</v>
      </c>
      <c r="AA82" s="96" t="str">
        <f>IF(G82="shared-count-once",COUNTIFS($A$2:$A$313,A82,$B$2:$B$313,B82,$D$2:$D$313,D82),1)</f>
      </c>
    </row>
    <row r="83">
      <c r="A83" t="s">
        <v>203</v>
      </c>
      <c r="B83" s="74" t="n">
        <v>2028</v>
      </c>
      <c r="C83" t="s">
        <v>203</v>
      </c>
      <c r="D83" s="75" t="s">
        <v>346</v>
      </c>
      <c r="E83" s="76" t="s">
        <v>347</v>
      </c>
      <c r="F83" s="77" t="s">
        <v>209</v>
      </c>
      <c r="G83" s="78" t="s">
        <v>337</v>
      </c>
      <c r="H83" s="79" t="s">
        <v>339</v>
      </c>
      <c r="I83" s="80" t="n">
        <v>1</v>
      </c>
      <c r="J83" s="81" t="n">
        <v>1</v>
      </c>
      <c r="K83" s="82" t="n">
        <v>0.004</v>
      </c>
      <c r="L83" s="83" t="n">
        <v>294034442.232159</v>
      </c>
      <c r="M83" s="84" t="n">
        <v>294314895.305465</v>
      </c>
      <c r="N83" s="85" t="str">
        <f>MIN(MAX((B83-'Calculation_Assumptions'!$B$5+1)/'Calculation_Assumptions'!$B$7,0),1)</f>
      </c>
      <c r="O83" s="86" t="str">
        <f>L83*I83</f>
      </c>
      <c r="P83" s="87" t="str">
        <f>M83*I83</f>
      </c>
      <c r="Q83" s="88" t="str">
        <f>P83*'Calculation_Assumptions'!$B$14*J83*K83</f>
      </c>
      <c r="R83" s="89" t="str">
        <f>O83*N83*J83*K83</f>
      </c>
      <c r="S83" s="90" t="str">
        <f>R83-Q83</f>
      </c>
      <c r="T83" s="91" t="str">
        <f>1/(1+'Calculation_Assumptions'!$B$8)^(B83-'Calculation_Assumptions'!$B$2)</f>
      </c>
      <c r="U83" s="92" t="str">
        <f>Q83*T83</f>
      </c>
      <c r="V83" s="93" t="str">
        <f>R83*T83</f>
      </c>
      <c r="W83" s="94" t="str">
        <f>S83*T83</f>
      </c>
      <c r="X83" t="n">
        <v>0</v>
      </c>
      <c r="Y83" s="95" t="n">
        <v>2017</v>
      </c>
      <c r="Z83" t="s">
        <v>266</v>
      </c>
      <c r="AA83" s="96" t="str">
        <f>IF(G83="shared-count-once",COUNTIFS($A$2:$A$313,A83,$B$2:$B$313,B83,$D$2:$D$313,D83),1)</f>
      </c>
    </row>
    <row r="84">
      <c r="A84" t="s">
        <v>203</v>
      </c>
      <c r="B84" s="74" t="n">
        <v>2029</v>
      </c>
      <c r="C84" t="s">
        <v>203</v>
      </c>
      <c r="D84" s="75" t="s">
        <v>346</v>
      </c>
      <c r="E84" s="76" t="s">
        <v>347</v>
      </c>
      <c r="F84" s="77" t="s">
        <v>209</v>
      </c>
      <c r="G84" s="78" t="s">
        <v>337</v>
      </c>
      <c r="H84" s="79" t="s">
        <v>339</v>
      </c>
      <c r="I84" s="80" t="n">
        <v>1</v>
      </c>
      <c r="J84" s="81" t="n">
        <v>1</v>
      </c>
      <c r="K84" s="82" t="n">
        <v>0.004</v>
      </c>
      <c r="L84" s="83" t="n">
        <v>296079110.626885</v>
      </c>
      <c r="M84" s="84" t="n">
        <v>296341062.542853</v>
      </c>
      <c r="N84" s="85" t="str">
        <f>MIN(MAX((B84-'Calculation_Assumptions'!$B$5+1)/'Calculation_Assumptions'!$B$7,0),1)</f>
      </c>
      <c r="O84" s="86" t="str">
        <f>L84*I84</f>
      </c>
      <c r="P84" s="87" t="str">
        <f>M84*I84</f>
      </c>
      <c r="Q84" s="88" t="str">
        <f>P84*'Calculation_Assumptions'!$B$14*J84*K84</f>
      </c>
      <c r="R84" s="89" t="str">
        <f>O84*N84*J84*K84</f>
      </c>
      <c r="S84" s="90" t="str">
        <f>R84-Q84</f>
      </c>
      <c r="T84" s="91" t="str">
        <f>1/(1+'Calculation_Assumptions'!$B$8)^(B84-'Calculation_Assumptions'!$B$2)</f>
      </c>
      <c r="U84" s="92" t="str">
        <f>Q84*T84</f>
      </c>
      <c r="V84" s="93" t="str">
        <f>R84*T84</f>
      </c>
      <c r="W84" s="94" t="str">
        <f>S84*T84</f>
      </c>
      <c r="X84" t="n">
        <v>0</v>
      </c>
      <c r="Y84" s="95" t="n">
        <v>2017</v>
      </c>
      <c r="Z84" t="s">
        <v>266</v>
      </c>
      <c r="AA84" s="96" t="str">
        <f>IF(G84="shared-count-once",COUNTIFS($A$2:$A$313,A84,$B$2:$B$313,B84,$D$2:$D$313,D84),1)</f>
      </c>
    </row>
    <row r="85">
      <c r="A85" t="s">
        <v>203</v>
      </c>
      <c r="B85" s="74" t="n">
        <v>2030</v>
      </c>
      <c r="C85" t="s">
        <v>203</v>
      </c>
      <c r="D85" s="75" t="s">
        <v>346</v>
      </c>
      <c r="E85" s="76" t="s">
        <v>347</v>
      </c>
      <c r="F85" s="77" t="s">
        <v>209</v>
      </c>
      <c r="G85" s="78" t="s">
        <v>337</v>
      </c>
      <c r="H85" s="79" t="s">
        <v>339</v>
      </c>
      <c r="I85" s="80" t="n">
        <v>1</v>
      </c>
      <c r="J85" s="81" t="n">
        <v>1</v>
      </c>
      <c r="K85" s="82" t="n">
        <v>0.004</v>
      </c>
      <c r="L85" s="83" t="n">
        <v>297979737.024064</v>
      </c>
      <c r="M85" s="84" t="n">
        <v>298280286.057263</v>
      </c>
      <c r="N85" s="85" t="str">
        <f>MIN(MAX((B85-'Calculation_Assumptions'!$B$5+1)/'Calculation_Assumptions'!$B$7,0),1)</f>
      </c>
      <c r="O85" s="86" t="str">
        <f>L85*I85</f>
      </c>
      <c r="P85" s="87" t="str">
        <f>M85*I85</f>
      </c>
      <c r="Q85" s="88" t="str">
        <f>P85*'Calculation_Assumptions'!$B$14*J85*K85</f>
      </c>
      <c r="R85" s="89" t="str">
        <f>O85*N85*J85*K85</f>
      </c>
      <c r="S85" s="90" t="str">
        <f>R85-Q85</f>
      </c>
      <c r="T85" s="91" t="str">
        <f>1/(1+'Calculation_Assumptions'!$B$8)^(B85-'Calculation_Assumptions'!$B$2)</f>
      </c>
      <c r="U85" s="92" t="str">
        <f>Q85*T85</f>
      </c>
      <c r="V85" s="93" t="str">
        <f>R85*T85</f>
      </c>
      <c r="W85" s="94" t="str">
        <f>S85*T85</f>
      </c>
      <c r="X85" t="n">
        <v>0</v>
      </c>
      <c r="Y85" s="95" t="n">
        <v>2017</v>
      </c>
      <c r="Z85" t="s">
        <v>266</v>
      </c>
      <c r="AA85" s="96" t="str">
        <f>IF(G85="shared-count-once",COUNTIFS($A$2:$A$313,A85,$B$2:$B$313,B85,$D$2:$D$313,D85),1)</f>
      </c>
    </row>
    <row r="86">
      <c r="A86" t="s">
        <v>203</v>
      </c>
      <c r="B86" s="74" t="n">
        <v>2031</v>
      </c>
      <c r="C86" t="s">
        <v>203</v>
      </c>
      <c r="D86" s="75" t="s">
        <v>346</v>
      </c>
      <c r="E86" s="76" t="s">
        <v>347</v>
      </c>
      <c r="F86" s="77" t="s">
        <v>209</v>
      </c>
      <c r="G86" s="78" t="s">
        <v>337</v>
      </c>
      <c r="H86" s="79" t="s">
        <v>339</v>
      </c>
      <c r="I86" s="80" t="n">
        <v>1</v>
      </c>
      <c r="J86" s="81" t="n">
        <v>1</v>
      </c>
      <c r="K86" s="82" t="n">
        <v>0.004</v>
      </c>
      <c r="L86" s="83" t="n">
        <v>299863820.434849</v>
      </c>
      <c r="M86" s="84" t="n">
        <v>300152603.254782</v>
      </c>
      <c r="N86" s="85" t="str">
        <f>MIN(MAX((B86-'Calculation_Assumptions'!$B$5+1)/'Calculation_Assumptions'!$B$7,0),1)</f>
      </c>
      <c r="O86" s="86" t="str">
        <f>L86*I86</f>
      </c>
      <c r="P86" s="87" t="str">
        <f>M86*I86</f>
      </c>
      <c r="Q86" s="88" t="str">
        <f>P86*'Calculation_Assumptions'!$B$14*J86*K86</f>
      </c>
      <c r="R86" s="89" t="str">
        <f>O86*N86*J86*K86</f>
      </c>
      <c r="S86" s="90" t="str">
        <f>R86-Q86</f>
      </c>
      <c r="T86" s="91" t="str">
        <f>1/(1+'Calculation_Assumptions'!$B$8)^(B86-'Calculation_Assumptions'!$B$2)</f>
      </c>
      <c r="U86" s="92" t="str">
        <f>Q86*T86</f>
      </c>
      <c r="V86" s="93" t="str">
        <f>R86*T86</f>
      </c>
      <c r="W86" s="94" t="str">
        <f>S86*T86</f>
      </c>
      <c r="X86" t="n">
        <v>0</v>
      </c>
      <c r="Y86" s="95" t="n">
        <v>2017</v>
      </c>
      <c r="Z86" t="s">
        <v>266</v>
      </c>
      <c r="AA86" s="96" t="str">
        <f>IF(G86="shared-count-once",COUNTIFS($A$2:$A$313,A86,$B$2:$B$313,B86,$D$2:$D$313,D86),1)</f>
      </c>
    </row>
    <row r="87">
      <c r="A87" t="s">
        <v>203</v>
      </c>
      <c r="B87" s="74" t="n">
        <v>2032</v>
      </c>
      <c r="C87" t="s">
        <v>203</v>
      </c>
      <c r="D87" s="75" t="s">
        <v>346</v>
      </c>
      <c r="E87" s="76" t="s">
        <v>347</v>
      </c>
      <c r="F87" s="77" t="s">
        <v>209</v>
      </c>
      <c r="G87" s="78" t="s">
        <v>337</v>
      </c>
      <c r="H87" s="79" t="s">
        <v>339</v>
      </c>
      <c r="I87" s="80" t="n">
        <v>1</v>
      </c>
      <c r="J87" s="81" t="n">
        <v>1</v>
      </c>
      <c r="K87" s="82" t="n">
        <v>0.004</v>
      </c>
      <c r="L87" s="83" t="n">
        <v>301681727.871736</v>
      </c>
      <c r="M87" s="84" t="n">
        <v>301959399.633888</v>
      </c>
      <c r="N87" s="85" t="str">
        <f>MIN(MAX((B87-'Calculation_Assumptions'!$B$5+1)/'Calculation_Assumptions'!$B$7,0),1)</f>
      </c>
      <c r="O87" s="86" t="str">
        <f>L87*I87</f>
      </c>
      <c r="P87" s="87" t="str">
        <f>M87*I87</f>
      </c>
      <c r="Q87" s="88" t="str">
        <f>P87*'Calculation_Assumptions'!$B$14*J87*K87</f>
      </c>
      <c r="R87" s="89" t="str">
        <f>O87*N87*J87*K87</f>
      </c>
      <c r="S87" s="90" t="str">
        <f>R87-Q87</f>
      </c>
      <c r="T87" s="91" t="str">
        <f>1/(1+'Calculation_Assumptions'!$B$8)^(B87-'Calculation_Assumptions'!$B$2)</f>
      </c>
      <c r="U87" s="92" t="str">
        <f>Q87*T87</f>
      </c>
      <c r="V87" s="93" t="str">
        <f>R87*T87</f>
      </c>
      <c r="W87" s="94" t="str">
        <f>S87*T87</f>
      </c>
      <c r="X87" t="n">
        <v>0</v>
      </c>
      <c r="Y87" s="95" t="n">
        <v>2017</v>
      </c>
      <c r="Z87" t="s">
        <v>266</v>
      </c>
      <c r="AA87" s="96" t="str">
        <f>IF(G87="shared-count-once",COUNTIFS($A$2:$A$313,A87,$B$2:$B$313,B87,$D$2:$D$313,D87),1)</f>
      </c>
    </row>
    <row r="88">
      <c r="A88" t="s">
        <v>203</v>
      </c>
      <c r="B88" s="74" t="n">
        <v>2033</v>
      </c>
      <c r="C88" t="s">
        <v>203</v>
      </c>
      <c r="D88" s="75" t="s">
        <v>346</v>
      </c>
      <c r="E88" s="76" t="s">
        <v>347</v>
      </c>
      <c r="F88" s="77" t="s">
        <v>209</v>
      </c>
      <c r="G88" s="78" t="s">
        <v>337</v>
      </c>
      <c r="H88" s="79" t="s">
        <v>339</v>
      </c>
      <c r="I88" s="80" t="n">
        <v>1</v>
      </c>
      <c r="J88" s="81" t="n">
        <v>1</v>
      </c>
      <c r="K88" s="82" t="n">
        <v>0.004</v>
      </c>
      <c r="L88" s="83" t="n">
        <v>303433917.031672</v>
      </c>
      <c r="M88" s="84" t="n">
        <v>303701035.202051</v>
      </c>
      <c r="N88" s="85" t="str">
        <f>MIN(MAX((B88-'Calculation_Assumptions'!$B$5+1)/'Calculation_Assumptions'!$B$7,0),1)</f>
      </c>
      <c r="O88" s="86" t="str">
        <f>L88*I88</f>
      </c>
      <c r="P88" s="87" t="str">
        <f>M88*I88</f>
      </c>
      <c r="Q88" s="88" t="str">
        <f>P88*'Calculation_Assumptions'!$B$14*J88*K88</f>
      </c>
      <c r="R88" s="89" t="str">
        <f>O88*N88*J88*K88</f>
      </c>
      <c r="S88" s="90" t="str">
        <f>R88-Q88</f>
      </c>
      <c r="T88" s="91" t="str">
        <f>1/(1+'Calculation_Assumptions'!$B$8)^(B88-'Calculation_Assumptions'!$B$2)</f>
      </c>
      <c r="U88" s="92" t="str">
        <f>Q88*T88</f>
      </c>
      <c r="V88" s="93" t="str">
        <f>R88*T88</f>
      </c>
      <c r="W88" s="94" t="str">
        <f>S88*T88</f>
      </c>
      <c r="X88" t="n">
        <v>0</v>
      </c>
      <c r="Y88" s="95" t="n">
        <v>2017</v>
      </c>
      <c r="Z88" t="s">
        <v>266</v>
      </c>
      <c r="AA88" s="96" t="str">
        <f>IF(G88="shared-count-once",COUNTIFS($A$2:$A$313,A88,$B$2:$B$313,B88,$D$2:$D$313,D88),1)</f>
      </c>
    </row>
    <row r="89">
      <c r="A89" t="s">
        <v>203</v>
      </c>
      <c r="B89" s="74" t="n">
        <v>2034</v>
      </c>
      <c r="C89" t="s">
        <v>203</v>
      </c>
      <c r="D89" s="75" t="s">
        <v>346</v>
      </c>
      <c r="E89" s="76" t="s">
        <v>347</v>
      </c>
      <c r="F89" s="77" t="s">
        <v>209</v>
      </c>
      <c r="G89" s="78" t="s">
        <v>337</v>
      </c>
      <c r="H89" s="79" t="s">
        <v>339</v>
      </c>
      <c r="I89" s="80" t="n">
        <v>1</v>
      </c>
      <c r="J89" s="81" t="n">
        <v>1</v>
      </c>
      <c r="K89" s="82" t="n">
        <v>0.004</v>
      </c>
      <c r="L89" s="83" t="n">
        <v>305120983.318362</v>
      </c>
      <c r="M89" s="84" t="n">
        <v>305377998.093319</v>
      </c>
      <c r="N89" s="85" t="str">
        <f>MIN(MAX((B89-'Calculation_Assumptions'!$B$5+1)/'Calculation_Assumptions'!$B$7,0),1)</f>
      </c>
      <c r="O89" s="86" t="str">
        <f>L89*I89</f>
      </c>
      <c r="P89" s="87" t="str">
        <f>M89*I89</f>
      </c>
      <c r="Q89" s="88" t="str">
        <f>P89*'Calculation_Assumptions'!$B$14*J89*K89</f>
      </c>
      <c r="R89" s="89" t="str">
        <f>O89*N89*J89*K89</f>
      </c>
      <c r="S89" s="90" t="str">
        <f>R89-Q89</f>
      </c>
      <c r="T89" s="91" t="str">
        <f>1/(1+'Calculation_Assumptions'!$B$8)^(B89-'Calculation_Assumptions'!$B$2)</f>
      </c>
      <c r="U89" s="92" t="str">
        <f>Q89*T89</f>
      </c>
      <c r="V89" s="93" t="str">
        <f>R89*T89</f>
      </c>
      <c r="W89" s="94" t="str">
        <f>S89*T89</f>
      </c>
      <c r="X89" t="n">
        <v>0</v>
      </c>
      <c r="Y89" s="95" t="n">
        <v>2017</v>
      </c>
      <c r="Z89" t="s">
        <v>266</v>
      </c>
      <c r="AA89" s="96" t="str">
        <f>IF(G89="shared-count-once",COUNTIFS($A$2:$A$313,A89,$B$2:$B$313,B89,$D$2:$D$313,D89),1)</f>
      </c>
    </row>
    <row r="90">
      <c r="A90" t="s">
        <v>203</v>
      </c>
      <c r="B90" s="74" t="n">
        <v>2035</v>
      </c>
      <c r="C90" t="s">
        <v>203</v>
      </c>
      <c r="D90" s="75" t="s">
        <v>346</v>
      </c>
      <c r="E90" s="76" t="s">
        <v>347</v>
      </c>
      <c r="F90" s="77" t="s">
        <v>209</v>
      </c>
      <c r="G90" s="78" t="s">
        <v>337</v>
      </c>
      <c r="H90" s="79" t="s">
        <v>339</v>
      </c>
      <c r="I90" s="80" t="n">
        <v>1</v>
      </c>
      <c r="J90" s="81" t="n">
        <v>1</v>
      </c>
      <c r="K90" s="82" t="n">
        <v>0.004</v>
      </c>
      <c r="L90" s="83" t="n">
        <v>306743605.693121</v>
      </c>
      <c r="M90" s="84" t="n">
        <v>306989258.29407</v>
      </c>
      <c r="N90" s="85" t="str">
        <f>MIN(MAX((B90-'Calculation_Assumptions'!$B$5+1)/'Calculation_Assumptions'!$B$7,0),1)</f>
      </c>
      <c r="O90" s="86" t="str">
        <f>L90*I90</f>
      </c>
      <c r="P90" s="87" t="str">
        <f>M90*I90</f>
      </c>
      <c r="Q90" s="88" t="str">
        <f>P90*'Calculation_Assumptions'!$B$14*J90*K90</f>
      </c>
      <c r="R90" s="89" t="str">
        <f>O90*N90*J90*K90</f>
      </c>
      <c r="S90" s="90" t="str">
        <f>R90-Q90</f>
      </c>
      <c r="T90" s="91" t="str">
        <f>1/(1+'Calculation_Assumptions'!$B$8)^(B90-'Calculation_Assumptions'!$B$2)</f>
      </c>
      <c r="U90" s="92" t="str">
        <f>Q90*T90</f>
      </c>
      <c r="V90" s="93" t="str">
        <f>R90*T90</f>
      </c>
      <c r="W90" s="94" t="str">
        <f>S90*T90</f>
      </c>
      <c r="X90" t="n">
        <v>0</v>
      </c>
      <c r="Y90" s="95" t="n">
        <v>2017</v>
      </c>
      <c r="Z90" t="s">
        <v>266</v>
      </c>
      <c r="AA90" s="96" t="str">
        <f>IF(G90="shared-count-once",COUNTIFS($A$2:$A$313,A90,$B$2:$B$313,B90,$D$2:$D$313,D90),1)</f>
      </c>
    </row>
    <row r="91">
      <c r="A91" t="s">
        <v>203</v>
      </c>
      <c r="B91" s="74" t="n">
        <v>2036</v>
      </c>
      <c r="C91" t="s">
        <v>203</v>
      </c>
      <c r="D91" s="75" t="s">
        <v>346</v>
      </c>
      <c r="E91" s="76" t="s">
        <v>347</v>
      </c>
      <c r="F91" s="77" t="s">
        <v>209</v>
      </c>
      <c r="G91" s="78" t="s">
        <v>337</v>
      </c>
      <c r="H91" s="79" t="s">
        <v>339</v>
      </c>
      <c r="I91" s="80" t="n">
        <v>1</v>
      </c>
      <c r="J91" s="81" t="n">
        <v>1</v>
      </c>
      <c r="K91" s="82" t="n">
        <v>0.004</v>
      </c>
      <c r="L91" s="83" t="n">
        <v>308302397.526322</v>
      </c>
      <c r="M91" s="84" t="n">
        <v>308537399.672094</v>
      </c>
      <c r="N91" s="85" t="str">
        <f>MIN(MAX((B91-'Calculation_Assumptions'!$B$5+1)/'Calculation_Assumptions'!$B$7,0),1)</f>
      </c>
      <c r="O91" s="86" t="str">
        <f>L91*I91</f>
      </c>
      <c r="P91" s="87" t="str">
        <f>M91*I91</f>
      </c>
      <c r="Q91" s="88" t="str">
        <f>P91*'Calculation_Assumptions'!$B$14*J91*K91</f>
      </c>
      <c r="R91" s="89" t="str">
        <f>O91*N91*J91*K91</f>
      </c>
      <c r="S91" s="90" t="str">
        <f>R91-Q91</f>
      </c>
      <c r="T91" s="91" t="str">
        <f>1/(1+'Calculation_Assumptions'!$B$8)^(B91-'Calculation_Assumptions'!$B$2)</f>
      </c>
      <c r="U91" s="92" t="str">
        <f>Q91*T91</f>
      </c>
      <c r="V91" s="93" t="str">
        <f>R91*T91</f>
      </c>
      <c r="W91" s="94" t="str">
        <f>S91*T91</f>
      </c>
      <c r="X91" t="n">
        <v>0</v>
      </c>
      <c r="Y91" s="95" t="n">
        <v>2017</v>
      </c>
      <c r="Z91" t="s">
        <v>266</v>
      </c>
      <c r="AA91" s="96" t="str">
        <f>IF(G91="shared-count-once",COUNTIFS($A$2:$A$313,A91,$B$2:$B$313,B91,$D$2:$D$313,D91),1)</f>
      </c>
    </row>
    <row r="92">
      <c r="A92" t="s">
        <v>203</v>
      </c>
      <c r="B92" s="74" t="n">
        <v>2037</v>
      </c>
      <c r="C92" t="s">
        <v>203</v>
      </c>
      <c r="D92" s="75" t="s">
        <v>346</v>
      </c>
      <c r="E92" s="76" t="s">
        <v>347</v>
      </c>
      <c r="F92" s="77" t="s">
        <v>209</v>
      </c>
      <c r="G92" s="78" t="s">
        <v>337</v>
      </c>
      <c r="H92" s="79" t="s">
        <v>339</v>
      </c>
      <c r="I92" s="80" t="n">
        <v>1</v>
      </c>
      <c r="J92" s="81" t="n">
        <v>1</v>
      </c>
      <c r="K92" s="82" t="n">
        <v>0.004</v>
      </c>
      <c r="L92" s="83" t="n">
        <v>309798095.727397</v>
      </c>
      <c r="M92" s="84" t="n">
        <v>310023120.393472</v>
      </c>
      <c r="N92" s="85" t="str">
        <f>MIN(MAX((B92-'Calculation_Assumptions'!$B$5+1)/'Calculation_Assumptions'!$B$7,0),1)</f>
      </c>
      <c r="O92" s="86" t="str">
        <f>L92*I92</f>
      </c>
      <c r="P92" s="87" t="str">
        <f>M92*I92</f>
      </c>
      <c r="Q92" s="88" t="str">
        <f>P92*'Calculation_Assumptions'!$B$14*J92*K92</f>
      </c>
      <c r="R92" s="89" t="str">
        <f>O92*N92*J92*K92</f>
      </c>
      <c r="S92" s="90" t="str">
        <f>R92-Q92</f>
      </c>
      <c r="T92" s="91" t="str">
        <f>1/(1+'Calculation_Assumptions'!$B$8)^(B92-'Calculation_Assumptions'!$B$2)</f>
      </c>
      <c r="U92" s="92" t="str">
        <f>Q92*T92</f>
      </c>
      <c r="V92" s="93" t="str">
        <f>R92*T92</f>
      </c>
      <c r="W92" s="94" t="str">
        <f>S92*T92</f>
      </c>
      <c r="X92" t="n">
        <v>0</v>
      </c>
      <c r="Y92" s="95" t="n">
        <v>2017</v>
      </c>
      <c r="Z92" t="s">
        <v>266</v>
      </c>
      <c r="AA92" s="96" t="str">
        <f>IF(G92="shared-count-once",COUNTIFS($A$2:$A$313,A92,$B$2:$B$313,B92,$D$2:$D$313,D92),1)</f>
      </c>
    </row>
    <row r="93">
      <c r="A93" t="s">
        <v>203</v>
      </c>
      <c r="B93" s="74" t="n">
        <v>2038</v>
      </c>
      <c r="C93" t="s">
        <v>203</v>
      </c>
      <c r="D93" s="75" t="s">
        <v>346</v>
      </c>
      <c r="E93" s="76" t="s">
        <v>347</v>
      </c>
      <c r="F93" s="77" t="s">
        <v>209</v>
      </c>
      <c r="G93" s="78" t="s">
        <v>337</v>
      </c>
      <c r="H93" s="79" t="s">
        <v>339</v>
      </c>
      <c r="I93" s="80" t="n">
        <v>1</v>
      </c>
      <c r="J93" s="81" t="n">
        <v>1</v>
      </c>
      <c r="K93" s="82" t="n">
        <v>0.004</v>
      </c>
      <c r="L93" s="83" t="n">
        <v>311231614.46089</v>
      </c>
      <c r="M93" s="84" t="n">
        <v>311445837.134625</v>
      </c>
      <c r="N93" s="85" t="str">
        <f>MIN(MAX((B93-'Calculation_Assumptions'!$B$5+1)/'Calculation_Assumptions'!$B$7,0),1)</f>
      </c>
      <c r="O93" s="86" t="str">
        <f>L93*I93</f>
      </c>
      <c r="P93" s="87" t="str">
        <f>M93*I93</f>
      </c>
      <c r="Q93" s="88" t="str">
        <f>P93*'Calculation_Assumptions'!$B$14*J93*K93</f>
      </c>
      <c r="R93" s="89" t="str">
        <f>O93*N93*J93*K93</f>
      </c>
      <c r="S93" s="90" t="str">
        <f>R93-Q93</f>
      </c>
      <c r="T93" s="91" t="str">
        <f>1/(1+'Calculation_Assumptions'!$B$8)^(B93-'Calculation_Assumptions'!$B$2)</f>
      </c>
      <c r="U93" s="92" t="str">
        <f>Q93*T93</f>
      </c>
      <c r="V93" s="93" t="str">
        <f>R93*T93</f>
      </c>
      <c r="W93" s="94" t="str">
        <f>S93*T93</f>
      </c>
      <c r="X93" t="n">
        <v>0</v>
      </c>
      <c r="Y93" s="95" t="n">
        <v>2017</v>
      </c>
      <c r="Z93" t="s">
        <v>266</v>
      </c>
      <c r="AA93" s="96" t="str">
        <f>IF(G93="shared-count-once",COUNTIFS($A$2:$A$313,A93,$B$2:$B$313,B93,$D$2:$D$313,D93),1)</f>
      </c>
    </row>
    <row r="94">
      <c r="A94" t="s">
        <v>203</v>
      </c>
      <c r="B94" s="74" t="n">
        <v>2039</v>
      </c>
      <c r="C94" t="s">
        <v>203</v>
      </c>
      <c r="D94" s="75" t="s">
        <v>346</v>
      </c>
      <c r="E94" s="76" t="s">
        <v>347</v>
      </c>
      <c r="F94" s="77" t="s">
        <v>209</v>
      </c>
      <c r="G94" s="78" t="s">
        <v>337</v>
      </c>
      <c r="H94" s="79" t="s">
        <v>339</v>
      </c>
      <c r="I94" s="80" t="n">
        <v>1</v>
      </c>
      <c r="J94" s="81" t="n">
        <v>1</v>
      </c>
      <c r="K94" s="82" t="n">
        <v>0.004</v>
      </c>
      <c r="L94" s="83" t="n">
        <v>312603869.365231</v>
      </c>
      <c r="M94" s="84" t="n">
        <v>312806989.715685</v>
      </c>
      <c r="N94" s="85" t="str">
        <f>MIN(MAX((B94-'Calculation_Assumptions'!$B$5+1)/'Calculation_Assumptions'!$B$7,0),1)</f>
      </c>
      <c r="O94" s="86" t="str">
        <f>L94*I94</f>
      </c>
      <c r="P94" s="87" t="str">
        <f>M94*I94</f>
      </c>
      <c r="Q94" s="88" t="str">
        <f>P94*'Calculation_Assumptions'!$B$14*J94*K94</f>
      </c>
      <c r="R94" s="89" t="str">
        <f>O94*N94*J94*K94</f>
      </c>
      <c r="S94" s="90" t="str">
        <f>R94-Q94</f>
      </c>
      <c r="T94" s="91" t="str">
        <f>1/(1+'Calculation_Assumptions'!$B$8)^(B94-'Calculation_Assumptions'!$B$2)</f>
      </c>
      <c r="U94" s="92" t="str">
        <f>Q94*T94</f>
      </c>
      <c r="V94" s="93" t="str">
        <f>R94*T94</f>
      </c>
      <c r="W94" s="94" t="str">
        <f>S94*T94</f>
      </c>
      <c r="X94" t="n">
        <v>0</v>
      </c>
      <c r="Y94" s="95" t="n">
        <v>2017</v>
      </c>
      <c r="Z94" t="s">
        <v>266</v>
      </c>
      <c r="AA94" s="96" t="str">
        <f>IF(G94="shared-count-once",COUNTIFS($A$2:$A$313,A94,$B$2:$B$313,B94,$D$2:$D$313,D94),1)</f>
      </c>
    </row>
    <row r="95">
      <c r="A95" t="s">
        <v>203</v>
      </c>
      <c r="B95" s="74" t="n">
        <v>2040</v>
      </c>
      <c r="C95" t="s">
        <v>203</v>
      </c>
      <c r="D95" s="75" t="s">
        <v>346</v>
      </c>
      <c r="E95" s="76" t="s">
        <v>347</v>
      </c>
      <c r="F95" s="77" t="s">
        <v>209</v>
      </c>
      <c r="G95" s="78" t="s">
        <v>337</v>
      </c>
      <c r="H95" s="79" t="s">
        <v>339</v>
      </c>
      <c r="I95" s="80" t="n">
        <v>1</v>
      </c>
      <c r="J95" s="81" t="n">
        <v>1</v>
      </c>
      <c r="K95" s="82" t="n">
        <v>0.004</v>
      </c>
      <c r="L95" s="83" t="n">
        <v>313915614.504025</v>
      </c>
      <c r="M95" s="84" t="n">
        <v>314109251.582649</v>
      </c>
      <c r="N95" s="85" t="str">
        <f>MIN(MAX((B95-'Calculation_Assumptions'!$B$5+1)/'Calculation_Assumptions'!$B$7,0),1)</f>
      </c>
      <c r="O95" s="86" t="str">
        <f>L95*I95</f>
      </c>
      <c r="P95" s="87" t="str">
        <f>M95*I95</f>
      </c>
      <c r="Q95" s="88" t="str">
        <f>P95*'Calculation_Assumptions'!$B$14*J95*K95</f>
      </c>
      <c r="R95" s="89" t="str">
        <f>O95*N95*J95*K95</f>
      </c>
      <c r="S95" s="90" t="str">
        <f>R95-Q95</f>
      </c>
      <c r="T95" s="91" t="str">
        <f>1/(1+'Calculation_Assumptions'!$B$8)^(B95-'Calculation_Assumptions'!$B$2)</f>
      </c>
      <c r="U95" s="92" t="str">
        <f>Q95*T95</f>
      </c>
      <c r="V95" s="93" t="str">
        <f>R95*T95</f>
      </c>
      <c r="W95" s="94" t="str">
        <f>S95*T95</f>
      </c>
      <c r="X95" t="n">
        <v>0</v>
      </c>
      <c r="Y95" s="95" t="n">
        <v>2017</v>
      </c>
      <c r="Z95" t="s">
        <v>266</v>
      </c>
      <c r="AA95" s="96" t="str">
        <f>IF(G95="shared-count-once",COUNTIFS($A$2:$A$313,A95,$B$2:$B$313,B95,$D$2:$D$313,D95),1)</f>
      </c>
    </row>
    <row r="96">
      <c r="A96" t="s">
        <v>203</v>
      </c>
      <c r="B96" s="74" t="n">
        <v>2041</v>
      </c>
      <c r="C96" t="s">
        <v>203</v>
      </c>
      <c r="D96" s="75" t="s">
        <v>346</v>
      </c>
      <c r="E96" s="76" t="s">
        <v>347</v>
      </c>
      <c r="F96" s="77" t="s">
        <v>209</v>
      </c>
      <c r="G96" s="78" t="s">
        <v>337</v>
      </c>
      <c r="H96" s="79" t="s">
        <v>339</v>
      </c>
      <c r="I96" s="80" t="n">
        <v>1</v>
      </c>
      <c r="J96" s="81" t="n">
        <v>1</v>
      </c>
      <c r="K96" s="82" t="n">
        <v>0.004</v>
      </c>
      <c r="L96" s="83" t="n">
        <v>315167606.269237</v>
      </c>
      <c r="M96" s="84" t="n">
        <v>315352079.812423</v>
      </c>
      <c r="N96" s="85" t="str">
        <f>MIN(MAX((B96-'Calculation_Assumptions'!$B$5+1)/'Calculation_Assumptions'!$B$7,0),1)</f>
      </c>
      <c r="O96" s="86" t="str">
        <f>L96*I96</f>
      </c>
      <c r="P96" s="87" t="str">
        <f>M96*I96</f>
      </c>
      <c r="Q96" s="88" t="str">
        <f>P96*'Calculation_Assumptions'!$B$14*J96*K96</f>
      </c>
      <c r="R96" s="89" t="str">
        <f>O96*N96*J96*K96</f>
      </c>
      <c r="S96" s="90" t="str">
        <f>R96-Q96</f>
      </c>
      <c r="T96" s="91" t="str">
        <f>1/(1+'Calculation_Assumptions'!$B$8)^(B96-'Calculation_Assumptions'!$B$2)</f>
      </c>
      <c r="U96" s="92" t="str">
        <f>Q96*T96</f>
      </c>
      <c r="V96" s="93" t="str">
        <f>R96*T96</f>
      </c>
      <c r="W96" s="94" t="str">
        <f>S96*T96</f>
      </c>
      <c r="X96" t="n">
        <v>0</v>
      </c>
      <c r="Y96" s="95" t="n">
        <v>2017</v>
      </c>
      <c r="Z96" t="s">
        <v>266</v>
      </c>
      <c r="AA96" s="96" t="str">
        <f>IF(G96="shared-count-once",COUNTIFS($A$2:$A$313,A96,$B$2:$B$313,B96,$D$2:$D$313,D96),1)</f>
      </c>
    </row>
    <row r="97">
      <c r="A97" t="s">
        <v>203</v>
      </c>
      <c r="B97" s="74" t="n">
        <v>2042</v>
      </c>
      <c r="C97" t="s">
        <v>203</v>
      </c>
      <c r="D97" s="75" t="s">
        <v>346</v>
      </c>
      <c r="E97" s="76" t="s">
        <v>347</v>
      </c>
      <c r="F97" s="77" t="s">
        <v>209</v>
      </c>
      <c r="G97" s="78" t="s">
        <v>337</v>
      </c>
      <c r="H97" s="79" t="s">
        <v>339</v>
      </c>
      <c r="I97" s="80" t="n">
        <v>1</v>
      </c>
      <c r="J97" s="81" t="n">
        <v>1</v>
      </c>
      <c r="K97" s="82" t="n">
        <v>0.004</v>
      </c>
      <c r="L97" s="83" t="n">
        <v>316360314.946582</v>
      </c>
      <c r="M97" s="84" t="n">
        <v>316395286.312016</v>
      </c>
      <c r="N97" s="85" t="str">
        <f>MIN(MAX((B97-'Calculation_Assumptions'!$B$5+1)/'Calculation_Assumptions'!$B$7,0),1)</f>
      </c>
      <c r="O97" s="86" t="str">
        <f>L97*I97</f>
      </c>
      <c r="P97" s="87" t="str">
        <f>M97*I97</f>
      </c>
      <c r="Q97" s="88" t="str">
        <f>P97*'Calculation_Assumptions'!$B$14*J97*K97</f>
      </c>
      <c r="R97" s="89" t="str">
        <f>O97*N97*J97*K97</f>
      </c>
      <c r="S97" s="90" t="str">
        <f>R97-Q97</f>
      </c>
      <c r="T97" s="91" t="str">
        <f>1/(1+'Calculation_Assumptions'!$B$8)^(B97-'Calculation_Assumptions'!$B$2)</f>
      </c>
      <c r="U97" s="92" t="str">
        <f>Q97*T97</f>
      </c>
      <c r="V97" s="93" t="str">
        <f>R97*T97</f>
      </c>
      <c r="W97" s="94" t="str">
        <f>S97*T97</f>
      </c>
      <c r="X97" t="n">
        <v>0</v>
      </c>
      <c r="Y97" s="95" t="n">
        <v>2017</v>
      </c>
      <c r="Z97" t="s">
        <v>266</v>
      </c>
      <c r="AA97" s="96" t="str">
        <f>IF(G97="shared-count-once",COUNTIFS($A$2:$A$313,A97,$B$2:$B$313,B97,$D$2:$D$313,D97),1)</f>
      </c>
    </row>
    <row r="98">
      <c r="A98" t="s">
        <v>203</v>
      </c>
      <c r="B98" s="74" t="n">
        <v>2043</v>
      </c>
      <c r="C98" t="s">
        <v>203</v>
      </c>
      <c r="D98" s="75" t="s">
        <v>346</v>
      </c>
      <c r="E98" s="76" t="s">
        <v>347</v>
      </c>
      <c r="F98" s="77" t="s">
        <v>209</v>
      </c>
      <c r="G98" s="78" t="s">
        <v>337</v>
      </c>
      <c r="H98" s="79" t="s">
        <v>339</v>
      </c>
      <c r="I98" s="80" t="n">
        <v>1</v>
      </c>
      <c r="J98" s="81" t="n">
        <v>1</v>
      </c>
      <c r="K98" s="82" t="n">
        <v>0.004</v>
      </c>
      <c r="L98" s="83" t="n">
        <v>317494019.213493</v>
      </c>
      <c r="M98" s="84" t="n">
        <v>317619735.688289</v>
      </c>
      <c r="N98" s="85" t="str">
        <f>MIN(MAX((B98-'Calculation_Assumptions'!$B$5+1)/'Calculation_Assumptions'!$B$7,0),1)</f>
      </c>
      <c r="O98" s="86" t="str">
        <f>L98*I98</f>
      </c>
      <c r="P98" s="87" t="str">
        <f>M98*I98</f>
      </c>
      <c r="Q98" s="88" t="str">
        <f>P98*'Calculation_Assumptions'!$B$14*J98*K98</f>
      </c>
      <c r="R98" s="89" t="str">
        <f>O98*N98*J98*K98</f>
      </c>
      <c r="S98" s="90" t="str">
        <f>R98-Q98</f>
      </c>
      <c r="T98" s="91" t="str">
        <f>1/(1+'Calculation_Assumptions'!$B$8)^(B98-'Calculation_Assumptions'!$B$2)</f>
      </c>
      <c r="U98" s="92" t="str">
        <f>Q98*T98</f>
      </c>
      <c r="V98" s="93" t="str">
        <f>R98*T98</f>
      </c>
      <c r="W98" s="94" t="str">
        <f>S98*T98</f>
      </c>
      <c r="X98" t="n">
        <v>0</v>
      </c>
      <c r="Y98" s="95" t="n">
        <v>2017</v>
      </c>
      <c r="Z98" t="s">
        <v>266</v>
      </c>
      <c r="AA98" s="96" t="str">
        <f>IF(G98="shared-count-once",COUNTIFS($A$2:$A$313,A98,$B$2:$B$313,B98,$D$2:$D$313,D98),1)</f>
      </c>
    </row>
    <row r="99">
      <c r="A99" t="s">
        <v>203</v>
      </c>
      <c r="B99" s="74" t="n">
        <v>2044</v>
      </c>
      <c r="C99" t="s">
        <v>203</v>
      </c>
      <c r="D99" s="75" t="s">
        <v>346</v>
      </c>
      <c r="E99" s="76" t="s">
        <v>347</v>
      </c>
      <c r="F99" s="77" t="s">
        <v>209</v>
      </c>
      <c r="G99" s="78" t="s">
        <v>337</v>
      </c>
      <c r="H99" s="79" t="s">
        <v>339</v>
      </c>
      <c r="I99" s="80" t="n">
        <v>1</v>
      </c>
      <c r="J99" s="81" t="n">
        <v>1</v>
      </c>
      <c r="K99" s="82" t="n">
        <v>0.004</v>
      </c>
      <c r="L99" s="83" t="n">
        <v>318569318.432734</v>
      </c>
      <c r="M99" s="84" t="n">
        <v>318697135.863652</v>
      </c>
      <c r="N99" s="85" t="str">
        <f>MIN(MAX((B99-'Calculation_Assumptions'!$B$5+1)/'Calculation_Assumptions'!$B$7,0),1)</f>
      </c>
      <c r="O99" s="86" t="str">
        <f>L99*I99</f>
      </c>
      <c r="P99" s="87" t="str">
        <f>M99*I99</f>
      </c>
      <c r="Q99" s="88" t="str">
        <f>P99*'Calculation_Assumptions'!$B$14*J99*K99</f>
      </c>
      <c r="R99" s="89" t="str">
        <f>O99*N99*J99*K99</f>
      </c>
      <c r="S99" s="90" t="str">
        <f>R99-Q99</f>
      </c>
      <c r="T99" s="91" t="str">
        <f>1/(1+'Calculation_Assumptions'!$B$8)^(B99-'Calculation_Assumptions'!$B$2)</f>
      </c>
      <c r="U99" s="92" t="str">
        <f>Q99*T99</f>
      </c>
      <c r="V99" s="93" t="str">
        <f>R99*T99</f>
      </c>
      <c r="W99" s="94" t="str">
        <f>S99*T99</f>
      </c>
      <c r="X99" t="n">
        <v>0</v>
      </c>
      <c r="Y99" s="95" t="n">
        <v>2017</v>
      </c>
      <c r="Z99" t="s">
        <v>266</v>
      </c>
      <c r="AA99" s="96" t="str">
        <f>IF(G99="shared-count-once",COUNTIFS($A$2:$A$313,A99,$B$2:$B$313,B99,$D$2:$D$313,D99),1)</f>
      </c>
    </row>
    <row r="100">
      <c r="A100" t="s">
        <v>203</v>
      </c>
      <c r="B100" s="74" t="n">
        <v>2045</v>
      </c>
      <c r="C100" t="s">
        <v>203</v>
      </c>
      <c r="D100" s="75" t="s">
        <v>346</v>
      </c>
      <c r="E100" s="76" t="s">
        <v>347</v>
      </c>
      <c r="F100" s="77" t="s">
        <v>209</v>
      </c>
      <c r="G100" s="78" t="s">
        <v>337</v>
      </c>
      <c r="H100" s="79" t="s">
        <v>339</v>
      </c>
      <c r="I100" s="80" t="n">
        <v>1</v>
      </c>
      <c r="J100" s="81" t="n">
        <v>1</v>
      </c>
      <c r="K100" s="82" t="n">
        <v>0.004</v>
      </c>
      <c r="L100" s="83" t="n">
        <v>319587045.795454</v>
      </c>
      <c r="M100" s="84" t="n">
        <v>319717840.85179</v>
      </c>
      <c r="N100" s="85" t="str">
        <f>MIN(MAX((B100-'Calculation_Assumptions'!$B$5+1)/'Calculation_Assumptions'!$B$7,0),1)</f>
      </c>
      <c r="O100" s="86" t="str">
        <f>L100*I100</f>
      </c>
      <c r="P100" s="87" t="str">
        <f>M100*I100</f>
      </c>
      <c r="Q100" s="88" t="str">
        <f>P100*'Calculation_Assumptions'!$B$14*J100*K100</f>
      </c>
      <c r="R100" s="89" t="str">
        <f>O100*N100*J100*K100</f>
      </c>
      <c r="S100" s="90" t="str">
        <f>R100-Q100</f>
      </c>
      <c r="T100" s="91" t="str">
        <f>1/(1+'Calculation_Assumptions'!$B$8)^(B100-'Calculation_Assumptions'!$B$2)</f>
      </c>
      <c r="U100" s="92" t="str">
        <f>Q100*T100</f>
      </c>
      <c r="V100" s="93" t="str">
        <f>R100*T100</f>
      </c>
      <c r="W100" s="94" t="str">
        <f>S100*T100</f>
      </c>
      <c r="X100" t="n">
        <v>0</v>
      </c>
      <c r="Y100" s="95" t="n">
        <v>2017</v>
      </c>
      <c r="Z100" t="s">
        <v>266</v>
      </c>
      <c r="AA100" s="96" t="str">
        <f>IF(G100="shared-count-once",COUNTIFS($A$2:$A$313,A100,$B$2:$B$313,B100,$D$2:$D$313,D100),1)</f>
      </c>
    </row>
    <row r="101">
      <c r="A101" t="s">
        <v>203</v>
      </c>
      <c r="B101" s="74" t="n">
        <v>2046</v>
      </c>
      <c r="C101" t="s">
        <v>203</v>
      </c>
      <c r="D101" s="75" t="s">
        <v>346</v>
      </c>
      <c r="E101" s="76" t="s">
        <v>347</v>
      </c>
      <c r="F101" s="77" t="s">
        <v>209</v>
      </c>
      <c r="G101" s="78" t="s">
        <v>337</v>
      </c>
      <c r="H101" s="79" t="s">
        <v>339</v>
      </c>
      <c r="I101" s="80" t="n">
        <v>1</v>
      </c>
      <c r="J101" s="81" t="n">
        <v>1</v>
      </c>
      <c r="K101" s="82" t="n">
        <v>0.004</v>
      </c>
      <c r="L101" s="83" t="n">
        <v>320548135.919897</v>
      </c>
      <c r="M101" s="84" t="n">
        <v>320683879.806276</v>
      </c>
      <c r="N101" s="85" t="str">
        <f>MIN(MAX((B101-'Calculation_Assumptions'!$B$5+1)/'Calculation_Assumptions'!$B$7,0),1)</f>
      </c>
      <c r="O101" s="86" t="str">
        <f>L101*I101</f>
      </c>
      <c r="P101" s="87" t="str">
        <f>M101*I101</f>
      </c>
      <c r="Q101" s="88" t="str">
        <f>P101*'Calculation_Assumptions'!$B$14*J101*K101</f>
      </c>
      <c r="R101" s="89" t="str">
        <f>O101*N101*J101*K101</f>
      </c>
      <c r="S101" s="90" t="str">
        <f>R101-Q101</f>
      </c>
      <c r="T101" s="91" t="str">
        <f>1/(1+'Calculation_Assumptions'!$B$8)^(B101-'Calculation_Assumptions'!$B$2)</f>
      </c>
      <c r="U101" s="92" t="str">
        <f>Q101*T101</f>
      </c>
      <c r="V101" s="93" t="str">
        <f>R101*T101</f>
      </c>
      <c r="W101" s="94" t="str">
        <f>S101*T101</f>
      </c>
      <c r="X101" t="n">
        <v>0</v>
      </c>
      <c r="Y101" s="95" t="n">
        <v>2017</v>
      </c>
      <c r="Z101" t="s">
        <v>266</v>
      </c>
      <c r="AA101" s="96" t="str">
        <f>IF(G101="shared-count-once",COUNTIFS($A$2:$A$313,A101,$B$2:$B$313,B101,$D$2:$D$313,D101),1)</f>
      </c>
    </row>
    <row r="102">
      <c r="A102" t="s">
        <v>203</v>
      </c>
      <c r="B102" s="74" t="n">
        <v>2047</v>
      </c>
      <c r="C102" t="s">
        <v>203</v>
      </c>
      <c r="D102" s="75" t="s">
        <v>346</v>
      </c>
      <c r="E102" s="76" t="s">
        <v>347</v>
      </c>
      <c r="F102" s="77" t="s">
        <v>209</v>
      </c>
      <c r="G102" s="78" t="s">
        <v>337</v>
      </c>
      <c r="H102" s="79" t="s">
        <v>339</v>
      </c>
      <c r="I102" s="80" t="n">
        <v>1</v>
      </c>
      <c r="J102" s="81" t="n">
        <v>1</v>
      </c>
      <c r="K102" s="82" t="n">
        <v>0.004</v>
      </c>
      <c r="L102" s="83" t="n">
        <v>321453592.039052</v>
      </c>
      <c r="M102" s="84" t="n">
        <v>321595541.389526</v>
      </c>
      <c r="N102" s="85" t="str">
        <f>MIN(MAX((B102-'Calculation_Assumptions'!$B$5+1)/'Calculation_Assumptions'!$B$7,0),1)</f>
      </c>
      <c r="O102" s="86" t="str">
        <f>L102*I102</f>
      </c>
      <c r="P102" s="87" t="str">
        <f>M102*I102</f>
      </c>
      <c r="Q102" s="88" t="str">
        <f>P102*'Calculation_Assumptions'!$B$14*J102*K102</f>
      </c>
      <c r="R102" s="89" t="str">
        <f>O102*N102*J102*K102</f>
      </c>
      <c r="S102" s="90" t="str">
        <f>R102-Q102</f>
      </c>
      <c r="T102" s="91" t="str">
        <f>1/(1+'Calculation_Assumptions'!$B$8)^(B102-'Calculation_Assumptions'!$B$2)</f>
      </c>
      <c r="U102" s="92" t="str">
        <f>Q102*T102</f>
      </c>
      <c r="V102" s="93" t="str">
        <f>R102*T102</f>
      </c>
      <c r="W102" s="94" t="str">
        <f>S102*T102</f>
      </c>
      <c r="X102" t="n">
        <v>0</v>
      </c>
      <c r="Y102" s="95" t="n">
        <v>2017</v>
      </c>
      <c r="Z102" t="s">
        <v>266</v>
      </c>
      <c r="AA102" s="96" t="str">
        <f>IF(G102="shared-count-once",COUNTIFS($A$2:$A$313,A102,$B$2:$B$313,B102,$D$2:$D$313,D102),1)</f>
      </c>
    </row>
    <row r="103">
      <c r="A103" t="s">
        <v>203</v>
      </c>
      <c r="B103" s="74" t="n">
        <v>2048</v>
      </c>
      <c r="C103" t="s">
        <v>203</v>
      </c>
      <c r="D103" s="75" t="s">
        <v>346</v>
      </c>
      <c r="E103" s="76" t="s">
        <v>347</v>
      </c>
      <c r="F103" s="77" t="s">
        <v>209</v>
      </c>
      <c r="G103" s="78" t="s">
        <v>337</v>
      </c>
      <c r="H103" s="79" t="s">
        <v>339</v>
      </c>
      <c r="I103" s="80" t="n">
        <v>1</v>
      </c>
      <c r="J103" s="81" t="n">
        <v>1</v>
      </c>
      <c r="K103" s="82" t="n">
        <v>0.004</v>
      </c>
      <c r="L103" s="83" t="n">
        <v>322304491.314801</v>
      </c>
      <c r="M103" s="84" t="n">
        <v>322453622.669464</v>
      </c>
      <c r="N103" s="85" t="str">
        <f>MIN(MAX((B103-'Calculation_Assumptions'!$B$5+1)/'Calculation_Assumptions'!$B$7,0),1)</f>
      </c>
      <c r="O103" s="86" t="str">
        <f>L103*I103</f>
      </c>
      <c r="P103" s="87" t="str">
        <f>M103*I103</f>
      </c>
      <c r="Q103" s="88" t="str">
        <f>P103*'Calculation_Assumptions'!$B$14*J103*K103</f>
      </c>
      <c r="R103" s="89" t="str">
        <f>O103*N103*J103*K103</f>
      </c>
      <c r="S103" s="90" t="str">
        <f>R103-Q103</f>
      </c>
      <c r="T103" s="91" t="str">
        <f>1/(1+'Calculation_Assumptions'!$B$8)^(B103-'Calculation_Assumptions'!$B$2)</f>
      </c>
      <c r="U103" s="92" t="str">
        <f>Q103*T103</f>
      </c>
      <c r="V103" s="93" t="str">
        <f>R103*T103</f>
      </c>
      <c r="W103" s="94" t="str">
        <f>S103*T103</f>
      </c>
      <c r="X103" t="n">
        <v>0</v>
      </c>
      <c r="Y103" s="95" t="n">
        <v>2017</v>
      </c>
      <c r="Z103" t="s">
        <v>266</v>
      </c>
      <c r="AA103" s="96" t="str">
        <f>IF(G103="shared-count-once",COUNTIFS($A$2:$A$313,A103,$B$2:$B$313,B103,$D$2:$D$313,D103),1)</f>
      </c>
    </row>
    <row r="104">
      <c r="A104" t="s">
        <v>203</v>
      </c>
      <c r="B104" s="74" t="n">
        <v>2049</v>
      </c>
      <c r="C104" t="s">
        <v>203</v>
      </c>
      <c r="D104" s="75" t="s">
        <v>346</v>
      </c>
      <c r="E104" s="76" t="s">
        <v>347</v>
      </c>
      <c r="F104" s="77" t="s">
        <v>209</v>
      </c>
      <c r="G104" s="78" t="s">
        <v>337</v>
      </c>
      <c r="H104" s="79" t="s">
        <v>339</v>
      </c>
      <c r="I104" s="80" t="n">
        <v>1</v>
      </c>
      <c r="J104" s="81" t="n">
        <v>1</v>
      </c>
      <c r="K104" s="82" t="n">
        <v>0.004</v>
      </c>
      <c r="L104" s="83" t="n">
        <v>323102073.211205</v>
      </c>
      <c r="M104" s="84" t="n">
        <v>323259246.716719</v>
      </c>
      <c r="N104" s="85" t="str">
        <f>MIN(MAX((B104-'Calculation_Assumptions'!$B$5+1)/'Calculation_Assumptions'!$B$7,0),1)</f>
      </c>
      <c r="O104" s="86" t="str">
        <f>L104*I104</f>
      </c>
      <c r="P104" s="87" t="str">
        <f>M104*I104</f>
      </c>
      <c r="Q104" s="88" t="str">
        <f>P104*'Calculation_Assumptions'!$B$14*J104*K104</f>
      </c>
      <c r="R104" s="89" t="str">
        <f>O104*N104*J104*K104</f>
      </c>
      <c r="S104" s="90" t="str">
        <f>R104-Q104</f>
      </c>
      <c r="T104" s="91" t="str">
        <f>1/(1+'Calculation_Assumptions'!$B$8)^(B104-'Calculation_Assumptions'!$B$2)</f>
      </c>
      <c r="U104" s="92" t="str">
        <f>Q104*T104</f>
      </c>
      <c r="V104" s="93" t="str">
        <f>R104*T104</f>
      </c>
      <c r="W104" s="94" t="str">
        <f>S104*T104</f>
      </c>
      <c r="X104" t="n">
        <v>0</v>
      </c>
      <c r="Y104" s="95" t="n">
        <v>2017</v>
      </c>
      <c r="Z104" t="s">
        <v>266</v>
      </c>
      <c r="AA104" s="96" t="str">
        <f>IF(G104="shared-count-once",COUNTIFS($A$2:$A$313,A104,$B$2:$B$313,B104,$D$2:$D$313,D104),1)</f>
      </c>
    </row>
    <row r="105">
      <c r="A105" t="s">
        <v>203</v>
      </c>
      <c r="B105" s="74" t="n">
        <v>2050</v>
      </c>
      <c r="C105" t="s">
        <v>203</v>
      </c>
      <c r="D105" s="75" t="s">
        <v>346</v>
      </c>
      <c r="E105" s="76" t="s">
        <v>347</v>
      </c>
      <c r="F105" s="77" t="s">
        <v>209</v>
      </c>
      <c r="G105" s="78" t="s">
        <v>337</v>
      </c>
      <c r="H105" s="79" t="s">
        <v>339</v>
      </c>
      <c r="I105" s="80" t="n">
        <v>1</v>
      </c>
      <c r="J105" s="81" t="n">
        <v>1</v>
      </c>
      <c r="K105" s="82" t="n">
        <v>0.004</v>
      </c>
      <c r="L105" s="83" t="n">
        <v>323847783.417897</v>
      </c>
      <c r="M105" s="84" t="n">
        <v>324013738.182479</v>
      </c>
      <c r="N105" s="85" t="str">
        <f>MIN(MAX((B105-'Calculation_Assumptions'!$B$5+1)/'Calculation_Assumptions'!$B$7,0),1)</f>
      </c>
      <c r="O105" s="86" t="str">
        <f>L105*I105</f>
      </c>
      <c r="P105" s="87" t="str">
        <f>M105*I105</f>
      </c>
      <c r="Q105" s="88" t="str">
        <f>P105*'Calculation_Assumptions'!$B$14*J105*K105</f>
      </c>
      <c r="R105" s="89" t="str">
        <f>O105*N105*J105*K105</f>
      </c>
      <c r="S105" s="90" t="str">
        <f>R105-Q105</f>
      </c>
      <c r="T105" s="91" t="str">
        <f>1/(1+'Calculation_Assumptions'!$B$8)^(B105-'Calculation_Assumptions'!$B$2)</f>
      </c>
      <c r="U105" s="92" t="str">
        <f>Q105*T105</f>
      </c>
      <c r="V105" s="93" t="str">
        <f>R105*T105</f>
      </c>
      <c r="W105" s="94" t="str">
        <f>S105*T105</f>
      </c>
      <c r="X105" t="n">
        <v>0</v>
      </c>
      <c r="Y105" s="95" t="n">
        <v>2017</v>
      </c>
      <c r="Z105" t="s">
        <v>266</v>
      </c>
      <c r="AA105" s="96" t="str">
        <f>IF(G105="shared-count-once",COUNTIFS($A$2:$A$313,A105,$B$2:$B$313,B105,$D$2:$D$313,D105),1)</f>
      </c>
    </row>
    <row r="106">
      <c r="A106" t="s">
        <v>214</v>
      </c>
      <c r="B106" s="74" t="n">
        <v>2025</v>
      </c>
      <c r="C106" t="s">
        <v>214</v>
      </c>
      <c r="D106" s="75" t="s">
        <v>353</v>
      </c>
      <c r="E106" s="76" t="s">
        <v>354</v>
      </c>
      <c r="F106" s="77" t="s">
        <v>220</v>
      </c>
      <c r="G106" s="78" t="s">
        <v>337</v>
      </c>
      <c r="H106" s="79" t="s">
        <v>339</v>
      </c>
      <c r="I106" s="80" t="n">
        <v>1</v>
      </c>
      <c r="J106" s="81" t="n">
        <v>1</v>
      </c>
      <c r="K106" s="82" t="n">
        <v>0.0231</v>
      </c>
      <c r="L106" s="83" t="n">
        <v>288000821.106462</v>
      </c>
      <c r="M106" s="84" t="n">
        <v>288000821.106462</v>
      </c>
      <c r="N106" s="85" t="str">
        <f>MIN(MAX((B106-'Calculation_Assumptions'!$B$5+1)/'Calculation_Assumptions'!$B$7,0),1)</f>
      </c>
      <c r="O106" s="86" t="str">
        <f>L106*I106</f>
      </c>
      <c r="P106" s="87" t="str">
        <f>M106*I106</f>
      </c>
      <c r="Q106" s="88" t="str">
        <f>P106*'Calculation_Assumptions'!$B$14*J106*K106</f>
      </c>
      <c r="R106" s="89" t="str">
        <f>O106*N106*J106*K106</f>
      </c>
      <c r="S106" s="90" t="str">
        <f>R106-Q106</f>
      </c>
      <c r="T106" s="91" t="str">
        <f>1/(1+'Calculation_Assumptions'!$B$8)^(B106-'Calculation_Assumptions'!$B$2)</f>
      </c>
      <c r="U106" s="92" t="str">
        <f>Q106*T106</f>
      </c>
      <c r="V106" s="93" t="str">
        <f>R106*T106</f>
      </c>
      <c r="W106" s="94" t="str">
        <f>S106*T106</f>
      </c>
      <c r="X106" t="n">
        <v>0</v>
      </c>
      <c r="Y106" s="95" t="n">
        <v>2017</v>
      </c>
      <c r="Z106" t="s">
        <v>266</v>
      </c>
      <c r="AA106" s="96" t="str">
        <f>IF(G106="shared-count-once",COUNTIFS($A$2:$A$313,A106,$B$2:$B$313,B106,$D$2:$D$313,D106),1)</f>
      </c>
    </row>
    <row r="107">
      <c r="A107" t="s">
        <v>214</v>
      </c>
      <c r="B107" s="74" t="n">
        <v>2026</v>
      </c>
      <c r="C107" t="s">
        <v>214</v>
      </c>
      <c r="D107" s="75" t="s">
        <v>353</v>
      </c>
      <c r="E107" s="76" t="s">
        <v>354</v>
      </c>
      <c r="F107" s="77" t="s">
        <v>220</v>
      </c>
      <c r="G107" s="78" t="s">
        <v>337</v>
      </c>
      <c r="H107" s="79" t="s">
        <v>339</v>
      </c>
      <c r="I107" s="80" t="n">
        <v>1</v>
      </c>
      <c r="J107" s="81" t="n">
        <v>1</v>
      </c>
      <c r="K107" s="82" t="n">
        <v>0.0231</v>
      </c>
      <c r="L107" s="83" t="n">
        <v>290123496.103219</v>
      </c>
      <c r="M107" s="84" t="n">
        <v>290123496.103219</v>
      </c>
      <c r="N107" s="85" t="str">
        <f>MIN(MAX((B107-'Calculation_Assumptions'!$B$5+1)/'Calculation_Assumptions'!$B$7,0),1)</f>
      </c>
      <c r="O107" s="86" t="str">
        <f>L107*I107</f>
      </c>
      <c r="P107" s="87" t="str">
        <f>M107*I107</f>
      </c>
      <c r="Q107" s="88" t="str">
        <f>P107*'Calculation_Assumptions'!$B$14*J107*K107</f>
      </c>
      <c r="R107" s="89" t="str">
        <f>O107*N107*J107*K107</f>
      </c>
      <c r="S107" s="90" t="str">
        <f>R107-Q107</f>
      </c>
      <c r="T107" s="91" t="str">
        <f>1/(1+'Calculation_Assumptions'!$B$8)^(B107-'Calculation_Assumptions'!$B$2)</f>
      </c>
      <c r="U107" s="92" t="str">
        <f>Q107*T107</f>
      </c>
      <c r="V107" s="93" t="str">
        <f>R107*T107</f>
      </c>
      <c r="W107" s="94" t="str">
        <f>S107*T107</f>
      </c>
      <c r="X107" t="n">
        <v>0</v>
      </c>
      <c r="Y107" s="95" t="n">
        <v>2017</v>
      </c>
      <c r="Z107" t="s">
        <v>266</v>
      </c>
      <c r="AA107" s="96" t="str">
        <f>IF(G107="shared-count-once",COUNTIFS($A$2:$A$313,A107,$B$2:$B$313,B107,$D$2:$D$313,D107),1)</f>
      </c>
    </row>
    <row r="108">
      <c r="A108" t="s">
        <v>214</v>
      </c>
      <c r="B108" s="74" t="n">
        <v>2027</v>
      </c>
      <c r="C108" t="s">
        <v>214</v>
      </c>
      <c r="D108" s="75" t="s">
        <v>353</v>
      </c>
      <c r="E108" s="76" t="s">
        <v>354</v>
      </c>
      <c r="F108" s="77" t="s">
        <v>220</v>
      </c>
      <c r="G108" s="78" t="s">
        <v>337</v>
      </c>
      <c r="H108" s="79" t="s">
        <v>339</v>
      </c>
      <c r="I108" s="80" t="n">
        <v>1</v>
      </c>
      <c r="J108" s="81" t="n">
        <v>1</v>
      </c>
      <c r="K108" s="82" t="n">
        <v>0.0231</v>
      </c>
      <c r="L108" s="83" t="n">
        <v>292252895.096956</v>
      </c>
      <c r="M108" s="84" t="n">
        <v>292252895.096956</v>
      </c>
      <c r="N108" s="85" t="str">
        <f>MIN(MAX((B108-'Calculation_Assumptions'!$B$5+1)/'Calculation_Assumptions'!$B$7,0),1)</f>
      </c>
      <c r="O108" s="86" t="str">
        <f>L108*I108</f>
      </c>
      <c r="P108" s="87" t="str">
        <f>M108*I108</f>
      </c>
      <c r="Q108" s="88" t="str">
        <f>P108*'Calculation_Assumptions'!$B$14*J108*K108</f>
      </c>
      <c r="R108" s="89" t="str">
        <f>O108*N108*J108*K108</f>
      </c>
      <c r="S108" s="90" t="str">
        <f>R108-Q108</f>
      </c>
      <c r="T108" s="91" t="str">
        <f>1/(1+'Calculation_Assumptions'!$B$8)^(B108-'Calculation_Assumptions'!$B$2)</f>
      </c>
      <c r="U108" s="92" t="str">
        <f>Q108*T108</f>
      </c>
      <c r="V108" s="93" t="str">
        <f>R108*T108</f>
      </c>
      <c r="W108" s="94" t="str">
        <f>S108*T108</f>
      </c>
      <c r="X108" t="n">
        <v>0</v>
      </c>
      <c r="Y108" s="95" t="n">
        <v>2017</v>
      </c>
      <c r="Z108" t="s">
        <v>266</v>
      </c>
      <c r="AA108" s="96" t="str">
        <f>IF(G108="shared-count-once",COUNTIFS($A$2:$A$313,A108,$B$2:$B$313,B108,$D$2:$D$313,D108),1)</f>
      </c>
    </row>
    <row r="109">
      <c r="A109" t="s">
        <v>214</v>
      </c>
      <c r="B109" s="74" t="n">
        <v>2028</v>
      </c>
      <c r="C109" t="s">
        <v>214</v>
      </c>
      <c r="D109" s="75" t="s">
        <v>353</v>
      </c>
      <c r="E109" s="76" t="s">
        <v>354</v>
      </c>
      <c r="F109" s="77" t="s">
        <v>220</v>
      </c>
      <c r="G109" s="78" t="s">
        <v>337</v>
      </c>
      <c r="H109" s="79" t="s">
        <v>339</v>
      </c>
      <c r="I109" s="80" t="n">
        <v>1</v>
      </c>
      <c r="J109" s="81" t="n">
        <v>1</v>
      </c>
      <c r="K109" s="82" t="n">
        <v>0.0231</v>
      </c>
      <c r="L109" s="83" t="n">
        <v>294314895.305465</v>
      </c>
      <c r="M109" s="84" t="n">
        <v>294314895.305465</v>
      </c>
      <c r="N109" s="85" t="str">
        <f>MIN(MAX((B109-'Calculation_Assumptions'!$B$5+1)/'Calculation_Assumptions'!$B$7,0),1)</f>
      </c>
      <c r="O109" s="86" t="str">
        <f>L109*I109</f>
      </c>
      <c r="P109" s="87" t="str">
        <f>M109*I109</f>
      </c>
      <c r="Q109" s="88" t="str">
        <f>P109*'Calculation_Assumptions'!$B$14*J109*K109</f>
      </c>
      <c r="R109" s="89" t="str">
        <f>O109*N109*J109*K109</f>
      </c>
      <c r="S109" s="90" t="str">
        <f>R109-Q109</f>
      </c>
      <c r="T109" s="91" t="str">
        <f>1/(1+'Calculation_Assumptions'!$B$8)^(B109-'Calculation_Assumptions'!$B$2)</f>
      </c>
      <c r="U109" s="92" t="str">
        <f>Q109*T109</f>
      </c>
      <c r="V109" s="93" t="str">
        <f>R109*T109</f>
      </c>
      <c r="W109" s="94" t="str">
        <f>S109*T109</f>
      </c>
      <c r="X109" t="n">
        <v>0</v>
      </c>
      <c r="Y109" s="95" t="n">
        <v>2017</v>
      </c>
      <c r="Z109" t="s">
        <v>266</v>
      </c>
      <c r="AA109" s="96" t="str">
        <f>IF(G109="shared-count-once",COUNTIFS($A$2:$A$313,A109,$B$2:$B$313,B109,$D$2:$D$313,D109),1)</f>
      </c>
    </row>
    <row r="110">
      <c r="A110" t="s">
        <v>214</v>
      </c>
      <c r="B110" s="74" t="n">
        <v>2029</v>
      </c>
      <c r="C110" t="s">
        <v>214</v>
      </c>
      <c r="D110" s="75" t="s">
        <v>353</v>
      </c>
      <c r="E110" s="76" t="s">
        <v>354</v>
      </c>
      <c r="F110" s="77" t="s">
        <v>220</v>
      </c>
      <c r="G110" s="78" t="s">
        <v>337</v>
      </c>
      <c r="H110" s="79" t="s">
        <v>339</v>
      </c>
      <c r="I110" s="80" t="n">
        <v>1</v>
      </c>
      <c r="J110" s="81" t="n">
        <v>1</v>
      </c>
      <c r="K110" s="82" t="n">
        <v>0.0231</v>
      </c>
      <c r="L110" s="83" t="n">
        <v>296341292.477321</v>
      </c>
      <c r="M110" s="84" t="n">
        <v>296341062.542853</v>
      </c>
      <c r="N110" s="85" t="str">
        <f>MIN(MAX((B110-'Calculation_Assumptions'!$B$5+1)/'Calculation_Assumptions'!$B$7,0),1)</f>
      </c>
      <c r="O110" s="86" t="str">
        <f>L110*I110</f>
      </c>
      <c r="P110" s="87" t="str">
        <f>M110*I110</f>
      </c>
      <c r="Q110" s="88" t="str">
        <f>P110*'Calculation_Assumptions'!$B$14*J110*K110</f>
      </c>
      <c r="R110" s="89" t="str">
        <f>O110*N110*J110*K110</f>
      </c>
      <c r="S110" s="90" t="str">
        <f>R110-Q110</f>
      </c>
      <c r="T110" s="91" t="str">
        <f>1/(1+'Calculation_Assumptions'!$B$8)^(B110-'Calculation_Assumptions'!$B$2)</f>
      </c>
      <c r="U110" s="92" t="str">
        <f>Q110*T110</f>
      </c>
      <c r="V110" s="93" t="str">
        <f>R110*T110</f>
      </c>
      <c r="W110" s="94" t="str">
        <f>S110*T110</f>
      </c>
      <c r="X110" t="n">
        <v>0</v>
      </c>
      <c r="Y110" s="95" t="n">
        <v>2017</v>
      </c>
      <c r="Z110" t="s">
        <v>266</v>
      </c>
      <c r="AA110" s="96" t="str">
        <f>IF(G110="shared-count-once",COUNTIFS($A$2:$A$313,A110,$B$2:$B$313,B110,$D$2:$D$313,D110),1)</f>
      </c>
    </row>
    <row r="111">
      <c r="A111" t="s">
        <v>214</v>
      </c>
      <c r="B111" s="74" t="n">
        <v>2030</v>
      </c>
      <c r="C111" t="s">
        <v>214</v>
      </c>
      <c r="D111" s="75" t="s">
        <v>353</v>
      </c>
      <c r="E111" s="76" t="s">
        <v>354</v>
      </c>
      <c r="F111" s="77" t="s">
        <v>220</v>
      </c>
      <c r="G111" s="78" t="s">
        <v>337</v>
      </c>
      <c r="H111" s="79" t="s">
        <v>339</v>
      </c>
      <c r="I111" s="80" t="n">
        <v>1</v>
      </c>
      <c r="J111" s="81" t="n">
        <v>1</v>
      </c>
      <c r="K111" s="82" t="n">
        <v>0.0231</v>
      </c>
      <c r="L111" s="83" t="n">
        <v>298281123.67892</v>
      </c>
      <c r="M111" s="84" t="n">
        <v>298280286.057263</v>
      </c>
      <c r="N111" s="85" t="str">
        <f>MIN(MAX((B111-'Calculation_Assumptions'!$B$5+1)/'Calculation_Assumptions'!$B$7,0),1)</f>
      </c>
      <c r="O111" s="86" t="str">
        <f>L111*I111</f>
      </c>
      <c r="P111" s="87" t="str">
        <f>M111*I111</f>
      </c>
      <c r="Q111" s="88" t="str">
        <f>P111*'Calculation_Assumptions'!$B$14*J111*K111</f>
      </c>
      <c r="R111" s="89" t="str">
        <f>O111*N111*J111*K111</f>
      </c>
      <c r="S111" s="90" t="str">
        <f>R111-Q111</f>
      </c>
      <c r="T111" s="91" t="str">
        <f>1/(1+'Calculation_Assumptions'!$B$8)^(B111-'Calculation_Assumptions'!$B$2)</f>
      </c>
      <c r="U111" s="92" t="str">
        <f>Q111*T111</f>
      </c>
      <c r="V111" s="93" t="str">
        <f>R111*T111</f>
      </c>
      <c r="W111" s="94" t="str">
        <f>S111*T111</f>
      </c>
      <c r="X111" t="n">
        <v>0</v>
      </c>
      <c r="Y111" s="95" t="n">
        <v>2017</v>
      </c>
      <c r="Z111" t="s">
        <v>266</v>
      </c>
      <c r="AA111" s="96" t="str">
        <f>IF(G111="shared-count-once",COUNTIFS($A$2:$A$313,A111,$B$2:$B$313,B111,$D$2:$D$313,D111),1)</f>
      </c>
    </row>
    <row r="112">
      <c r="A112" t="s">
        <v>214</v>
      </c>
      <c r="B112" s="74" t="n">
        <v>2031</v>
      </c>
      <c r="C112" t="s">
        <v>214</v>
      </c>
      <c r="D112" s="75" t="s">
        <v>353</v>
      </c>
      <c r="E112" s="76" t="s">
        <v>354</v>
      </c>
      <c r="F112" s="77" t="s">
        <v>220</v>
      </c>
      <c r="G112" s="78" t="s">
        <v>337</v>
      </c>
      <c r="H112" s="79" t="s">
        <v>339</v>
      </c>
      <c r="I112" s="80" t="n">
        <v>1</v>
      </c>
      <c r="J112" s="81" t="n">
        <v>1</v>
      </c>
      <c r="K112" s="82" t="n">
        <v>0.0231</v>
      </c>
      <c r="L112" s="83" t="n">
        <v>300154539.098707</v>
      </c>
      <c r="M112" s="84" t="n">
        <v>300152603.254782</v>
      </c>
      <c r="N112" s="85" t="str">
        <f>MIN(MAX((B112-'Calculation_Assumptions'!$B$5+1)/'Calculation_Assumptions'!$B$7,0),1)</f>
      </c>
      <c r="O112" s="86" t="str">
        <f>L112*I112</f>
      </c>
      <c r="P112" s="87" t="str">
        <f>M112*I112</f>
      </c>
      <c r="Q112" s="88" t="str">
        <f>P112*'Calculation_Assumptions'!$B$14*J112*K112</f>
      </c>
      <c r="R112" s="89" t="str">
        <f>O112*N112*J112*K112</f>
      </c>
      <c r="S112" s="90" t="str">
        <f>R112-Q112</f>
      </c>
      <c r="T112" s="91" t="str">
        <f>1/(1+'Calculation_Assumptions'!$B$8)^(B112-'Calculation_Assumptions'!$B$2)</f>
      </c>
      <c r="U112" s="92" t="str">
        <f>Q112*T112</f>
      </c>
      <c r="V112" s="93" t="str">
        <f>R112*T112</f>
      </c>
      <c r="W112" s="94" t="str">
        <f>S112*T112</f>
      </c>
      <c r="X112" t="n">
        <v>0</v>
      </c>
      <c r="Y112" s="95" t="n">
        <v>2017</v>
      </c>
      <c r="Z112" t="s">
        <v>266</v>
      </c>
      <c r="AA112" s="96" t="str">
        <f>IF(G112="shared-count-once",COUNTIFS($A$2:$A$313,A112,$B$2:$B$313,B112,$D$2:$D$313,D112),1)</f>
      </c>
    </row>
    <row r="113">
      <c r="A113" t="s">
        <v>214</v>
      </c>
      <c r="B113" s="74" t="n">
        <v>2032</v>
      </c>
      <c r="C113" t="s">
        <v>214</v>
      </c>
      <c r="D113" s="75" t="s">
        <v>353</v>
      </c>
      <c r="E113" s="76" t="s">
        <v>354</v>
      </c>
      <c r="F113" s="77" t="s">
        <v>220</v>
      </c>
      <c r="G113" s="78" t="s">
        <v>337</v>
      </c>
      <c r="H113" s="79" t="s">
        <v>339</v>
      </c>
      <c r="I113" s="80" t="n">
        <v>1</v>
      </c>
      <c r="J113" s="81" t="n">
        <v>1</v>
      </c>
      <c r="K113" s="82" t="n">
        <v>0.0231</v>
      </c>
      <c r="L113" s="83" t="n">
        <v>301963010.65879</v>
      </c>
      <c r="M113" s="84" t="n">
        <v>301959399.633888</v>
      </c>
      <c r="N113" s="85" t="str">
        <f>MIN(MAX((B113-'Calculation_Assumptions'!$B$5+1)/'Calculation_Assumptions'!$B$7,0),1)</f>
      </c>
      <c r="O113" s="86" t="str">
        <f>L113*I113</f>
      </c>
      <c r="P113" s="87" t="str">
        <f>M113*I113</f>
      </c>
      <c r="Q113" s="88" t="str">
        <f>P113*'Calculation_Assumptions'!$B$14*J113*K113</f>
      </c>
      <c r="R113" s="89" t="str">
        <f>O113*N113*J113*K113</f>
      </c>
      <c r="S113" s="90" t="str">
        <f>R113-Q113</f>
      </c>
      <c r="T113" s="91" t="str">
        <f>1/(1+'Calculation_Assumptions'!$B$8)^(B113-'Calculation_Assumptions'!$B$2)</f>
      </c>
      <c r="U113" s="92" t="str">
        <f>Q113*T113</f>
      </c>
      <c r="V113" s="93" t="str">
        <f>R113*T113</f>
      </c>
      <c r="W113" s="94" t="str">
        <f>S113*T113</f>
      </c>
      <c r="X113" t="n">
        <v>0</v>
      </c>
      <c r="Y113" s="95" t="n">
        <v>2017</v>
      </c>
      <c r="Z113" t="s">
        <v>266</v>
      </c>
      <c r="AA113" s="96" t="str">
        <f>IF(G113="shared-count-once",COUNTIFS($A$2:$A$313,A113,$B$2:$B$313,B113,$D$2:$D$313,D113),1)</f>
      </c>
    </row>
    <row r="114">
      <c r="A114" t="s">
        <v>214</v>
      </c>
      <c r="B114" s="74" t="n">
        <v>2033</v>
      </c>
      <c r="C114" t="s">
        <v>214</v>
      </c>
      <c r="D114" s="75" t="s">
        <v>353</v>
      </c>
      <c r="E114" s="76" t="s">
        <v>354</v>
      </c>
      <c r="F114" s="77" t="s">
        <v>220</v>
      </c>
      <c r="G114" s="78" t="s">
        <v>337</v>
      </c>
      <c r="H114" s="79" t="s">
        <v>339</v>
      </c>
      <c r="I114" s="80" t="n">
        <v>1</v>
      </c>
      <c r="J114" s="81" t="n">
        <v>1</v>
      </c>
      <c r="K114" s="82" t="n">
        <v>0.0231</v>
      </c>
      <c r="L114" s="83" t="n">
        <v>303625369.00099</v>
      </c>
      <c r="M114" s="84" t="n">
        <v>303701035.202051</v>
      </c>
      <c r="N114" s="85" t="str">
        <f>MIN(MAX((B114-'Calculation_Assumptions'!$B$5+1)/'Calculation_Assumptions'!$B$7,0),1)</f>
      </c>
      <c r="O114" s="86" t="str">
        <f>L114*I114</f>
      </c>
      <c r="P114" s="87" t="str">
        <f>M114*I114</f>
      </c>
      <c r="Q114" s="88" t="str">
        <f>P114*'Calculation_Assumptions'!$B$14*J114*K114</f>
      </c>
      <c r="R114" s="89" t="str">
        <f>O114*N114*J114*K114</f>
      </c>
      <c r="S114" s="90" t="str">
        <f>R114-Q114</f>
      </c>
      <c r="T114" s="91" t="str">
        <f>1/(1+'Calculation_Assumptions'!$B$8)^(B114-'Calculation_Assumptions'!$B$2)</f>
      </c>
      <c r="U114" s="92" t="str">
        <f>Q114*T114</f>
      </c>
      <c r="V114" s="93" t="str">
        <f>R114*T114</f>
      </c>
      <c r="W114" s="94" t="str">
        <f>S114*T114</f>
      </c>
      <c r="X114" t="n">
        <v>0</v>
      </c>
      <c r="Y114" s="95" t="n">
        <v>2017</v>
      </c>
      <c r="Z114" t="s">
        <v>266</v>
      </c>
      <c r="AA114" s="96" t="str">
        <f>IF(G114="shared-count-once",COUNTIFS($A$2:$A$313,A114,$B$2:$B$313,B114,$D$2:$D$313,D114),1)</f>
      </c>
    </row>
    <row r="115">
      <c r="A115" t="s">
        <v>214</v>
      </c>
      <c r="B115" s="74" t="n">
        <v>2034</v>
      </c>
      <c r="C115" t="s">
        <v>214</v>
      </c>
      <c r="D115" s="75" t="s">
        <v>353</v>
      </c>
      <c r="E115" s="76" t="s">
        <v>354</v>
      </c>
      <c r="F115" s="77" t="s">
        <v>220</v>
      </c>
      <c r="G115" s="78" t="s">
        <v>337</v>
      </c>
      <c r="H115" s="79" t="s">
        <v>339</v>
      </c>
      <c r="I115" s="80" t="n">
        <v>1</v>
      </c>
      <c r="J115" s="81" t="n">
        <v>1</v>
      </c>
      <c r="K115" s="82" t="n">
        <v>0.0231</v>
      </c>
      <c r="L115" s="83" t="n">
        <v>305296820.691935</v>
      </c>
      <c r="M115" s="84" t="n">
        <v>305377998.093319</v>
      </c>
      <c r="N115" s="85" t="str">
        <f>MIN(MAX((B115-'Calculation_Assumptions'!$B$5+1)/'Calculation_Assumptions'!$B$7,0),1)</f>
      </c>
      <c r="O115" s="86" t="str">
        <f>L115*I115</f>
      </c>
      <c r="P115" s="87" t="str">
        <f>M115*I115</f>
      </c>
      <c r="Q115" s="88" t="str">
        <f>P115*'Calculation_Assumptions'!$B$14*J115*K115</f>
      </c>
      <c r="R115" s="89" t="str">
        <f>O115*N115*J115*K115</f>
      </c>
      <c r="S115" s="90" t="str">
        <f>R115-Q115</f>
      </c>
      <c r="T115" s="91" t="str">
        <f>1/(1+'Calculation_Assumptions'!$B$8)^(B115-'Calculation_Assumptions'!$B$2)</f>
      </c>
      <c r="U115" s="92" t="str">
        <f>Q115*T115</f>
      </c>
      <c r="V115" s="93" t="str">
        <f>R115*T115</f>
      </c>
      <c r="W115" s="94" t="str">
        <f>S115*T115</f>
      </c>
      <c r="X115" t="n">
        <v>0</v>
      </c>
      <c r="Y115" s="95" t="n">
        <v>2017</v>
      </c>
      <c r="Z115" t="s">
        <v>266</v>
      </c>
      <c r="AA115" s="96" t="str">
        <f>IF(G115="shared-count-once",COUNTIFS($A$2:$A$313,A115,$B$2:$B$313,B115,$D$2:$D$313,D115),1)</f>
      </c>
    </row>
    <row r="116">
      <c r="A116" t="s">
        <v>214</v>
      </c>
      <c r="B116" s="74" t="n">
        <v>2035</v>
      </c>
      <c r="C116" t="s">
        <v>214</v>
      </c>
      <c r="D116" s="75" t="s">
        <v>353</v>
      </c>
      <c r="E116" s="76" t="s">
        <v>354</v>
      </c>
      <c r="F116" s="77" t="s">
        <v>220</v>
      </c>
      <c r="G116" s="78" t="s">
        <v>337</v>
      </c>
      <c r="H116" s="79" t="s">
        <v>339</v>
      </c>
      <c r="I116" s="80" t="n">
        <v>1</v>
      </c>
      <c r="J116" s="81" t="n">
        <v>1</v>
      </c>
      <c r="K116" s="82" t="n">
        <v>0.0231</v>
      </c>
      <c r="L116" s="83" t="n">
        <v>306903369.585224</v>
      </c>
      <c r="M116" s="84" t="n">
        <v>306989258.29407</v>
      </c>
      <c r="N116" s="85" t="str">
        <f>MIN(MAX((B116-'Calculation_Assumptions'!$B$5+1)/'Calculation_Assumptions'!$B$7,0),1)</f>
      </c>
      <c r="O116" s="86" t="str">
        <f>L116*I116</f>
      </c>
      <c r="P116" s="87" t="str">
        <f>M116*I116</f>
      </c>
      <c r="Q116" s="88" t="str">
        <f>P116*'Calculation_Assumptions'!$B$14*J116*K116</f>
      </c>
      <c r="R116" s="89" t="str">
        <f>O116*N116*J116*K116</f>
      </c>
      <c r="S116" s="90" t="str">
        <f>R116-Q116</f>
      </c>
      <c r="T116" s="91" t="str">
        <f>1/(1+'Calculation_Assumptions'!$B$8)^(B116-'Calculation_Assumptions'!$B$2)</f>
      </c>
      <c r="U116" s="92" t="str">
        <f>Q116*T116</f>
      </c>
      <c r="V116" s="93" t="str">
        <f>R116*T116</f>
      </c>
      <c r="W116" s="94" t="str">
        <f>S116*T116</f>
      </c>
      <c r="X116" t="n">
        <v>0</v>
      </c>
      <c r="Y116" s="95" t="n">
        <v>2017</v>
      </c>
      <c r="Z116" t="s">
        <v>266</v>
      </c>
      <c r="AA116" s="96" t="str">
        <f>IF(G116="shared-count-once",COUNTIFS($A$2:$A$313,A116,$B$2:$B$313,B116,$D$2:$D$313,D116),1)</f>
      </c>
    </row>
    <row r="117">
      <c r="A117" t="s">
        <v>214</v>
      </c>
      <c r="B117" s="74" t="n">
        <v>2036</v>
      </c>
      <c r="C117" t="s">
        <v>214</v>
      </c>
      <c r="D117" s="75" t="s">
        <v>353</v>
      </c>
      <c r="E117" s="76" t="s">
        <v>354</v>
      </c>
      <c r="F117" s="77" t="s">
        <v>220</v>
      </c>
      <c r="G117" s="78" t="s">
        <v>337</v>
      </c>
      <c r="H117" s="79" t="s">
        <v>339</v>
      </c>
      <c r="I117" s="80" t="n">
        <v>1</v>
      </c>
      <c r="J117" s="81" t="n">
        <v>1</v>
      </c>
      <c r="K117" s="82" t="n">
        <v>0.0231</v>
      </c>
      <c r="L117" s="83" t="n">
        <v>308447875.892363</v>
      </c>
      <c r="M117" s="84" t="n">
        <v>308537399.672094</v>
      </c>
      <c r="N117" s="85" t="str">
        <f>MIN(MAX((B117-'Calculation_Assumptions'!$B$5+1)/'Calculation_Assumptions'!$B$7,0),1)</f>
      </c>
      <c r="O117" s="86" t="str">
        <f>L117*I117</f>
      </c>
      <c r="P117" s="87" t="str">
        <f>M117*I117</f>
      </c>
      <c r="Q117" s="88" t="str">
        <f>P117*'Calculation_Assumptions'!$B$14*J117*K117</f>
      </c>
      <c r="R117" s="89" t="str">
        <f>O117*N117*J117*K117</f>
      </c>
      <c r="S117" s="90" t="str">
        <f>R117-Q117</f>
      </c>
      <c r="T117" s="91" t="str">
        <f>1/(1+'Calculation_Assumptions'!$B$8)^(B117-'Calculation_Assumptions'!$B$2)</f>
      </c>
      <c r="U117" s="92" t="str">
        <f>Q117*T117</f>
      </c>
      <c r="V117" s="93" t="str">
        <f>R117*T117</f>
      </c>
      <c r="W117" s="94" t="str">
        <f>S117*T117</f>
      </c>
      <c r="X117" t="n">
        <v>0</v>
      </c>
      <c r="Y117" s="95" t="n">
        <v>2017</v>
      </c>
      <c r="Z117" t="s">
        <v>266</v>
      </c>
      <c r="AA117" s="96" t="str">
        <f>IF(G117="shared-count-once",COUNTIFS($A$2:$A$313,A117,$B$2:$B$313,B117,$D$2:$D$313,D117),1)</f>
      </c>
    </row>
    <row r="118">
      <c r="A118" t="s">
        <v>214</v>
      </c>
      <c r="B118" s="74" t="n">
        <v>2037</v>
      </c>
      <c r="C118" t="s">
        <v>214</v>
      </c>
      <c r="D118" s="75" t="s">
        <v>353</v>
      </c>
      <c r="E118" s="76" t="s">
        <v>354</v>
      </c>
      <c r="F118" s="77" t="s">
        <v>220</v>
      </c>
      <c r="G118" s="78" t="s">
        <v>337</v>
      </c>
      <c r="H118" s="79" t="s">
        <v>339</v>
      </c>
      <c r="I118" s="80" t="n">
        <v>1</v>
      </c>
      <c r="J118" s="81" t="n">
        <v>1</v>
      </c>
      <c r="K118" s="82" t="n">
        <v>0.0231</v>
      </c>
      <c r="L118" s="83" t="n">
        <v>309931138.903207</v>
      </c>
      <c r="M118" s="84" t="n">
        <v>310023120.393472</v>
      </c>
      <c r="N118" s="85" t="str">
        <f>MIN(MAX((B118-'Calculation_Assumptions'!$B$5+1)/'Calculation_Assumptions'!$B$7,0),1)</f>
      </c>
      <c r="O118" s="86" t="str">
        <f>L118*I118</f>
      </c>
      <c r="P118" s="87" t="str">
        <f>M118*I118</f>
      </c>
      <c r="Q118" s="88" t="str">
        <f>P118*'Calculation_Assumptions'!$B$14*J118*K118</f>
      </c>
      <c r="R118" s="89" t="str">
        <f>O118*N118*J118*K118</f>
      </c>
      <c r="S118" s="90" t="str">
        <f>R118-Q118</f>
      </c>
      <c r="T118" s="91" t="str">
        <f>1/(1+'Calculation_Assumptions'!$B$8)^(B118-'Calculation_Assumptions'!$B$2)</f>
      </c>
      <c r="U118" s="92" t="str">
        <f>Q118*T118</f>
      </c>
      <c r="V118" s="93" t="str">
        <f>R118*T118</f>
      </c>
      <c r="W118" s="94" t="str">
        <f>S118*T118</f>
      </c>
      <c r="X118" t="n">
        <v>0</v>
      </c>
      <c r="Y118" s="95" t="n">
        <v>2017</v>
      </c>
      <c r="Z118" t="s">
        <v>266</v>
      </c>
      <c r="AA118" s="96" t="str">
        <f>IF(G118="shared-count-once",COUNTIFS($A$2:$A$313,A118,$B$2:$B$313,B118,$D$2:$D$313,D118),1)</f>
      </c>
    </row>
    <row r="119">
      <c r="A119" t="s">
        <v>214</v>
      </c>
      <c r="B119" s="74" t="n">
        <v>2038</v>
      </c>
      <c r="C119" t="s">
        <v>214</v>
      </c>
      <c r="D119" s="75" t="s">
        <v>353</v>
      </c>
      <c r="E119" s="76" t="s">
        <v>354</v>
      </c>
      <c r="F119" s="77" t="s">
        <v>220</v>
      </c>
      <c r="G119" s="78" t="s">
        <v>337</v>
      </c>
      <c r="H119" s="79" t="s">
        <v>339</v>
      </c>
      <c r="I119" s="80" t="n">
        <v>1</v>
      </c>
      <c r="J119" s="81" t="n">
        <v>1</v>
      </c>
      <c r="K119" s="82" t="n">
        <v>0.0231</v>
      </c>
      <c r="L119" s="83" t="n">
        <v>311353244.296948</v>
      </c>
      <c r="M119" s="84" t="n">
        <v>311445837.134625</v>
      </c>
      <c r="N119" s="85" t="str">
        <f>MIN(MAX((B119-'Calculation_Assumptions'!$B$5+1)/'Calculation_Assumptions'!$B$7,0),1)</f>
      </c>
      <c r="O119" s="86" t="str">
        <f>L119*I119</f>
      </c>
      <c r="P119" s="87" t="str">
        <f>M119*I119</f>
      </c>
      <c r="Q119" s="88" t="str">
        <f>P119*'Calculation_Assumptions'!$B$14*J119*K119</f>
      </c>
      <c r="R119" s="89" t="str">
        <f>O119*N119*J119*K119</f>
      </c>
      <c r="S119" s="90" t="str">
        <f>R119-Q119</f>
      </c>
      <c r="T119" s="91" t="str">
        <f>1/(1+'Calculation_Assumptions'!$B$8)^(B119-'Calculation_Assumptions'!$B$2)</f>
      </c>
      <c r="U119" s="92" t="str">
        <f>Q119*T119</f>
      </c>
      <c r="V119" s="93" t="str">
        <f>R119*T119</f>
      </c>
      <c r="W119" s="94" t="str">
        <f>S119*T119</f>
      </c>
      <c r="X119" t="n">
        <v>0</v>
      </c>
      <c r="Y119" s="95" t="n">
        <v>2017</v>
      </c>
      <c r="Z119" t="s">
        <v>266</v>
      </c>
      <c r="AA119" s="96" t="str">
        <f>IF(G119="shared-count-once",COUNTIFS($A$2:$A$313,A119,$B$2:$B$313,B119,$D$2:$D$313,D119),1)</f>
      </c>
    </row>
    <row r="120">
      <c r="A120" t="s">
        <v>214</v>
      </c>
      <c r="B120" s="74" t="n">
        <v>2039</v>
      </c>
      <c r="C120" t="s">
        <v>214</v>
      </c>
      <c r="D120" s="75" t="s">
        <v>353</v>
      </c>
      <c r="E120" s="76" t="s">
        <v>354</v>
      </c>
      <c r="F120" s="77" t="s">
        <v>220</v>
      </c>
      <c r="G120" s="78" t="s">
        <v>337</v>
      </c>
      <c r="H120" s="79" t="s">
        <v>339</v>
      </c>
      <c r="I120" s="80" t="n">
        <v>1</v>
      </c>
      <c r="J120" s="81" t="n">
        <v>1</v>
      </c>
      <c r="K120" s="82" t="n">
        <v>0.0231</v>
      </c>
      <c r="L120" s="83" t="n">
        <v>312715466.250734</v>
      </c>
      <c r="M120" s="84" t="n">
        <v>312806989.715685</v>
      </c>
      <c r="N120" s="85" t="str">
        <f>MIN(MAX((B120-'Calculation_Assumptions'!$B$5+1)/'Calculation_Assumptions'!$B$7,0),1)</f>
      </c>
      <c r="O120" s="86" t="str">
        <f>L120*I120</f>
      </c>
      <c r="P120" s="87" t="str">
        <f>M120*I120</f>
      </c>
      <c r="Q120" s="88" t="str">
        <f>P120*'Calculation_Assumptions'!$B$14*J120*K120</f>
      </c>
      <c r="R120" s="89" t="str">
        <f>O120*N120*J120*K120</f>
      </c>
      <c r="S120" s="90" t="str">
        <f>R120-Q120</f>
      </c>
      <c r="T120" s="91" t="str">
        <f>1/(1+'Calculation_Assumptions'!$B$8)^(B120-'Calculation_Assumptions'!$B$2)</f>
      </c>
      <c r="U120" s="92" t="str">
        <f>Q120*T120</f>
      </c>
      <c r="V120" s="93" t="str">
        <f>R120*T120</f>
      </c>
      <c r="W120" s="94" t="str">
        <f>S120*T120</f>
      </c>
      <c r="X120" t="n">
        <v>0</v>
      </c>
      <c r="Y120" s="95" t="n">
        <v>2017</v>
      </c>
      <c r="Z120" t="s">
        <v>266</v>
      </c>
      <c r="AA120" s="96" t="str">
        <f>IF(G120="shared-count-once",COUNTIFS($A$2:$A$313,A120,$B$2:$B$313,B120,$D$2:$D$313,D120),1)</f>
      </c>
    </row>
    <row r="121">
      <c r="A121" t="s">
        <v>214</v>
      </c>
      <c r="B121" s="74" t="n">
        <v>2040</v>
      </c>
      <c r="C121" t="s">
        <v>214</v>
      </c>
      <c r="D121" s="75" t="s">
        <v>353</v>
      </c>
      <c r="E121" s="76" t="s">
        <v>354</v>
      </c>
      <c r="F121" s="77" t="s">
        <v>220</v>
      </c>
      <c r="G121" s="78" t="s">
        <v>337</v>
      </c>
      <c r="H121" s="79" t="s">
        <v>339</v>
      </c>
      <c r="I121" s="80" t="n">
        <v>1</v>
      </c>
      <c r="J121" s="81" t="n">
        <v>1</v>
      </c>
      <c r="K121" s="82" t="n">
        <v>0.0231</v>
      </c>
      <c r="L121" s="83" t="n">
        <v>314020190.4735</v>
      </c>
      <c r="M121" s="84" t="n">
        <v>314109251.582649</v>
      </c>
      <c r="N121" s="85" t="str">
        <f>MIN(MAX((B121-'Calculation_Assumptions'!$B$5+1)/'Calculation_Assumptions'!$B$7,0),1)</f>
      </c>
      <c r="O121" s="86" t="str">
        <f>L121*I121</f>
      </c>
      <c r="P121" s="87" t="str">
        <f>M121*I121</f>
      </c>
      <c r="Q121" s="88" t="str">
        <f>P121*'Calculation_Assumptions'!$B$14*J121*K121</f>
      </c>
      <c r="R121" s="89" t="str">
        <f>O121*N121*J121*K121</f>
      </c>
      <c r="S121" s="90" t="str">
        <f>R121-Q121</f>
      </c>
      <c r="T121" s="91" t="str">
        <f>1/(1+'Calculation_Assumptions'!$B$8)^(B121-'Calculation_Assumptions'!$B$2)</f>
      </c>
      <c r="U121" s="92" t="str">
        <f>Q121*T121</f>
      </c>
      <c r="V121" s="93" t="str">
        <f>R121*T121</f>
      </c>
      <c r="W121" s="94" t="str">
        <f>S121*T121</f>
      </c>
      <c r="X121" t="n">
        <v>0</v>
      </c>
      <c r="Y121" s="95" t="n">
        <v>2017</v>
      </c>
      <c r="Z121" t="s">
        <v>266</v>
      </c>
      <c r="AA121" s="96" t="str">
        <f>IF(G121="shared-count-once",COUNTIFS($A$2:$A$313,A121,$B$2:$B$313,B121,$D$2:$D$313,D121),1)</f>
      </c>
    </row>
    <row r="122">
      <c r="A122" t="s">
        <v>214</v>
      </c>
      <c r="B122" s="74" t="n">
        <v>2041</v>
      </c>
      <c r="C122" t="s">
        <v>214</v>
      </c>
      <c r="D122" s="75" t="s">
        <v>353</v>
      </c>
      <c r="E122" s="76" t="s">
        <v>354</v>
      </c>
      <c r="F122" s="77" t="s">
        <v>220</v>
      </c>
      <c r="G122" s="78" t="s">
        <v>337</v>
      </c>
      <c r="H122" s="79" t="s">
        <v>339</v>
      </c>
      <c r="I122" s="80" t="n">
        <v>1</v>
      </c>
      <c r="J122" s="81" t="n">
        <v>1</v>
      </c>
      <c r="K122" s="82" t="n">
        <v>0.0231</v>
      </c>
      <c r="L122" s="83" t="n">
        <v>315266376.595959</v>
      </c>
      <c r="M122" s="84" t="n">
        <v>315352079.812423</v>
      </c>
      <c r="N122" s="85" t="str">
        <f>MIN(MAX((B122-'Calculation_Assumptions'!$B$5+1)/'Calculation_Assumptions'!$B$7,0),1)</f>
      </c>
      <c r="O122" s="86" t="str">
        <f>L122*I122</f>
      </c>
      <c r="P122" s="87" t="str">
        <f>M122*I122</f>
      </c>
      <c r="Q122" s="88" t="str">
        <f>P122*'Calculation_Assumptions'!$B$14*J122*K122</f>
      </c>
      <c r="R122" s="89" t="str">
        <f>O122*N122*J122*K122</f>
      </c>
      <c r="S122" s="90" t="str">
        <f>R122-Q122</f>
      </c>
      <c r="T122" s="91" t="str">
        <f>1/(1+'Calculation_Assumptions'!$B$8)^(B122-'Calculation_Assumptions'!$B$2)</f>
      </c>
      <c r="U122" s="92" t="str">
        <f>Q122*T122</f>
      </c>
      <c r="V122" s="93" t="str">
        <f>R122*T122</f>
      </c>
      <c r="W122" s="94" t="str">
        <f>S122*T122</f>
      </c>
      <c r="X122" t="n">
        <v>0</v>
      </c>
      <c r="Y122" s="95" t="n">
        <v>2017</v>
      </c>
      <c r="Z122" t="s">
        <v>266</v>
      </c>
      <c r="AA122" s="96" t="str">
        <f>IF(G122="shared-count-once",COUNTIFS($A$2:$A$313,A122,$B$2:$B$313,B122,$D$2:$D$313,D122),1)</f>
      </c>
    </row>
    <row r="123">
      <c r="A123" t="s">
        <v>214</v>
      </c>
      <c r="B123" s="74" t="n">
        <v>2042</v>
      </c>
      <c r="C123" t="s">
        <v>214</v>
      </c>
      <c r="D123" s="75" t="s">
        <v>353</v>
      </c>
      <c r="E123" s="76" t="s">
        <v>354</v>
      </c>
      <c r="F123" s="77" t="s">
        <v>220</v>
      </c>
      <c r="G123" s="78" t="s">
        <v>337</v>
      </c>
      <c r="H123" s="79" t="s">
        <v>339</v>
      </c>
      <c r="I123" s="80" t="n">
        <v>1</v>
      </c>
      <c r="J123" s="81" t="n">
        <v>1</v>
      </c>
      <c r="K123" s="82" t="n">
        <v>0.0231</v>
      </c>
      <c r="L123" s="83" t="n">
        <v>316454846.208522</v>
      </c>
      <c r="M123" s="84" t="n">
        <v>316395286.312016</v>
      </c>
      <c r="N123" s="85" t="str">
        <f>MIN(MAX((B123-'Calculation_Assumptions'!$B$5+1)/'Calculation_Assumptions'!$B$7,0),1)</f>
      </c>
      <c r="O123" s="86" t="str">
        <f>L123*I123</f>
      </c>
      <c r="P123" s="87" t="str">
        <f>M123*I123</f>
      </c>
      <c r="Q123" s="88" t="str">
        <f>P123*'Calculation_Assumptions'!$B$14*J123*K123</f>
      </c>
      <c r="R123" s="89" t="str">
        <f>O123*N123*J123*K123</f>
      </c>
      <c r="S123" s="90" t="str">
        <f>R123-Q123</f>
      </c>
      <c r="T123" s="91" t="str">
        <f>1/(1+'Calculation_Assumptions'!$B$8)^(B123-'Calculation_Assumptions'!$B$2)</f>
      </c>
      <c r="U123" s="92" t="str">
        <f>Q123*T123</f>
      </c>
      <c r="V123" s="93" t="str">
        <f>R123*T123</f>
      </c>
      <c r="W123" s="94" t="str">
        <f>S123*T123</f>
      </c>
      <c r="X123" t="n">
        <v>0</v>
      </c>
      <c r="Y123" s="95" t="n">
        <v>2017</v>
      </c>
      <c r="Z123" t="s">
        <v>266</v>
      </c>
      <c r="AA123" s="96" t="str">
        <f>IF(G123="shared-count-once",COUNTIFS($A$2:$A$313,A123,$B$2:$B$313,B123,$D$2:$D$313,D123),1)</f>
      </c>
    </row>
    <row r="124">
      <c r="A124" t="s">
        <v>214</v>
      </c>
      <c r="B124" s="74" t="n">
        <v>2043</v>
      </c>
      <c r="C124" t="s">
        <v>214</v>
      </c>
      <c r="D124" s="75" t="s">
        <v>353</v>
      </c>
      <c r="E124" s="76" t="s">
        <v>354</v>
      </c>
      <c r="F124" s="77" t="s">
        <v>220</v>
      </c>
      <c r="G124" s="78" t="s">
        <v>337</v>
      </c>
      <c r="H124" s="79" t="s">
        <v>339</v>
      </c>
      <c r="I124" s="80" t="n">
        <v>1</v>
      </c>
      <c r="J124" s="81" t="n">
        <v>1</v>
      </c>
      <c r="K124" s="82" t="n">
        <v>0.0231</v>
      </c>
      <c r="L124" s="83" t="n">
        <v>317690048.941188</v>
      </c>
      <c r="M124" s="84" t="n">
        <v>317619735.688289</v>
      </c>
      <c r="N124" s="85" t="str">
        <f>MIN(MAX((B124-'Calculation_Assumptions'!$B$5+1)/'Calculation_Assumptions'!$B$7,0),1)</f>
      </c>
      <c r="O124" s="86" t="str">
        <f>L124*I124</f>
      </c>
      <c r="P124" s="87" t="str">
        <f>M124*I124</f>
      </c>
      <c r="Q124" s="88" t="str">
        <f>P124*'Calculation_Assumptions'!$B$14*J124*K124</f>
      </c>
      <c r="R124" s="89" t="str">
        <f>O124*N124*J124*K124</f>
      </c>
      <c r="S124" s="90" t="str">
        <f>R124-Q124</f>
      </c>
      <c r="T124" s="91" t="str">
        <f>1/(1+'Calculation_Assumptions'!$B$8)^(B124-'Calculation_Assumptions'!$B$2)</f>
      </c>
      <c r="U124" s="92" t="str">
        <f>Q124*T124</f>
      </c>
      <c r="V124" s="93" t="str">
        <f>R124*T124</f>
      </c>
      <c r="W124" s="94" t="str">
        <f>S124*T124</f>
      </c>
      <c r="X124" t="n">
        <v>0</v>
      </c>
      <c r="Y124" s="95" t="n">
        <v>2017</v>
      </c>
      <c r="Z124" t="s">
        <v>266</v>
      </c>
      <c r="AA124" s="96" t="str">
        <f>IF(G124="shared-count-once",COUNTIFS($A$2:$A$313,A124,$B$2:$B$313,B124,$D$2:$D$313,D124),1)</f>
      </c>
    </row>
    <row r="125">
      <c r="A125" t="s">
        <v>214</v>
      </c>
      <c r="B125" s="74" t="n">
        <v>2044</v>
      </c>
      <c r="C125" t="s">
        <v>214</v>
      </c>
      <c r="D125" s="75" t="s">
        <v>353</v>
      </c>
      <c r="E125" s="76" t="s">
        <v>354</v>
      </c>
      <c r="F125" s="77" t="s">
        <v>220</v>
      </c>
      <c r="G125" s="78" t="s">
        <v>337</v>
      </c>
      <c r="H125" s="79" t="s">
        <v>339</v>
      </c>
      <c r="I125" s="80" t="n">
        <v>1</v>
      </c>
      <c r="J125" s="81" t="n">
        <v>1</v>
      </c>
      <c r="K125" s="82" t="n">
        <v>0.0231</v>
      </c>
      <c r="L125" s="83" t="n">
        <v>318777984.183412</v>
      </c>
      <c r="M125" s="84" t="n">
        <v>318697135.863652</v>
      </c>
      <c r="N125" s="85" t="str">
        <f>MIN(MAX((B125-'Calculation_Assumptions'!$B$5+1)/'Calculation_Assumptions'!$B$7,0),1)</f>
      </c>
      <c r="O125" s="86" t="str">
        <f>L125*I125</f>
      </c>
      <c r="P125" s="87" t="str">
        <f>M125*I125</f>
      </c>
      <c r="Q125" s="88" t="str">
        <f>P125*'Calculation_Assumptions'!$B$14*J125*K125</f>
      </c>
      <c r="R125" s="89" t="str">
        <f>O125*N125*J125*K125</f>
      </c>
      <c r="S125" s="90" t="str">
        <f>R125-Q125</f>
      </c>
      <c r="T125" s="91" t="str">
        <f>1/(1+'Calculation_Assumptions'!$B$8)^(B125-'Calculation_Assumptions'!$B$2)</f>
      </c>
      <c r="U125" s="92" t="str">
        <f>Q125*T125</f>
      </c>
      <c r="V125" s="93" t="str">
        <f>R125*T125</f>
      </c>
      <c r="W125" s="94" t="str">
        <f>S125*T125</f>
      </c>
      <c r="X125" t="n">
        <v>0</v>
      </c>
      <c r="Y125" s="95" t="n">
        <v>2017</v>
      </c>
      <c r="Z125" t="s">
        <v>266</v>
      </c>
      <c r="AA125" s="96" t="str">
        <f>IF(G125="shared-count-once",COUNTIFS($A$2:$A$313,A125,$B$2:$B$313,B125,$D$2:$D$313,D125),1)</f>
      </c>
    </row>
    <row r="126">
      <c r="A126" t="s">
        <v>214</v>
      </c>
      <c r="B126" s="74" t="n">
        <v>2045</v>
      </c>
      <c r="C126" t="s">
        <v>214</v>
      </c>
      <c r="D126" s="75" t="s">
        <v>353</v>
      </c>
      <c r="E126" s="76" t="s">
        <v>354</v>
      </c>
      <c r="F126" s="77" t="s">
        <v>220</v>
      </c>
      <c r="G126" s="78" t="s">
        <v>337</v>
      </c>
      <c r="H126" s="79" t="s">
        <v>339</v>
      </c>
      <c r="I126" s="80" t="n">
        <v>1</v>
      </c>
      <c r="J126" s="81" t="n">
        <v>1</v>
      </c>
      <c r="K126" s="82" t="n">
        <v>0.0231</v>
      </c>
      <c r="L126" s="83" t="n">
        <v>319809890.24294</v>
      </c>
      <c r="M126" s="84" t="n">
        <v>319717840.85179</v>
      </c>
      <c r="N126" s="85" t="str">
        <f>MIN(MAX((B126-'Calculation_Assumptions'!$B$5+1)/'Calculation_Assumptions'!$B$7,0),1)</f>
      </c>
      <c r="O126" s="86" t="str">
        <f>L126*I126</f>
      </c>
      <c r="P126" s="87" t="str">
        <f>M126*I126</f>
      </c>
      <c r="Q126" s="88" t="str">
        <f>P126*'Calculation_Assumptions'!$B$14*J126*K126</f>
      </c>
      <c r="R126" s="89" t="str">
        <f>O126*N126*J126*K126</f>
      </c>
      <c r="S126" s="90" t="str">
        <f>R126-Q126</f>
      </c>
      <c r="T126" s="91" t="str">
        <f>1/(1+'Calculation_Assumptions'!$B$8)^(B126-'Calculation_Assumptions'!$B$2)</f>
      </c>
      <c r="U126" s="92" t="str">
        <f>Q126*T126</f>
      </c>
      <c r="V126" s="93" t="str">
        <f>R126*T126</f>
      </c>
      <c r="W126" s="94" t="str">
        <f>S126*T126</f>
      </c>
      <c r="X126" t="n">
        <v>0</v>
      </c>
      <c r="Y126" s="95" t="n">
        <v>2017</v>
      </c>
      <c r="Z126" t="s">
        <v>266</v>
      </c>
      <c r="AA126" s="96" t="str">
        <f>IF(G126="shared-count-once",COUNTIFS($A$2:$A$313,A126,$B$2:$B$313,B126,$D$2:$D$313,D126),1)</f>
      </c>
    </row>
    <row r="127">
      <c r="A127" t="s">
        <v>214</v>
      </c>
      <c r="B127" s="74" t="n">
        <v>2046</v>
      </c>
      <c r="C127" t="s">
        <v>214</v>
      </c>
      <c r="D127" s="75" t="s">
        <v>353</v>
      </c>
      <c r="E127" s="76" t="s">
        <v>354</v>
      </c>
      <c r="F127" s="77" t="s">
        <v>220</v>
      </c>
      <c r="G127" s="78" t="s">
        <v>337</v>
      </c>
      <c r="H127" s="79" t="s">
        <v>339</v>
      </c>
      <c r="I127" s="80" t="n">
        <v>1</v>
      </c>
      <c r="J127" s="81" t="n">
        <v>1</v>
      </c>
      <c r="K127" s="82" t="n">
        <v>0.0231</v>
      </c>
      <c r="L127" s="83" t="n">
        <v>320787767.95063</v>
      </c>
      <c r="M127" s="84" t="n">
        <v>320683879.806276</v>
      </c>
      <c r="N127" s="85" t="str">
        <f>MIN(MAX((B127-'Calculation_Assumptions'!$B$5+1)/'Calculation_Assumptions'!$B$7,0),1)</f>
      </c>
      <c r="O127" s="86" t="str">
        <f>L127*I127</f>
      </c>
      <c r="P127" s="87" t="str">
        <f>M127*I127</f>
      </c>
      <c r="Q127" s="88" t="str">
        <f>P127*'Calculation_Assumptions'!$B$14*J127*K127</f>
      </c>
      <c r="R127" s="89" t="str">
        <f>O127*N127*J127*K127</f>
      </c>
      <c r="S127" s="90" t="str">
        <f>R127-Q127</f>
      </c>
      <c r="T127" s="91" t="str">
        <f>1/(1+'Calculation_Assumptions'!$B$8)^(B127-'Calculation_Assumptions'!$B$2)</f>
      </c>
      <c r="U127" s="92" t="str">
        <f>Q127*T127</f>
      </c>
      <c r="V127" s="93" t="str">
        <f>R127*T127</f>
      </c>
      <c r="W127" s="94" t="str">
        <f>S127*T127</f>
      </c>
      <c r="X127" t="n">
        <v>0</v>
      </c>
      <c r="Y127" s="95" t="n">
        <v>2017</v>
      </c>
      <c r="Z127" t="s">
        <v>266</v>
      </c>
      <c r="AA127" s="96" t="str">
        <f>IF(G127="shared-count-once",COUNTIFS($A$2:$A$313,A127,$B$2:$B$313,B127,$D$2:$D$313,D127),1)</f>
      </c>
    </row>
    <row r="128">
      <c r="A128" t="s">
        <v>214</v>
      </c>
      <c r="B128" s="74" t="n">
        <v>2047</v>
      </c>
      <c r="C128" t="s">
        <v>214</v>
      </c>
      <c r="D128" s="75" t="s">
        <v>353</v>
      </c>
      <c r="E128" s="76" t="s">
        <v>354</v>
      </c>
      <c r="F128" s="77" t="s">
        <v>220</v>
      </c>
      <c r="G128" s="78" t="s">
        <v>337</v>
      </c>
      <c r="H128" s="79" t="s">
        <v>339</v>
      </c>
      <c r="I128" s="80" t="n">
        <v>1</v>
      </c>
      <c r="J128" s="81" t="n">
        <v>1</v>
      </c>
      <c r="K128" s="82" t="n">
        <v>0.0231</v>
      </c>
      <c r="L128" s="83" t="n">
        <v>321711863.591409</v>
      </c>
      <c r="M128" s="84" t="n">
        <v>321595541.389526</v>
      </c>
      <c r="N128" s="85" t="str">
        <f>MIN(MAX((B128-'Calculation_Assumptions'!$B$5+1)/'Calculation_Assumptions'!$B$7,0),1)</f>
      </c>
      <c r="O128" s="86" t="str">
        <f>L128*I128</f>
      </c>
      <c r="P128" s="87" t="str">
        <f>M128*I128</f>
      </c>
      <c r="Q128" s="88" t="str">
        <f>P128*'Calculation_Assumptions'!$B$14*J128*K128</f>
      </c>
      <c r="R128" s="89" t="str">
        <f>O128*N128*J128*K128</f>
      </c>
      <c r="S128" s="90" t="str">
        <f>R128-Q128</f>
      </c>
      <c r="T128" s="91" t="str">
        <f>1/(1+'Calculation_Assumptions'!$B$8)^(B128-'Calculation_Assumptions'!$B$2)</f>
      </c>
      <c r="U128" s="92" t="str">
        <f>Q128*T128</f>
      </c>
      <c r="V128" s="93" t="str">
        <f>R128*T128</f>
      </c>
      <c r="W128" s="94" t="str">
        <f>S128*T128</f>
      </c>
      <c r="X128" t="n">
        <v>0</v>
      </c>
      <c r="Y128" s="95" t="n">
        <v>2017</v>
      </c>
      <c r="Z128" t="s">
        <v>266</v>
      </c>
      <c r="AA128" s="96" t="str">
        <f>IF(G128="shared-count-once",COUNTIFS($A$2:$A$313,A128,$B$2:$B$313,B128,$D$2:$D$313,D128),1)</f>
      </c>
    </row>
    <row r="129">
      <c r="A129" t="s">
        <v>214</v>
      </c>
      <c r="B129" s="74" t="n">
        <v>2048</v>
      </c>
      <c r="C129" t="s">
        <v>214</v>
      </c>
      <c r="D129" s="75" t="s">
        <v>353</v>
      </c>
      <c r="E129" s="76" t="s">
        <v>354</v>
      </c>
      <c r="F129" s="77" t="s">
        <v>220</v>
      </c>
      <c r="G129" s="78" t="s">
        <v>337</v>
      </c>
      <c r="H129" s="79" t="s">
        <v>339</v>
      </c>
      <c r="I129" s="80" t="n">
        <v>1</v>
      </c>
      <c r="J129" s="81" t="n">
        <v>1</v>
      </c>
      <c r="K129" s="82" t="n">
        <v>0.0231</v>
      </c>
      <c r="L129" s="83" t="n">
        <v>322402062.107235</v>
      </c>
      <c r="M129" s="84" t="n">
        <v>322453622.669464</v>
      </c>
      <c r="N129" s="85" t="str">
        <f>MIN(MAX((B129-'Calculation_Assumptions'!$B$5+1)/'Calculation_Assumptions'!$B$7,0),1)</f>
      </c>
      <c r="O129" s="86" t="str">
        <f>L129*I129</f>
      </c>
      <c r="P129" s="87" t="str">
        <f>M129*I129</f>
      </c>
      <c r="Q129" s="88" t="str">
        <f>P129*'Calculation_Assumptions'!$B$14*J129*K129</f>
      </c>
      <c r="R129" s="89" t="str">
        <f>O129*N129*J129*K129</f>
      </c>
      <c r="S129" s="90" t="str">
        <f>R129-Q129</f>
      </c>
      <c r="T129" s="91" t="str">
        <f>1/(1+'Calculation_Assumptions'!$B$8)^(B129-'Calculation_Assumptions'!$B$2)</f>
      </c>
      <c r="U129" s="92" t="str">
        <f>Q129*T129</f>
      </c>
      <c r="V129" s="93" t="str">
        <f>R129*T129</f>
      </c>
      <c r="W129" s="94" t="str">
        <f>S129*T129</f>
      </c>
      <c r="X129" t="n">
        <v>0</v>
      </c>
      <c r="Y129" s="95" t="n">
        <v>2017</v>
      </c>
      <c r="Z129" t="s">
        <v>266</v>
      </c>
      <c r="AA129" s="96" t="str">
        <f>IF(G129="shared-count-once",COUNTIFS($A$2:$A$313,A129,$B$2:$B$313,B129,$D$2:$D$313,D129),1)</f>
      </c>
    </row>
    <row r="130">
      <c r="A130" t="s">
        <v>214</v>
      </c>
      <c r="B130" s="74" t="n">
        <v>2049</v>
      </c>
      <c r="C130" t="s">
        <v>214</v>
      </c>
      <c r="D130" s="75" t="s">
        <v>353</v>
      </c>
      <c r="E130" s="76" t="s">
        <v>354</v>
      </c>
      <c r="F130" s="77" t="s">
        <v>220</v>
      </c>
      <c r="G130" s="78" t="s">
        <v>337</v>
      </c>
      <c r="H130" s="79" t="s">
        <v>339</v>
      </c>
      <c r="I130" s="80" t="n">
        <v>1</v>
      </c>
      <c r="J130" s="81" t="n">
        <v>1</v>
      </c>
      <c r="K130" s="82" t="n">
        <v>0.0231</v>
      </c>
      <c r="L130" s="83" t="n">
        <v>323210909.71924</v>
      </c>
      <c r="M130" s="84" t="n">
        <v>323259246.716719</v>
      </c>
      <c r="N130" s="85" t="str">
        <f>MIN(MAX((B130-'Calculation_Assumptions'!$B$5+1)/'Calculation_Assumptions'!$B$7,0),1)</f>
      </c>
      <c r="O130" s="86" t="str">
        <f>L130*I130</f>
      </c>
      <c r="P130" s="87" t="str">
        <f>M130*I130</f>
      </c>
      <c r="Q130" s="88" t="str">
        <f>P130*'Calculation_Assumptions'!$B$14*J130*K130</f>
      </c>
      <c r="R130" s="89" t="str">
        <f>O130*N130*J130*K130</f>
      </c>
      <c r="S130" s="90" t="str">
        <f>R130-Q130</f>
      </c>
      <c r="T130" s="91" t="str">
        <f>1/(1+'Calculation_Assumptions'!$B$8)^(B130-'Calculation_Assumptions'!$B$2)</f>
      </c>
      <c r="U130" s="92" t="str">
        <f>Q130*T130</f>
      </c>
      <c r="V130" s="93" t="str">
        <f>R130*T130</f>
      </c>
      <c r="W130" s="94" t="str">
        <f>S130*T130</f>
      </c>
      <c r="X130" t="n">
        <v>0</v>
      </c>
      <c r="Y130" s="95" t="n">
        <v>2017</v>
      </c>
      <c r="Z130" t="s">
        <v>266</v>
      </c>
      <c r="AA130" s="96" t="str">
        <f>IF(G130="shared-count-once",COUNTIFS($A$2:$A$313,A130,$B$2:$B$313,B130,$D$2:$D$313,D130),1)</f>
      </c>
    </row>
    <row r="131">
      <c r="A131" t="s">
        <v>214</v>
      </c>
      <c r="B131" s="74" t="n">
        <v>2050</v>
      </c>
      <c r="C131" t="s">
        <v>214</v>
      </c>
      <c r="D131" s="75" t="s">
        <v>353</v>
      </c>
      <c r="E131" s="76" t="s">
        <v>354</v>
      </c>
      <c r="F131" s="77" t="s">
        <v>220</v>
      </c>
      <c r="G131" s="78" t="s">
        <v>337</v>
      </c>
      <c r="H131" s="79" t="s">
        <v>339</v>
      </c>
      <c r="I131" s="80" t="n">
        <v>1</v>
      </c>
      <c r="J131" s="81" t="n">
        <v>1</v>
      </c>
      <c r="K131" s="82" t="n">
        <v>0.0231</v>
      </c>
      <c r="L131" s="83" t="n">
        <v>323968326.006623</v>
      </c>
      <c r="M131" s="84" t="n">
        <v>324013738.182479</v>
      </c>
      <c r="N131" s="85" t="str">
        <f>MIN(MAX((B131-'Calculation_Assumptions'!$B$5+1)/'Calculation_Assumptions'!$B$7,0),1)</f>
      </c>
      <c r="O131" s="86" t="str">
        <f>L131*I131</f>
      </c>
      <c r="P131" s="87" t="str">
        <f>M131*I131</f>
      </c>
      <c r="Q131" s="88" t="str">
        <f>P131*'Calculation_Assumptions'!$B$14*J131*K131</f>
      </c>
      <c r="R131" s="89" t="str">
        <f>O131*N131*J131*K131</f>
      </c>
      <c r="S131" s="90" t="str">
        <f>R131-Q131</f>
      </c>
      <c r="T131" s="91" t="str">
        <f>1/(1+'Calculation_Assumptions'!$B$8)^(B131-'Calculation_Assumptions'!$B$2)</f>
      </c>
      <c r="U131" s="92" t="str">
        <f>Q131*T131</f>
      </c>
      <c r="V131" s="93" t="str">
        <f>R131*T131</f>
      </c>
      <c r="W131" s="94" t="str">
        <f>S131*T131</f>
      </c>
      <c r="X131" t="n">
        <v>0</v>
      </c>
      <c r="Y131" s="95" t="n">
        <v>2017</v>
      </c>
      <c r="Z131" t="s">
        <v>266</v>
      </c>
      <c r="AA131" s="96" t="str">
        <f>IF(G131="shared-count-once",COUNTIFS($A$2:$A$313,A131,$B$2:$B$313,B131,$D$2:$D$313,D131),1)</f>
      </c>
    </row>
    <row r="132">
      <c r="A132" t="s">
        <v>225</v>
      </c>
      <c r="B132" s="74" t="n">
        <v>2025</v>
      </c>
      <c r="C132" t="s">
        <v>225</v>
      </c>
      <c r="D132" s="75" t="s">
        <v>355</v>
      </c>
      <c r="E132" s="76" t="s">
        <v>356</v>
      </c>
      <c r="F132" s="77" t="s">
        <v>228</v>
      </c>
      <c r="G132" s="78" t="s">
        <v>337</v>
      </c>
      <c r="H132" s="79" t="s">
        <v>339</v>
      </c>
      <c r="I132" s="80" t="n">
        <v>1</v>
      </c>
      <c r="J132" s="81" t="n">
        <v>1</v>
      </c>
      <c r="K132" s="82" t="n">
        <v>0.004</v>
      </c>
      <c r="L132" s="83" t="n">
        <v>288000821.106462</v>
      </c>
      <c r="M132" s="84" t="n">
        <v>288000821.106462</v>
      </c>
      <c r="N132" s="85" t="str">
        <f>MIN(MAX((B132-'Calculation_Assumptions'!$B$5+1)/'Calculation_Assumptions'!$B$7,0),1)</f>
      </c>
      <c r="O132" s="86" t="str">
        <f>L132*I132</f>
      </c>
      <c r="P132" s="87" t="str">
        <f>M132*I132</f>
      </c>
      <c r="Q132" s="88" t="str">
        <f>P132*'Calculation_Assumptions'!$B$14*J132*K132</f>
      </c>
      <c r="R132" s="89" t="str">
        <f>O132*N132*J132*K132</f>
      </c>
      <c r="S132" s="90" t="str">
        <f>R132-Q132</f>
      </c>
      <c r="T132" s="91" t="str">
        <f>1/(1+'Calculation_Assumptions'!$B$8)^(B132-'Calculation_Assumptions'!$B$2)</f>
      </c>
      <c r="U132" s="92" t="str">
        <f>Q132*T132</f>
      </c>
      <c r="V132" s="93" t="str">
        <f>R132*T132</f>
      </c>
      <c r="W132" s="94" t="str">
        <f>S132*T132</f>
      </c>
      <c r="X132" t="n">
        <v>0</v>
      </c>
      <c r="Y132" s="95" t="n">
        <v>2017</v>
      </c>
      <c r="Z132" t="s">
        <v>266</v>
      </c>
      <c r="AA132" s="96" t="str">
        <f>IF(G132="shared-count-once",COUNTIFS($A$2:$A$313,A132,$B$2:$B$313,B132,$D$2:$D$313,D132),1)</f>
      </c>
    </row>
    <row r="133">
      <c r="A133" t="s">
        <v>225</v>
      </c>
      <c r="B133" s="74" t="n">
        <v>2026</v>
      </c>
      <c r="C133" t="s">
        <v>225</v>
      </c>
      <c r="D133" s="75" t="s">
        <v>355</v>
      </c>
      <c r="E133" s="76" t="s">
        <v>356</v>
      </c>
      <c r="F133" s="77" t="s">
        <v>228</v>
      </c>
      <c r="G133" s="78" t="s">
        <v>337</v>
      </c>
      <c r="H133" s="79" t="s">
        <v>339</v>
      </c>
      <c r="I133" s="80" t="n">
        <v>1</v>
      </c>
      <c r="J133" s="81" t="n">
        <v>1</v>
      </c>
      <c r="K133" s="82" t="n">
        <v>0.004</v>
      </c>
      <c r="L133" s="83" t="n">
        <v>290123496.103219</v>
      </c>
      <c r="M133" s="84" t="n">
        <v>290123496.103219</v>
      </c>
      <c r="N133" s="85" t="str">
        <f>MIN(MAX((B133-'Calculation_Assumptions'!$B$5+1)/'Calculation_Assumptions'!$B$7,0),1)</f>
      </c>
      <c r="O133" s="86" t="str">
        <f>L133*I133</f>
      </c>
      <c r="P133" s="87" t="str">
        <f>M133*I133</f>
      </c>
      <c r="Q133" s="88" t="str">
        <f>P133*'Calculation_Assumptions'!$B$14*J133*K133</f>
      </c>
      <c r="R133" s="89" t="str">
        <f>O133*N133*J133*K133</f>
      </c>
      <c r="S133" s="90" t="str">
        <f>R133-Q133</f>
      </c>
      <c r="T133" s="91" t="str">
        <f>1/(1+'Calculation_Assumptions'!$B$8)^(B133-'Calculation_Assumptions'!$B$2)</f>
      </c>
      <c r="U133" s="92" t="str">
        <f>Q133*T133</f>
      </c>
      <c r="V133" s="93" t="str">
        <f>R133*T133</f>
      </c>
      <c r="W133" s="94" t="str">
        <f>S133*T133</f>
      </c>
      <c r="X133" t="n">
        <v>0</v>
      </c>
      <c r="Y133" s="95" t="n">
        <v>2017</v>
      </c>
      <c r="Z133" t="s">
        <v>266</v>
      </c>
      <c r="AA133" s="96" t="str">
        <f>IF(G133="shared-count-once",COUNTIFS($A$2:$A$313,A133,$B$2:$B$313,B133,$D$2:$D$313,D133),1)</f>
      </c>
    </row>
    <row r="134">
      <c r="A134" t="s">
        <v>225</v>
      </c>
      <c r="B134" s="74" t="n">
        <v>2027</v>
      </c>
      <c r="C134" t="s">
        <v>225</v>
      </c>
      <c r="D134" s="75" t="s">
        <v>355</v>
      </c>
      <c r="E134" s="76" t="s">
        <v>356</v>
      </c>
      <c r="F134" s="77" t="s">
        <v>228</v>
      </c>
      <c r="G134" s="78" t="s">
        <v>337</v>
      </c>
      <c r="H134" s="79" t="s">
        <v>339</v>
      </c>
      <c r="I134" s="80" t="n">
        <v>1</v>
      </c>
      <c r="J134" s="81" t="n">
        <v>1</v>
      </c>
      <c r="K134" s="82" t="n">
        <v>0.004</v>
      </c>
      <c r="L134" s="83" t="n">
        <v>292252895.096956</v>
      </c>
      <c r="M134" s="84" t="n">
        <v>292252895.096956</v>
      </c>
      <c r="N134" s="85" t="str">
        <f>MIN(MAX((B134-'Calculation_Assumptions'!$B$5+1)/'Calculation_Assumptions'!$B$7,0),1)</f>
      </c>
      <c r="O134" s="86" t="str">
        <f>L134*I134</f>
      </c>
      <c r="P134" s="87" t="str">
        <f>M134*I134</f>
      </c>
      <c r="Q134" s="88" t="str">
        <f>P134*'Calculation_Assumptions'!$B$14*J134*K134</f>
      </c>
      <c r="R134" s="89" t="str">
        <f>O134*N134*J134*K134</f>
      </c>
      <c r="S134" s="90" t="str">
        <f>R134-Q134</f>
      </c>
      <c r="T134" s="91" t="str">
        <f>1/(1+'Calculation_Assumptions'!$B$8)^(B134-'Calculation_Assumptions'!$B$2)</f>
      </c>
      <c r="U134" s="92" t="str">
        <f>Q134*T134</f>
      </c>
      <c r="V134" s="93" t="str">
        <f>R134*T134</f>
      </c>
      <c r="W134" s="94" t="str">
        <f>S134*T134</f>
      </c>
      <c r="X134" t="n">
        <v>0</v>
      </c>
      <c r="Y134" s="95" t="n">
        <v>2017</v>
      </c>
      <c r="Z134" t="s">
        <v>266</v>
      </c>
      <c r="AA134" s="96" t="str">
        <f>IF(G134="shared-count-once",COUNTIFS($A$2:$A$313,A134,$B$2:$B$313,B134,$D$2:$D$313,D134),1)</f>
      </c>
    </row>
    <row r="135">
      <c r="A135" t="s">
        <v>225</v>
      </c>
      <c r="B135" s="74" t="n">
        <v>2028</v>
      </c>
      <c r="C135" t="s">
        <v>225</v>
      </c>
      <c r="D135" s="75" t="s">
        <v>355</v>
      </c>
      <c r="E135" s="76" t="s">
        <v>356</v>
      </c>
      <c r="F135" s="77" t="s">
        <v>228</v>
      </c>
      <c r="G135" s="78" t="s">
        <v>337</v>
      </c>
      <c r="H135" s="79" t="s">
        <v>339</v>
      </c>
      <c r="I135" s="80" t="n">
        <v>1</v>
      </c>
      <c r="J135" s="81" t="n">
        <v>1</v>
      </c>
      <c r="K135" s="82" t="n">
        <v>0.004</v>
      </c>
      <c r="L135" s="83" t="n">
        <v>294314895.305465</v>
      </c>
      <c r="M135" s="84" t="n">
        <v>294314895.305465</v>
      </c>
      <c r="N135" s="85" t="str">
        <f>MIN(MAX((B135-'Calculation_Assumptions'!$B$5+1)/'Calculation_Assumptions'!$B$7,0),1)</f>
      </c>
      <c r="O135" s="86" t="str">
        <f>L135*I135</f>
      </c>
      <c r="P135" s="87" t="str">
        <f>M135*I135</f>
      </c>
      <c r="Q135" s="88" t="str">
        <f>P135*'Calculation_Assumptions'!$B$14*J135*K135</f>
      </c>
      <c r="R135" s="89" t="str">
        <f>O135*N135*J135*K135</f>
      </c>
      <c r="S135" s="90" t="str">
        <f>R135-Q135</f>
      </c>
      <c r="T135" s="91" t="str">
        <f>1/(1+'Calculation_Assumptions'!$B$8)^(B135-'Calculation_Assumptions'!$B$2)</f>
      </c>
      <c r="U135" s="92" t="str">
        <f>Q135*T135</f>
      </c>
      <c r="V135" s="93" t="str">
        <f>R135*T135</f>
      </c>
      <c r="W135" s="94" t="str">
        <f>S135*T135</f>
      </c>
      <c r="X135" t="n">
        <v>0</v>
      </c>
      <c r="Y135" s="95" t="n">
        <v>2017</v>
      </c>
      <c r="Z135" t="s">
        <v>266</v>
      </c>
      <c r="AA135" s="96" t="str">
        <f>IF(G135="shared-count-once",COUNTIFS($A$2:$A$313,A135,$B$2:$B$313,B135,$D$2:$D$313,D135),1)</f>
      </c>
    </row>
    <row r="136">
      <c r="A136" t="s">
        <v>225</v>
      </c>
      <c r="B136" s="74" t="n">
        <v>2029</v>
      </c>
      <c r="C136" t="s">
        <v>225</v>
      </c>
      <c r="D136" s="75" t="s">
        <v>355</v>
      </c>
      <c r="E136" s="76" t="s">
        <v>356</v>
      </c>
      <c r="F136" s="77" t="s">
        <v>228</v>
      </c>
      <c r="G136" s="78" t="s">
        <v>337</v>
      </c>
      <c r="H136" s="79" t="s">
        <v>339</v>
      </c>
      <c r="I136" s="80" t="n">
        <v>1</v>
      </c>
      <c r="J136" s="81" t="n">
        <v>1</v>
      </c>
      <c r="K136" s="82" t="n">
        <v>0.004</v>
      </c>
      <c r="L136" s="83" t="n">
        <v>296029748.478647</v>
      </c>
      <c r="M136" s="84" t="n">
        <v>296341062.542853</v>
      </c>
      <c r="N136" s="85" t="str">
        <f>MIN(MAX((B136-'Calculation_Assumptions'!$B$5+1)/'Calculation_Assumptions'!$B$7,0),1)</f>
      </c>
      <c r="O136" s="86" t="str">
        <f>L136*I136</f>
      </c>
      <c r="P136" s="87" t="str">
        <f>M136*I136</f>
      </c>
      <c r="Q136" s="88" t="str">
        <f>P136*'Calculation_Assumptions'!$B$14*J136*K136</f>
      </c>
      <c r="R136" s="89" t="str">
        <f>O136*N136*J136*K136</f>
      </c>
      <c r="S136" s="90" t="str">
        <f>R136-Q136</f>
      </c>
      <c r="T136" s="91" t="str">
        <f>1/(1+'Calculation_Assumptions'!$B$8)^(B136-'Calculation_Assumptions'!$B$2)</f>
      </c>
      <c r="U136" s="92" t="str">
        <f>Q136*T136</f>
      </c>
      <c r="V136" s="93" t="str">
        <f>R136*T136</f>
      </c>
      <c r="W136" s="94" t="str">
        <f>S136*T136</f>
      </c>
      <c r="X136" t="n">
        <v>0</v>
      </c>
      <c r="Y136" s="95" t="n">
        <v>2017</v>
      </c>
      <c r="Z136" t="s">
        <v>266</v>
      </c>
      <c r="AA136" s="96" t="str">
        <f>IF(G136="shared-count-once",COUNTIFS($A$2:$A$313,A136,$B$2:$B$313,B136,$D$2:$D$313,D136),1)</f>
      </c>
    </row>
    <row r="137">
      <c r="A137" t="s">
        <v>225</v>
      </c>
      <c r="B137" s="74" t="n">
        <v>2030</v>
      </c>
      <c r="C137" t="s">
        <v>225</v>
      </c>
      <c r="D137" s="75" t="s">
        <v>355</v>
      </c>
      <c r="E137" s="76" t="s">
        <v>356</v>
      </c>
      <c r="F137" s="77" t="s">
        <v>228</v>
      </c>
      <c r="G137" s="78" t="s">
        <v>337</v>
      </c>
      <c r="H137" s="79" t="s">
        <v>339</v>
      </c>
      <c r="I137" s="80" t="n">
        <v>1</v>
      </c>
      <c r="J137" s="81" t="n">
        <v>1</v>
      </c>
      <c r="K137" s="82" t="n">
        <v>0.004</v>
      </c>
      <c r="L137" s="83" t="n">
        <v>297983107.776608</v>
      </c>
      <c r="M137" s="84" t="n">
        <v>298280286.057263</v>
      </c>
      <c r="N137" s="85" t="str">
        <f>MIN(MAX((B137-'Calculation_Assumptions'!$B$5+1)/'Calculation_Assumptions'!$B$7,0),1)</f>
      </c>
      <c r="O137" s="86" t="str">
        <f>L137*I137</f>
      </c>
      <c r="P137" s="87" t="str">
        <f>M137*I137</f>
      </c>
      <c r="Q137" s="88" t="str">
        <f>P137*'Calculation_Assumptions'!$B$14*J137*K137</f>
      </c>
      <c r="R137" s="89" t="str">
        <f>O137*N137*J137*K137</f>
      </c>
      <c r="S137" s="90" t="str">
        <f>R137-Q137</f>
      </c>
      <c r="T137" s="91" t="str">
        <f>1/(1+'Calculation_Assumptions'!$B$8)^(B137-'Calculation_Assumptions'!$B$2)</f>
      </c>
      <c r="U137" s="92" t="str">
        <f>Q137*T137</f>
      </c>
      <c r="V137" s="93" t="str">
        <f>R137*T137</f>
      </c>
      <c r="W137" s="94" t="str">
        <f>S137*T137</f>
      </c>
      <c r="X137" t="n">
        <v>0</v>
      </c>
      <c r="Y137" s="95" t="n">
        <v>2017</v>
      </c>
      <c r="Z137" t="s">
        <v>266</v>
      </c>
      <c r="AA137" s="96" t="str">
        <f>IF(G137="shared-count-once",COUNTIFS($A$2:$A$313,A137,$B$2:$B$313,B137,$D$2:$D$313,D137),1)</f>
      </c>
    </row>
    <row r="138">
      <c r="A138" t="s">
        <v>225</v>
      </c>
      <c r="B138" s="74" t="n">
        <v>2031</v>
      </c>
      <c r="C138" t="s">
        <v>225</v>
      </c>
      <c r="D138" s="75" t="s">
        <v>355</v>
      </c>
      <c r="E138" s="76" t="s">
        <v>356</v>
      </c>
      <c r="F138" s="77" t="s">
        <v>228</v>
      </c>
      <c r="G138" s="78" t="s">
        <v>337</v>
      </c>
      <c r="H138" s="79" t="s">
        <v>339</v>
      </c>
      <c r="I138" s="80" t="n">
        <v>1</v>
      </c>
      <c r="J138" s="81" t="n">
        <v>1</v>
      </c>
      <c r="K138" s="82" t="n">
        <v>0.004</v>
      </c>
      <c r="L138" s="83" t="n">
        <v>299871903.784587</v>
      </c>
      <c r="M138" s="84" t="n">
        <v>300152603.254782</v>
      </c>
      <c r="N138" s="85" t="str">
        <f>MIN(MAX((B138-'Calculation_Assumptions'!$B$5+1)/'Calculation_Assumptions'!$B$7,0),1)</f>
      </c>
      <c r="O138" s="86" t="str">
        <f>L138*I138</f>
      </c>
      <c r="P138" s="87" t="str">
        <f>M138*I138</f>
      </c>
      <c r="Q138" s="88" t="str">
        <f>P138*'Calculation_Assumptions'!$B$14*J138*K138</f>
      </c>
      <c r="R138" s="89" t="str">
        <f>O138*N138*J138*K138</f>
      </c>
      <c r="S138" s="90" t="str">
        <f>R138-Q138</f>
      </c>
      <c r="T138" s="91" t="str">
        <f>1/(1+'Calculation_Assumptions'!$B$8)^(B138-'Calculation_Assumptions'!$B$2)</f>
      </c>
      <c r="U138" s="92" t="str">
        <f>Q138*T138</f>
      </c>
      <c r="V138" s="93" t="str">
        <f>R138*T138</f>
      </c>
      <c r="W138" s="94" t="str">
        <f>S138*T138</f>
      </c>
      <c r="X138" t="n">
        <v>0</v>
      </c>
      <c r="Y138" s="95" t="n">
        <v>2017</v>
      </c>
      <c r="Z138" t="s">
        <v>266</v>
      </c>
      <c r="AA138" s="96" t="str">
        <f>IF(G138="shared-count-once",COUNTIFS($A$2:$A$313,A138,$B$2:$B$313,B138,$D$2:$D$313,D138),1)</f>
      </c>
    </row>
    <row r="139">
      <c r="A139" t="s">
        <v>225</v>
      </c>
      <c r="B139" s="74" t="n">
        <v>2032</v>
      </c>
      <c r="C139" t="s">
        <v>225</v>
      </c>
      <c r="D139" s="75" t="s">
        <v>355</v>
      </c>
      <c r="E139" s="76" t="s">
        <v>356</v>
      </c>
      <c r="F139" s="77" t="s">
        <v>228</v>
      </c>
      <c r="G139" s="78" t="s">
        <v>337</v>
      </c>
      <c r="H139" s="79" t="s">
        <v>339</v>
      </c>
      <c r="I139" s="80" t="n">
        <v>1</v>
      </c>
      <c r="J139" s="81" t="n">
        <v>1</v>
      </c>
      <c r="K139" s="82" t="n">
        <v>0.004</v>
      </c>
      <c r="L139" s="83" t="n">
        <v>301697069.581632</v>
      </c>
      <c r="M139" s="84" t="n">
        <v>301959399.633888</v>
      </c>
      <c r="N139" s="85" t="str">
        <f>MIN(MAX((B139-'Calculation_Assumptions'!$B$5+1)/'Calculation_Assumptions'!$B$7,0),1)</f>
      </c>
      <c r="O139" s="86" t="str">
        <f>L139*I139</f>
      </c>
      <c r="P139" s="87" t="str">
        <f>M139*I139</f>
      </c>
      <c r="Q139" s="88" t="str">
        <f>P139*'Calculation_Assumptions'!$B$14*J139*K139</f>
      </c>
      <c r="R139" s="89" t="str">
        <f>O139*N139*J139*K139</f>
      </c>
      <c r="S139" s="90" t="str">
        <f>R139-Q139</f>
      </c>
      <c r="T139" s="91" t="str">
        <f>1/(1+'Calculation_Assumptions'!$B$8)^(B139-'Calculation_Assumptions'!$B$2)</f>
      </c>
      <c r="U139" s="92" t="str">
        <f>Q139*T139</f>
      </c>
      <c r="V139" s="93" t="str">
        <f>R139*T139</f>
      </c>
      <c r="W139" s="94" t="str">
        <f>S139*T139</f>
      </c>
      <c r="X139" t="n">
        <v>0</v>
      </c>
      <c r="Y139" s="95" t="n">
        <v>2017</v>
      </c>
      <c r="Z139" t="s">
        <v>266</v>
      </c>
      <c r="AA139" s="96" t="str">
        <f>IF(G139="shared-count-once",COUNTIFS($A$2:$A$313,A139,$B$2:$B$313,B139,$D$2:$D$313,D139),1)</f>
      </c>
    </row>
    <row r="140">
      <c r="A140" t="s">
        <v>225</v>
      </c>
      <c r="B140" s="74" t="n">
        <v>2033</v>
      </c>
      <c r="C140" t="s">
        <v>225</v>
      </c>
      <c r="D140" s="75" t="s">
        <v>355</v>
      </c>
      <c r="E140" s="76" t="s">
        <v>356</v>
      </c>
      <c r="F140" s="77" t="s">
        <v>228</v>
      </c>
      <c r="G140" s="78" t="s">
        <v>337</v>
      </c>
      <c r="H140" s="79" t="s">
        <v>339</v>
      </c>
      <c r="I140" s="80" t="n">
        <v>1</v>
      </c>
      <c r="J140" s="81" t="n">
        <v>1</v>
      </c>
      <c r="K140" s="82" t="n">
        <v>0.004</v>
      </c>
      <c r="L140" s="83" t="n">
        <v>303459460.437906</v>
      </c>
      <c r="M140" s="84" t="n">
        <v>303701035.202051</v>
      </c>
      <c r="N140" s="85" t="str">
        <f>MIN(MAX((B140-'Calculation_Assumptions'!$B$5+1)/'Calculation_Assumptions'!$B$7,0),1)</f>
      </c>
      <c r="O140" s="86" t="str">
        <f>L140*I140</f>
      </c>
      <c r="P140" s="87" t="str">
        <f>M140*I140</f>
      </c>
      <c r="Q140" s="88" t="str">
        <f>P140*'Calculation_Assumptions'!$B$14*J140*K140</f>
      </c>
      <c r="R140" s="89" t="str">
        <f>O140*N140*J140*K140</f>
      </c>
      <c r="S140" s="90" t="str">
        <f>R140-Q140</f>
      </c>
      <c r="T140" s="91" t="str">
        <f>1/(1+'Calculation_Assumptions'!$B$8)^(B140-'Calculation_Assumptions'!$B$2)</f>
      </c>
      <c r="U140" s="92" t="str">
        <f>Q140*T140</f>
      </c>
      <c r="V140" s="93" t="str">
        <f>R140*T140</f>
      </c>
      <c r="W140" s="94" t="str">
        <f>S140*T140</f>
      </c>
      <c r="X140" t="n">
        <v>0</v>
      </c>
      <c r="Y140" s="95" t="n">
        <v>2017</v>
      </c>
      <c r="Z140" t="s">
        <v>266</v>
      </c>
      <c r="AA140" s="96" t="str">
        <f>IF(G140="shared-count-once",COUNTIFS($A$2:$A$313,A140,$B$2:$B$313,B140,$D$2:$D$313,D140),1)</f>
      </c>
    </row>
    <row r="141">
      <c r="A141" t="s">
        <v>225</v>
      </c>
      <c r="B141" s="74" t="n">
        <v>2034</v>
      </c>
      <c r="C141" t="s">
        <v>225</v>
      </c>
      <c r="D141" s="75" t="s">
        <v>355</v>
      </c>
      <c r="E141" s="76" t="s">
        <v>356</v>
      </c>
      <c r="F141" s="77" t="s">
        <v>228</v>
      </c>
      <c r="G141" s="78" t="s">
        <v>337</v>
      </c>
      <c r="H141" s="79" t="s">
        <v>339</v>
      </c>
      <c r="I141" s="80" t="n">
        <v>1</v>
      </c>
      <c r="J141" s="81" t="n">
        <v>1</v>
      </c>
      <c r="K141" s="82" t="n">
        <v>0.004</v>
      </c>
      <c r="L141" s="83" t="n">
        <v>305159961.400488</v>
      </c>
      <c r="M141" s="84" t="n">
        <v>305377998.093319</v>
      </c>
      <c r="N141" s="85" t="str">
        <f>MIN(MAX((B141-'Calculation_Assumptions'!$B$5+1)/'Calculation_Assumptions'!$B$7,0),1)</f>
      </c>
      <c r="O141" s="86" t="str">
        <f>L141*I141</f>
      </c>
      <c r="P141" s="87" t="str">
        <f>M141*I141</f>
      </c>
      <c r="Q141" s="88" t="str">
        <f>P141*'Calculation_Assumptions'!$B$14*J141*K141</f>
      </c>
      <c r="R141" s="89" t="str">
        <f>O141*N141*J141*K141</f>
      </c>
      <c r="S141" s="90" t="str">
        <f>R141-Q141</f>
      </c>
      <c r="T141" s="91" t="str">
        <f>1/(1+'Calculation_Assumptions'!$B$8)^(B141-'Calculation_Assumptions'!$B$2)</f>
      </c>
      <c r="U141" s="92" t="str">
        <f>Q141*T141</f>
      </c>
      <c r="V141" s="93" t="str">
        <f>R141*T141</f>
      </c>
      <c r="W141" s="94" t="str">
        <f>S141*T141</f>
      </c>
      <c r="X141" t="n">
        <v>0</v>
      </c>
      <c r="Y141" s="95" t="n">
        <v>2017</v>
      </c>
      <c r="Z141" t="s">
        <v>266</v>
      </c>
      <c r="AA141" s="96" t="str">
        <f>IF(G141="shared-count-once",COUNTIFS($A$2:$A$313,A141,$B$2:$B$313,B141,$D$2:$D$313,D141),1)</f>
      </c>
    </row>
    <row r="142">
      <c r="A142" t="s">
        <v>225</v>
      </c>
      <c r="B142" s="74" t="n">
        <v>2035</v>
      </c>
      <c r="C142" t="s">
        <v>225</v>
      </c>
      <c r="D142" s="75" t="s">
        <v>355</v>
      </c>
      <c r="E142" s="76" t="s">
        <v>356</v>
      </c>
      <c r="F142" s="77" t="s">
        <v>228</v>
      </c>
      <c r="G142" s="78" t="s">
        <v>337</v>
      </c>
      <c r="H142" s="79" t="s">
        <v>339</v>
      </c>
      <c r="I142" s="80" t="n">
        <v>1</v>
      </c>
      <c r="J142" s="81" t="n">
        <v>1</v>
      </c>
      <c r="K142" s="82" t="n">
        <v>0.004</v>
      </c>
      <c r="L142" s="83" t="n">
        <v>306799466.895227</v>
      </c>
      <c r="M142" s="84" t="n">
        <v>306989258.29407</v>
      </c>
      <c r="N142" s="85" t="str">
        <f>MIN(MAX((B142-'Calculation_Assumptions'!$B$5+1)/'Calculation_Assumptions'!$B$7,0),1)</f>
      </c>
      <c r="O142" s="86" t="str">
        <f>L142*I142</f>
      </c>
      <c r="P142" s="87" t="str">
        <f>M142*I142</f>
      </c>
      <c r="Q142" s="88" t="str">
        <f>P142*'Calculation_Assumptions'!$B$14*J142*K142</f>
      </c>
      <c r="R142" s="89" t="str">
        <f>O142*N142*J142*K142</f>
      </c>
      <c r="S142" s="90" t="str">
        <f>R142-Q142</f>
      </c>
      <c r="T142" s="91" t="str">
        <f>1/(1+'Calculation_Assumptions'!$B$8)^(B142-'Calculation_Assumptions'!$B$2)</f>
      </c>
      <c r="U142" s="92" t="str">
        <f>Q142*T142</f>
      </c>
      <c r="V142" s="93" t="str">
        <f>R142*T142</f>
      </c>
      <c r="W142" s="94" t="str">
        <f>S142*T142</f>
      </c>
      <c r="X142" t="n">
        <v>0</v>
      </c>
      <c r="Y142" s="95" t="n">
        <v>2017</v>
      </c>
      <c r="Z142" t="s">
        <v>266</v>
      </c>
      <c r="AA142" s="96" t="str">
        <f>IF(G142="shared-count-once",COUNTIFS($A$2:$A$313,A142,$B$2:$B$313,B142,$D$2:$D$313,D142),1)</f>
      </c>
    </row>
    <row r="143">
      <c r="A143" t="s">
        <v>225</v>
      </c>
      <c r="B143" s="74" t="n">
        <v>2036</v>
      </c>
      <c r="C143" t="s">
        <v>225</v>
      </c>
      <c r="D143" s="75" t="s">
        <v>355</v>
      </c>
      <c r="E143" s="76" t="s">
        <v>356</v>
      </c>
      <c r="F143" s="77" t="s">
        <v>228</v>
      </c>
      <c r="G143" s="78" t="s">
        <v>337</v>
      </c>
      <c r="H143" s="79" t="s">
        <v>339</v>
      </c>
      <c r="I143" s="80" t="n">
        <v>1</v>
      </c>
      <c r="J143" s="81" t="n">
        <v>1</v>
      </c>
      <c r="K143" s="82" t="n">
        <v>0.004</v>
      </c>
      <c r="L143" s="83" t="n">
        <v>308378746.468202</v>
      </c>
      <c r="M143" s="84" t="n">
        <v>308537399.672094</v>
      </c>
      <c r="N143" s="85" t="str">
        <f>MIN(MAX((B143-'Calculation_Assumptions'!$B$5+1)/'Calculation_Assumptions'!$B$7,0),1)</f>
      </c>
      <c r="O143" s="86" t="str">
        <f>L143*I143</f>
      </c>
      <c r="P143" s="87" t="str">
        <f>M143*I143</f>
      </c>
      <c r="Q143" s="88" t="str">
        <f>P143*'Calculation_Assumptions'!$B$14*J143*K143</f>
      </c>
      <c r="R143" s="89" t="str">
        <f>O143*N143*J143*K143</f>
      </c>
      <c r="S143" s="90" t="str">
        <f>R143-Q143</f>
      </c>
      <c r="T143" s="91" t="str">
        <f>1/(1+'Calculation_Assumptions'!$B$8)^(B143-'Calculation_Assumptions'!$B$2)</f>
      </c>
      <c r="U143" s="92" t="str">
        <f>Q143*T143</f>
      </c>
      <c r="V143" s="93" t="str">
        <f>R143*T143</f>
      </c>
      <c r="W143" s="94" t="str">
        <f>S143*T143</f>
      </c>
      <c r="X143" t="n">
        <v>0</v>
      </c>
      <c r="Y143" s="95" t="n">
        <v>2017</v>
      </c>
      <c r="Z143" t="s">
        <v>266</v>
      </c>
      <c r="AA143" s="96" t="str">
        <f>IF(G143="shared-count-once",COUNTIFS($A$2:$A$313,A143,$B$2:$B$313,B143,$D$2:$D$313,D143),1)</f>
      </c>
    </row>
    <row r="144">
      <c r="A144" t="s">
        <v>225</v>
      </c>
      <c r="B144" s="74" t="n">
        <v>2037</v>
      </c>
      <c r="C144" t="s">
        <v>225</v>
      </c>
      <c r="D144" s="75" t="s">
        <v>355</v>
      </c>
      <c r="E144" s="76" t="s">
        <v>356</v>
      </c>
      <c r="F144" s="77" t="s">
        <v>228</v>
      </c>
      <c r="G144" s="78" t="s">
        <v>337</v>
      </c>
      <c r="H144" s="79" t="s">
        <v>339</v>
      </c>
      <c r="I144" s="80" t="n">
        <v>1</v>
      </c>
      <c r="J144" s="81" t="n">
        <v>1</v>
      </c>
      <c r="K144" s="82" t="n">
        <v>0.004</v>
      </c>
      <c r="L144" s="83" t="n">
        <v>309898640.155143</v>
      </c>
      <c r="M144" s="84" t="n">
        <v>310023120.393472</v>
      </c>
      <c r="N144" s="85" t="str">
        <f>MIN(MAX((B144-'Calculation_Assumptions'!$B$5+1)/'Calculation_Assumptions'!$B$7,0),1)</f>
      </c>
      <c r="O144" s="86" t="str">
        <f>L144*I144</f>
      </c>
      <c r="P144" s="87" t="str">
        <f>M144*I144</f>
      </c>
      <c r="Q144" s="88" t="str">
        <f>P144*'Calculation_Assumptions'!$B$14*J144*K144</f>
      </c>
      <c r="R144" s="89" t="str">
        <f>O144*N144*J144*K144</f>
      </c>
      <c r="S144" s="90" t="str">
        <f>R144-Q144</f>
      </c>
      <c r="T144" s="91" t="str">
        <f>1/(1+'Calculation_Assumptions'!$B$8)^(B144-'Calculation_Assumptions'!$B$2)</f>
      </c>
      <c r="U144" s="92" t="str">
        <f>Q144*T144</f>
      </c>
      <c r="V144" s="93" t="str">
        <f>R144*T144</f>
      </c>
      <c r="W144" s="94" t="str">
        <f>S144*T144</f>
      </c>
      <c r="X144" t="n">
        <v>0</v>
      </c>
      <c r="Y144" s="95" t="n">
        <v>2017</v>
      </c>
      <c r="Z144" t="s">
        <v>266</v>
      </c>
      <c r="AA144" s="96" t="str">
        <f>IF(G144="shared-count-once",COUNTIFS($A$2:$A$313,A144,$B$2:$B$313,B144,$D$2:$D$313,D144),1)</f>
      </c>
    </row>
    <row r="145">
      <c r="A145" t="s">
        <v>225</v>
      </c>
      <c r="B145" s="74" t="n">
        <v>2038</v>
      </c>
      <c r="C145" t="s">
        <v>225</v>
      </c>
      <c r="D145" s="75" t="s">
        <v>355</v>
      </c>
      <c r="E145" s="76" t="s">
        <v>356</v>
      </c>
      <c r="F145" s="77" t="s">
        <v>228</v>
      </c>
      <c r="G145" s="78" t="s">
        <v>337</v>
      </c>
      <c r="H145" s="79" t="s">
        <v>339</v>
      </c>
      <c r="I145" s="80" t="n">
        <v>1</v>
      </c>
      <c r="J145" s="81" t="n">
        <v>1</v>
      </c>
      <c r="K145" s="82" t="n">
        <v>0.004</v>
      </c>
      <c r="L145" s="83" t="n">
        <v>311360118.478551</v>
      </c>
      <c r="M145" s="84" t="n">
        <v>311445837.134625</v>
      </c>
      <c r="N145" s="85" t="str">
        <f>MIN(MAX((B145-'Calculation_Assumptions'!$B$5+1)/'Calculation_Assumptions'!$B$7,0),1)</f>
      </c>
      <c r="O145" s="86" t="str">
        <f>L145*I145</f>
      </c>
      <c r="P145" s="87" t="str">
        <f>M145*I145</f>
      </c>
      <c r="Q145" s="88" t="str">
        <f>P145*'Calculation_Assumptions'!$B$14*J145*K145</f>
      </c>
      <c r="R145" s="89" t="str">
        <f>O145*N145*J145*K145</f>
      </c>
      <c r="S145" s="90" t="str">
        <f>R145-Q145</f>
      </c>
      <c r="T145" s="91" t="str">
        <f>1/(1+'Calculation_Assumptions'!$B$8)^(B145-'Calculation_Assumptions'!$B$2)</f>
      </c>
      <c r="U145" s="92" t="str">
        <f>Q145*T145</f>
      </c>
      <c r="V145" s="93" t="str">
        <f>R145*T145</f>
      </c>
      <c r="W145" s="94" t="str">
        <f>S145*T145</f>
      </c>
      <c r="X145" t="n">
        <v>0</v>
      </c>
      <c r="Y145" s="95" t="n">
        <v>2017</v>
      </c>
      <c r="Z145" t="s">
        <v>266</v>
      </c>
      <c r="AA145" s="96" t="str">
        <f>IF(G145="shared-count-once",COUNTIFS($A$2:$A$313,A145,$B$2:$B$313,B145,$D$2:$D$313,D145),1)</f>
      </c>
    </row>
    <row r="146">
      <c r="A146" t="s">
        <v>225</v>
      </c>
      <c r="B146" s="74" t="n">
        <v>2039</v>
      </c>
      <c r="C146" t="s">
        <v>225</v>
      </c>
      <c r="D146" s="75" t="s">
        <v>355</v>
      </c>
      <c r="E146" s="76" t="s">
        <v>356</v>
      </c>
      <c r="F146" s="77" t="s">
        <v>228</v>
      </c>
      <c r="G146" s="78" t="s">
        <v>337</v>
      </c>
      <c r="H146" s="79" t="s">
        <v>339</v>
      </c>
      <c r="I146" s="80" t="n">
        <v>1</v>
      </c>
      <c r="J146" s="81" t="n">
        <v>1</v>
      </c>
      <c r="K146" s="82" t="n">
        <v>0.004</v>
      </c>
      <c r="L146" s="83" t="n">
        <v>312764113.079416</v>
      </c>
      <c r="M146" s="84" t="n">
        <v>312806989.715685</v>
      </c>
      <c r="N146" s="85" t="str">
        <f>MIN(MAX((B146-'Calculation_Assumptions'!$B$5+1)/'Calculation_Assumptions'!$B$7,0),1)</f>
      </c>
      <c r="O146" s="86" t="str">
        <f>L146*I146</f>
      </c>
      <c r="P146" s="87" t="str">
        <f>M146*I146</f>
      </c>
      <c r="Q146" s="88" t="str">
        <f>P146*'Calculation_Assumptions'!$B$14*J146*K146</f>
      </c>
      <c r="R146" s="89" t="str">
        <f>O146*N146*J146*K146</f>
      </c>
      <c r="S146" s="90" t="str">
        <f>R146-Q146</f>
      </c>
      <c r="T146" s="91" t="str">
        <f>1/(1+'Calculation_Assumptions'!$B$8)^(B146-'Calculation_Assumptions'!$B$2)</f>
      </c>
      <c r="U146" s="92" t="str">
        <f>Q146*T146</f>
      </c>
      <c r="V146" s="93" t="str">
        <f>R146*T146</f>
      </c>
      <c r="W146" s="94" t="str">
        <f>S146*T146</f>
      </c>
      <c r="X146" t="n">
        <v>0</v>
      </c>
      <c r="Y146" s="95" t="n">
        <v>2017</v>
      </c>
      <c r="Z146" t="s">
        <v>266</v>
      </c>
      <c r="AA146" s="96" t="str">
        <f>IF(G146="shared-count-once",COUNTIFS($A$2:$A$313,A146,$B$2:$B$313,B146,$D$2:$D$313,D146),1)</f>
      </c>
    </row>
    <row r="147">
      <c r="A147" t="s">
        <v>225</v>
      </c>
      <c r="B147" s="74" t="n">
        <v>2040</v>
      </c>
      <c r="C147" t="s">
        <v>225</v>
      </c>
      <c r="D147" s="75" t="s">
        <v>355</v>
      </c>
      <c r="E147" s="76" t="s">
        <v>356</v>
      </c>
      <c r="F147" s="77" t="s">
        <v>228</v>
      </c>
      <c r="G147" s="78" t="s">
        <v>337</v>
      </c>
      <c r="H147" s="79" t="s">
        <v>339</v>
      </c>
      <c r="I147" s="80" t="n">
        <v>1</v>
      </c>
      <c r="J147" s="81" t="n">
        <v>1</v>
      </c>
      <c r="K147" s="82" t="n">
        <v>0.004</v>
      </c>
      <c r="L147" s="83" t="n">
        <v>314111357.944779</v>
      </c>
      <c r="M147" s="84" t="n">
        <v>314109251.582649</v>
      </c>
      <c r="N147" s="85" t="str">
        <f>MIN(MAX((B147-'Calculation_Assumptions'!$B$5+1)/'Calculation_Assumptions'!$B$7,0),1)</f>
      </c>
      <c r="O147" s="86" t="str">
        <f>L147*I147</f>
      </c>
      <c r="P147" s="87" t="str">
        <f>M147*I147</f>
      </c>
      <c r="Q147" s="88" t="str">
        <f>P147*'Calculation_Assumptions'!$B$14*J147*K147</f>
      </c>
      <c r="R147" s="89" t="str">
        <f>O147*N147*J147*K147</f>
      </c>
      <c r="S147" s="90" t="str">
        <f>R147-Q147</f>
      </c>
      <c r="T147" s="91" t="str">
        <f>1/(1+'Calculation_Assumptions'!$B$8)^(B147-'Calculation_Assumptions'!$B$2)</f>
      </c>
      <c r="U147" s="92" t="str">
        <f>Q147*T147</f>
      </c>
      <c r="V147" s="93" t="str">
        <f>R147*T147</f>
      </c>
      <c r="W147" s="94" t="str">
        <f>S147*T147</f>
      </c>
      <c r="X147" t="n">
        <v>0</v>
      </c>
      <c r="Y147" s="95" t="n">
        <v>2017</v>
      </c>
      <c r="Z147" t="s">
        <v>266</v>
      </c>
      <c r="AA147" s="96" t="str">
        <f>IF(G147="shared-count-once",COUNTIFS($A$2:$A$313,A147,$B$2:$B$313,B147,$D$2:$D$313,D147),1)</f>
      </c>
    </row>
    <row r="148">
      <c r="A148" t="s">
        <v>225</v>
      </c>
      <c r="B148" s="74" t="n">
        <v>2041</v>
      </c>
      <c r="C148" t="s">
        <v>225</v>
      </c>
      <c r="D148" s="75" t="s">
        <v>355</v>
      </c>
      <c r="E148" s="76" t="s">
        <v>356</v>
      </c>
      <c r="F148" s="77" t="s">
        <v>228</v>
      </c>
      <c r="G148" s="78" t="s">
        <v>337</v>
      </c>
      <c r="H148" s="79" t="s">
        <v>339</v>
      </c>
      <c r="I148" s="80" t="n">
        <v>1</v>
      </c>
      <c r="J148" s="81" t="n">
        <v>1</v>
      </c>
      <c r="K148" s="82" t="n">
        <v>0.004</v>
      </c>
      <c r="L148" s="83" t="n">
        <v>315402556.215959</v>
      </c>
      <c r="M148" s="84" t="n">
        <v>315352079.812423</v>
      </c>
      <c r="N148" s="85" t="str">
        <f>MIN(MAX((B148-'Calculation_Assumptions'!$B$5+1)/'Calculation_Assumptions'!$B$7,0),1)</f>
      </c>
      <c r="O148" s="86" t="str">
        <f>L148*I148</f>
      </c>
      <c r="P148" s="87" t="str">
        <f>M148*I148</f>
      </c>
      <c r="Q148" s="88" t="str">
        <f>P148*'Calculation_Assumptions'!$B$14*J148*K148</f>
      </c>
      <c r="R148" s="89" t="str">
        <f>O148*N148*J148*K148</f>
      </c>
      <c r="S148" s="90" t="str">
        <f>R148-Q148</f>
      </c>
      <c r="T148" s="91" t="str">
        <f>1/(1+'Calculation_Assumptions'!$B$8)^(B148-'Calculation_Assumptions'!$B$2)</f>
      </c>
      <c r="U148" s="92" t="str">
        <f>Q148*T148</f>
      </c>
      <c r="V148" s="93" t="str">
        <f>R148*T148</f>
      </c>
      <c r="W148" s="94" t="str">
        <f>S148*T148</f>
      </c>
      <c r="X148" t="n">
        <v>0</v>
      </c>
      <c r="Y148" s="95" t="n">
        <v>2017</v>
      </c>
      <c r="Z148" t="s">
        <v>266</v>
      </c>
      <c r="AA148" s="96" t="str">
        <f>IF(G148="shared-count-once",COUNTIFS($A$2:$A$313,A148,$B$2:$B$313,B148,$D$2:$D$313,D148),1)</f>
      </c>
    </row>
    <row r="149">
      <c r="A149" t="s">
        <v>225</v>
      </c>
      <c r="B149" s="74" t="n">
        <v>2042</v>
      </c>
      <c r="C149" t="s">
        <v>225</v>
      </c>
      <c r="D149" s="75" t="s">
        <v>355</v>
      </c>
      <c r="E149" s="76" t="s">
        <v>356</v>
      </c>
      <c r="F149" s="77" t="s">
        <v>228</v>
      </c>
      <c r="G149" s="78" t="s">
        <v>337</v>
      </c>
      <c r="H149" s="79" t="s">
        <v>339</v>
      </c>
      <c r="I149" s="80" t="n">
        <v>1</v>
      </c>
      <c r="J149" s="81" t="n">
        <v>1</v>
      </c>
      <c r="K149" s="82" t="n">
        <v>0.004</v>
      </c>
      <c r="L149" s="83" t="n">
        <v>316638104.195197</v>
      </c>
      <c r="M149" s="84" t="n">
        <v>316395286.312016</v>
      </c>
      <c r="N149" s="85" t="str">
        <f>MIN(MAX((B149-'Calculation_Assumptions'!$B$5+1)/'Calculation_Assumptions'!$B$7,0),1)</f>
      </c>
      <c r="O149" s="86" t="str">
        <f>L149*I149</f>
      </c>
      <c r="P149" s="87" t="str">
        <f>M149*I149</f>
      </c>
      <c r="Q149" s="88" t="str">
        <f>P149*'Calculation_Assumptions'!$B$14*J149*K149</f>
      </c>
      <c r="R149" s="89" t="str">
        <f>O149*N149*J149*K149</f>
      </c>
      <c r="S149" s="90" t="str">
        <f>R149-Q149</f>
      </c>
      <c r="T149" s="91" t="str">
        <f>1/(1+'Calculation_Assumptions'!$B$8)^(B149-'Calculation_Assumptions'!$B$2)</f>
      </c>
      <c r="U149" s="92" t="str">
        <f>Q149*T149</f>
      </c>
      <c r="V149" s="93" t="str">
        <f>R149*T149</f>
      </c>
      <c r="W149" s="94" t="str">
        <f>S149*T149</f>
      </c>
      <c r="X149" t="n">
        <v>0</v>
      </c>
      <c r="Y149" s="95" t="n">
        <v>2017</v>
      </c>
      <c r="Z149" t="s">
        <v>266</v>
      </c>
      <c r="AA149" s="96" t="str">
        <f>IF(G149="shared-count-once",COUNTIFS($A$2:$A$313,A149,$B$2:$B$313,B149,$D$2:$D$313,D149),1)</f>
      </c>
    </row>
    <row r="150">
      <c r="A150" t="s">
        <v>225</v>
      </c>
      <c r="B150" s="74" t="n">
        <v>2043</v>
      </c>
      <c r="C150" t="s">
        <v>225</v>
      </c>
      <c r="D150" s="75" t="s">
        <v>355</v>
      </c>
      <c r="E150" s="76" t="s">
        <v>356</v>
      </c>
      <c r="F150" s="77" t="s">
        <v>228</v>
      </c>
      <c r="G150" s="78" t="s">
        <v>337</v>
      </c>
      <c r="H150" s="79" t="s">
        <v>339</v>
      </c>
      <c r="I150" s="80" t="n">
        <v>1</v>
      </c>
      <c r="J150" s="81" t="n">
        <v>1</v>
      </c>
      <c r="K150" s="82" t="n">
        <v>0.004</v>
      </c>
      <c r="L150" s="83" t="n">
        <v>317818187.278939</v>
      </c>
      <c r="M150" s="84" t="n">
        <v>317619735.688289</v>
      </c>
      <c r="N150" s="85" t="str">
        <f>MIN(MAX((B150-'Calculation_Assumptions'!$B$5+1)/'Calculation_Assumptions'!$B$7,0),1)</f>
      </c>
      <c r="O150" s="86" t="str">
        <f>L150*I150</f>
      </c>
      <c r="P150" s="87" t="str">
        <f>M150*I150</f>
      </c>
      <c r="Q150" s="88" t="str">
        <f>P150*'Calculation_Assumptions'!$B$14*J150*K150</f>
      </c>
      <c r="R150" s="89" t="str">
        <f>O150*N150*J150*K150</f>
      </c>
      <c r="S150" s="90" t="str">
        <f>R150-Q150</f>
      </c>
      <c r="T150" s="91" t="str">
        <f>1/(1+'Calculation_Assumptions'!$B$8)^(B150-'Calculation_Assumptions'!$B$2)</f>
      </c>
      <c r="U150" s="92" t="str">
        <f>Q150*T150</f>
      </c>
      <c r="V150" s="93" t="str">
        <f>R150*T150</f>
      </c>
      <c r="W150" s="94" t="str">
        <f>S150*T150</f>
      </c>
      <c r="X150" t="n">
        <v>0</v>
      </c>
      <c r="Y150" s="95" t="n">
        <v>2017</v>
      </c>
      <c r="Z150" t="s">
        <v>266</v>
      </c>
      <c r="AA150" s="96" t="str">
        <f>IF(G150="shared-count-once",COUNTIFS($A$2:$A$313,A150,$B$2:$B$313,B150,$D$2:$D$313,D150),1)</f>
      </c>
    </row>
    <row r="151">
      <c r="A151" t="s">
        <v>225</v>
      </c>
      <c r="B151" s="74" t="n">
        <v>2044</v>
      </c>
      <c r="C151" t="s">
        <v>225</v>
      </c>
      <c r="D151" s="75" t="s">
        <v>355</v>
      </c>
      <c r="E151" s="76" t="s">
        <v>356</v>
      </c>
      <c r="F151" s="77" t="s">
        <v>228</v>
      </c>
      <c r="G151" s="78" t="s">
        <v>337</v>
      </c>
      <c r="H151" s="79" t="s">
        <v>339</v>
      </c>
      <c r="I151" s="80" t="n">
        <v>1</v>
      </c>
      <c r="J151" s="81" t="n">
        <v>1</v>
      </c>
      <c r="K151" s="82" t="n">
        <v>0.004</v>
      </c>
      <c r="L151" s="83" t="n">
        <v>318943283.490805</v>
      </c>
      <c r="M151" s="84" t="n">
        <v>318697135.863652</v>
      </c>
      <c r="N151" s="85" t="str">
        <f>MIN(MAX((B151-'Calculation_Assumptions'!$B$5+1)/'Calculation_Assumptions'!$B$7,0),1)</f>
      </c>
      <c r="O151" s="86" t="str">
        <f>L151*I151</f>
      </c>
      <c r="P151" s="87" t="str">
        <f>M151*I151</f>
      </c>
      <c r="Q151" s="88" t="str">
        <f>P151*'Calculation_Assumptions'!$B$14*J151*K151</f>
      </c>
      <c r="R151" s="89" t="str">
        <f>O151*N151*J151*K151</f>
      </c>
      <c r="S151" s="90" t="str">
        <f>R151-Q151</f>
      </c>
      <c r="T151" s="91" t="str">
        <f>1/(1+'Calculation_Assumptions'!$B$8)^(B151-'Calculation_Assumptions'!$B$2)</f>
      </c>
      <c r="U151" s="92" t="str">
        <f>Q151*T151</f>
      </c>
      <c r="V151" s="93" t="str">
        <f>R151*T151</f>
      </c>
      <c r="W151" s="94" t="str">
        <f>S151*T151</f>
      </c>
      <c r="X151" t="n">
        <v>0</v>
      </c>
      <c r="Y151" s="95" t="n">
        <v>2017</v>
      </c>
      <c r="Z151" t="s">
        <v>266</v>
      </c>
      <c r="AA151" s="96" t="str">
        <f>IF(G151="shared-count-once",COUNTIFS($A$2:$A$313,A151,$B$2:$B$313,B151,$D$2:$D$313,D151),1)</f>
      </c>
    </row>
    <row r="152">
      <c r="A152" t="s">
        <v>225</v>
      </c>
      <c r="B152" s="74" t="n">
        <v>2045</v>
      </c>
      <c r="C152" t="s">
        <v>225</v>
      </c>
      <c r="D152" s="75" t="s">
        <v>355</v>
      </c>
      <c r="E152" s="76" t="s">
        <v>356</v>
      </c>
      <c r="F152" s="77" t="s">
        <v>228</v>
      </c>
      <c r="G152" s="78" t="s">
        <v>337</v>
      </c>
      <c r="H152" s="79" t="s">
        <v>339</v>
      </c>
      <c r="I152" s="80" t="n">
        <v>1</v>
      </c>
      <c r="J152" s="81" t="n">
        <v>1</v>
      </c>
      <c r="K152" s="82" t="n">
        <v>0.004</v>
      </c>
      <c r="L152" s="83" t="n">
        <v>320014078.716317</v>
      </c>
      <c r="M152" s="84" t="n">
        <v>319717840.85179</v>
      </c>
      <c r="N152" s="85" t="str">
        <f>MIN(MAX((B152-'Calculation_Assumptions'!$B$5+1)/'Calculation_Assumptions'!$B$7,0),1)</f>
      </c>
      <c r="O152" s="86" t="str">
        <f>L152*I152</f>
      </c>
      <c r="P152" s="87" t="str">
        <f>M152*I152</f>
      </c>
      <c r="Q152" s="88" t="str">
        <f>P152*'Calculation_Assumptions'!$B$14*J152*K152</f>
      </c>
      <c r="R152" s="89" t="str">
        <f>O152*N152*J152*K152</f>
      </c>
      <c r="S152" s="90" t="str">
        <f>R152-Q152</f>
      </c>
      <c r="T152" s="91" t="str">
        <f>1/(1+'Calculation_Assumptions'!$B$8)^(B152-'Calculation_Assumptions'!$B$2)</f>
      </c>
      <c r="U152" s="92" t="str">
        <f>Q152*T152</f>
      </c>
      <c r="V152" s="93" t="str">
        <f>R152*T152</f>
      </c>
      <c r="W152" s="94" t="str">
        <f>S152*T152</f>
      </c>
      <c r="X152" t="n">
        <v>0</v>
      </c>
      <c r="Y152" s="95" t="n">
        <v>2017</v>
      </c>
      <c r="Z152" t="s">
        <v>266</v>
      </c>
      <c r="AA152" s="96" t="str">
        <f>IF(G152="shared-count-once",COUNTIFS($A$2:$A$313,A152,$B$2:$B$313,B152,$D$2:$D$313,D152),1)</f>
      </c>
    </row>
    <row r="153">
      <c r="A153" t="s">
        <v>225</v>
      </c>
      <c r="B153" s="74" t="n">
        <v>2046</v>
      </c>
      <c r="C153" t="s">
        <v>225</v>
      </c>
      <c r="D153" s="75" t="s">
        <v>355</v>
      </c>
      <c r="E153" s="76" t="s">
        <v>356</v>
      </c>
      <c r="F153" s="77" t="s">
        <v>228</v>
      </c>
      <c r="G153" s="78" t="s">
        <v>337</v>
      </c>
      <c r="H153" s="79" t="s">
        <v>339</v>
      </c>
      <c r="I153" s="80" t="n">
        <v>1</v>
      </c>
      <c r="J153" s="81" t="n">
        <v>1</v>
      </c>
      <c r="K153" s="82" t="n">
        <v>0.004</v>
      </c>
      <c r="L153" s="83" t="n">
        <v>321031328.76912</v>
      </c>
      <c r="M153" s="84" t="n">
        <v>320683879.806276</v>
      </c>
      <c r="N153" s="85" t="str">
        <f>MIN(MAX((B153-'Calculation_Assumptions'!$B$5+1)/'Calculation_Assumptions'!$B$7,0),1)</f>
      </c>
      <c r="O153" s="86" t="str">
        <f>L153*I153</f>
      </c>
      <c r="P153" s="87" t="str">
        <f>M153*I153</f>
      </c>
      <c r="Q153" s="88" t="str">
        <f>P153*'Calculation_Assumptions'!$B$14*J153*K153</f>
      </c>
      <c r="R153" s="89" t="str">
        <f>O153*N153*J153*K153</f>
      </c>
      <c r="S153" s="90" t="str">
        <f>R153-Q153</f>
      </c>
      <c r="T153" s="91" t="str">
        <f>1/(1+'Calculation_Assumptions'!$B$8)^(B153-'Calculation_Assumptions'!$B$2)</f>
      </c>
      <c r="U153" s="92" t="str">
        <f>Q153*T153</f>
      </c>
      <c r="V153" s="93" t="str">
        <f>R153*T153</f>
      </c>
      <c r="W153" s="94" t="str">
        <f>S153*T153</f>
      </c>
      <c r="X153" t="n">
        <v>0</v>
      </c>
      <c r="Y153" s="95" t="n">
        <v>2017</v>
      </c>
      <c r="Z153" t="s">
        <v>266</v>
      </c>
      <c r="AA153" s="96" t="str">
        <f>IF(G153="shared-count-once",COUNTIFS($A$2:$A$313,A153,$B$2:$B$313,B153,$D$2:$D$313,D153),1)</f>
      </c>
    </row>
    <row r="154">
      <c r="A154" t="s">
        <v>225</v>
      </c>
      <c r="B154" s="74" t="n">
        <v>2047</v>
      </c>
      <c r="C154" t="s">
        <v>225</v>
      </c>
      <c r="D154" s="75" t="s">
        <v>355</v>
      </c>
      <c r="E154" s="76" t="s">
        <v>356</v>
      </c>
      <c r="F154" s="77" t="s">
        <v>228</v>
      </c>
      <c r="G154" s="78" t="s">
        <v>337</v>
      </c>
      <c r="H154" s="79" t="s">
        <v>339</v>
      </c>
      <c r="I154" s="80" t="n">
        <v>1</v>
      </c>
      <c r="J154" s="81" t="n">
        <v>1</v>
      </c>
      <c r="K154" s="82" t="n">
        <v>0.004</v>
      </c>
      <c r="L154" s="83" t="n">
        <v>321995835.138605</v>
      </c>
      <c r="M154" s="84" t="n">
        <v>321595541.389526</v>
      </c>
      <c r="N154" s="85" t="str">
        <f>MIN(MAX((B154-'Calculation_Assumptions'!$B$5+1)/'Calculation_Assumptions'!$B$7,0),1)</f>
      </c>
      <c r="O154" s="86" t="str">
        <f>L154*I154</f>
      </c>
      <c r="P154" s="87" t="str">
        <f>M154*I154</f>
      </c>
      <c r="Q154" s="88" t="str">
        <f>P154*'Calculation_Assumptions'!$B$14*J154*K154</f>
      </c>
      <c r="R154" s="89" t="str">
        <f>O154*N154*J154*K154</f>
      </c>
      <c r="S154" s="90" t="str">
        <f>R154-Q154</f>
      </c>
      <c r="T154" s="91" t="str">
        <f>1/(1+'Calculation_Assumptions'!$B$8)^(B154-'Calculation_Assumptions'!$B$2)</f>
      </c>
      <c r="U154" s="92" t="str">
        <f>Q154*T154</f>
      </c>
      <c r="V154" s="93" t="str">
        <f>R154*T154</f>
      </c>
      <c r="W154" s="94" t="str">
        <f>S154*T154</f>
      </c>
      <c r="X154" t="n">
        <v>0</v>
      </c>
      <c r="Y154" s="95" t="n">
        <v>2017</v>
      </c>
      <c r="Z154" t="s">
        <v>266</v>
      </c>
      <c r="AA154" s="96" t="str">
        <f>IF(G154="shared-count-once",COUNTIFS($A$2:$A$313,A154,$B$2:$B$313,B154,$D$2:$D$313,D154),1)</f>
      </c>
    </row>
    <row r="155">
      <c r="A155" t="s">
        <v>225</v>
      </c>
      <c r="B155" s="74" t="n">
        <v>2048</v>
      </c>
      <c r="C155" t="s">
        <v>225</v>
      </c>
      <c r="D155" s="75" t="s">
        <v>355</v>
      </c>
      <c r="E155" s="76" t="s">
        <v>356</v>
      </c>
      <c r="F155" s="77" t="s">
        <v>228</v>
      </c>
      <c r="G155" s="78" t="s">
        <v>337</v>
      </c>
      <c r="H155" s="79" t="s">
        <v>339</v>
      </c>
      <c r="I155" s="80" t="n">
        <v>1</v>
      </c>
      <c r="J155" s="81" t="n">
        <v>1</v>
      </c>
      <c r="K155" s="82" t="n">
        <v>0.004</v>
      </c>
      <c r="L155" s="83" t="n">
        <v>322908458.359489</v>
      </c>
      <c r="M155" s="84" t="n">
        <v>322453622.669464</v>
      </c>
      <c r="N155" s="85" t="str">
        <f>MIN(MAX((B155-'Calculation_Assumptions'!$B$5+1)/'Calculation_Assumptions'!$B$7,0),1)</f>
      </c>
      <c r="O155" s="86" t="str">
        <f>L155*I155</f>
      </c>
      <c r="P155" s="87" t="str">
        <f>M155*I155</f>
      </c>
      <c r="Q155" s="88" t="str">
        <f>P155*'Calculation_Assumptions'!$B$14*J155*K155</f>
      </c>
      <c r="R155" s="89" t="str">
        <f>O155*N155*J155*K155</f>
      </c>
      <c r="S155" s="90" t="str">
        <f>R155-Q155</f>
      </c>
      <c r="T155" s="91" t="str">
        <f>1/(1+'Calculation_Assumptions'!$B$8)^(B155-'Calculation_Assumptions'!$B$2)</f>
      </c>
      <c r="U155" s="92" t="str">
        <f>Q155*T155</f>
      </c>
      <c r="V155" s="93" t="str">
        <f>R155*T155</f>
      </c>
      <c r="W155" s="94" t="str">
        <f>S155*T155</f>
      </c>
      <c r="X155" t="n">
        <v>0</v>
      </c>
      <c r="Y155" s="95" t="n">
        <v>2017</v>
      </c>
      <c r="Z155" t="s">
        <v>266</v>
      </c>
      <c r="AA155" s="96" t="str">
        <f>IF(G155="shared-count-once",COUNTIFS($A$2:$A$313,A155,$B$2:$B$313,B155,$D$2:$D$313,D155),1)</f>
      </c>
    </row>
    <row r="156">
      <c r="A156" t="s">
        <v>225</v>
      </c>
      <c r="B156" s="74" t="n">
        <v>2049</v>
      </c>
      <c r="C156" t="s">
        <v>225</v>
      </c>
      <c r="D156" s="75" t="s">
        <v>355</v>
      </c>
      <c r="E156" s="76" t="s">
        <v>356</v>
      </c>
      <c r="F156" s="77" t="s">
        <v>228</v>
      </c>
      <c r="G156" s="78" t="s">
        <v>337</v>
      </c>
      <c r="H156" s="79" t="s">
        <v>339</v>
      </c>
      <c r="I156" s="80" t="n">
        <v>1</v>
      </c>
      <c r="J156" s="81" t="n">
        <v>1</v>
      </c>
      <c r="K156" s="82" t="n">
        <v>0.004</v>
      </c>
      <c r="L156" s="83" t="n">
        <v>323770199.415065</v>
      </c>
      <c r="M156" s="84" t="n">
        <v>323259246.716719</v>
      </c>
      <c r="N156" s="85" t="str">
        <f>MIN(MAX((B156-'Calculation_Assumptions'!$B$5+1)/'Calculation_Assumptions'!$B$7,0),1)</f>
      </c>
      <c r="O156" s="86" t="str">
        <f>L156*I156</f>
      </c>
      <c r="P156" s="87" t="str">
        <f>M156*I156</f>
      </c>
      <c r="Q156" s="88" t="str">
        <f>P156*'Calculation_Assumptions'!$B$14*J156*K156</f>
      </c>
      <c r="R156" s="89" t="str">
        <f>O156*N156*J156*K156</f>
      </c>
      <c r="S156" s="90" t="str">
        <f>R156-Q156</f>
      </c>
      <c r="T156" s="91" t="str">
        <f>1/(1+'Calculation_Assumptions'!$B$8)^(B156-'Calculation_Assumptions'!$B$2)</f>
      </c>
      <c r="U156" s="92" t="str">
        <f>Q156*T156</f>
      </c>
      <c r="V156" s="93" t="str">
        <f>R156*T156</f>
      </c>
      <c r="W156" s="94" t="str">
        <f>S156*T156</f>
      </c>
      <c r="X156" t="n">
        <v>0</v>
      </c>
      <c r="Y156" s="95" t="n">
        <v>2017</v>
      </c>
      <c r="Z156" t="s">
        <v>266</v>
      </c>
      <c r="AA156" s="96" t="str">
        <f>IF(G156="shared-count-once",COUNTIFS($A$2:$A$313,A156,$B$2:$B$313,B156,$D$2:$D$313,D156),1)</f>
      </c>
    </row>
    <row r="157">
      <c r="A157" t="s">
        <v>225</v>
      </c>
      <c r="B157" s="74" t="n">
        <v>2050</v>
      </c>
      <c r="C157" t="s">
        <v>225</v>
      </c>
      <c r="D157" s="75" t="s">
        <v>355</v>
      </c>
      <c r="E157" s="76" t="s">
        <v>356</v>
      </c>
      <c r="F157" s="77" t="s">
        <v>228</v>
      </c>
      <c r="G157" s="78" t="s">
        <v>337</v>
      </c>
      <c r="H157" s="79" t="s">
        <v>339</v>
      </c>
      <c r="I157" s="80" t="n">
        <v>1</v>
      </c>
      <c r="J157" s="81" t="n">
        <v>1</v>
      </c>
      <c r="K157" s="82" t="n">
        <v>0.004</v>
      </c>
      <c r="L157" s="83" t="n">
        <v>324582243.44664</v>
      </c>
      <c r="M157" s="84" t="n">
        <v>324013738.182479</v>
      </c>
      <c r="N157" s="85" t="str">
        <f>MIN(MAX((B157-'Calculation_Assumptions'!$B$5+1)/'Calculation_Assumptions'!$B$7,0),1)</f>
      </c>
      <c r="O157" s="86" t="str">
        <f>L157*I157</f>
      </c>
      <c r="P157" s="87" t="str">
        <f>M157*I157</f>
      </c>
      <c r="Q157" s="88" t="str">
        <f>P157*'Calculation_Assumptions'!$B$14*J157*K157</f>
      </c>
      <c r="R157" s="89" t="str">
        <f>O157*N157*J157*K157</f>
      </c>
      <c r="S157" s="90" t="str">
        <f>R157-Q157</f>
      </c>
      <c r="T157" s="91" t="str">
        <f>1/(1+'Calculation_Assumptions'!$B$8)^(B157-'Calculation_Assumptions'!$B$2)</f>
      </c>
      <c r="U157" s="92" t="str">
        <f>Q157*T157</f>
      </c>
      <c r="V157" s="93" t="str">
        <f>R157*T157</f>
      </c>
      <c r="W157" s="94" t="str">
        <f>S157*T157</f>
      </c>
      <c r="X157" t="n">
        <v>0</v>
      </c>
      <c r="Y157" s="95" t="n">
        <v>2017</v>
      </c>
      <c r="Z157" t="s">
        <v>266</v>
      </c>
      <c r="AA157" s="96" t="str">
        <f>IF(G157="shared-count-once",COUNTIFS($A$2:$A$313,A157,$B$2:$B$313,B157,$D$2:$D$313,D157),1)</f>
      </c>
    </row>
    <row r="158">
      <c r="A158" t="s">
        <v>76</v>
      </c>
      <c r="B158" s="74" t="n">
        <v>2025</v>
      </c>
      <c r="C158" t="s">
        <v>164</v>
      </c>
      <c r="D158" s="75" t="s">
        <v>335</v>
      </c>
      <c r="E158" s="76" t="s">
        <v>336</v>
      </c>
      <c r="F158" s="77" t="s">
        <v>172</v>
      </c>
      <c r="G158" s="78" t="s">
        <v>337</v>
      </c>
      <c r="H158" s="79" t="s">
        <v>339</v>
      </c>
      <c r="I158" s="80" t="n">
        <v>1</v>
      </c>
      <c r="J158" s="81" t="n">
        <v>1</v>
      </c>
      <c r="K158" s="82" t="n">
        <v>0.0056</v>
      </c>
      <c r="L158" s="83" t="n">
        <v>288000821.106462</v>
      </c>
      <c r="M158" s="84" t="n">
        <v>288000821.106462</v>
      </c>
      <c r="N158" s="85" t="str">
        <f>MIN(MAX((B158-'Calculation_Assumptions'!$B$5+1)/'Calculation_Assumptions'!$B$7,0),1)</f>
      </c>
      <c r="O158" s="86" t="str">
        <f>L158*I158</f>
      </c>
      <c r="P158" s="87" t="str">
        <f>M158*I158</f>
      </c>
      <c r="Q158" s="88" t="str">
        <f>P158*'Calculation_Assumptions'!$B$14*J158*K158</f>
      </c>
      <c r="R158" s="89" t="str">
        <f>O158*N158*J158*K158</f>
      </c>
      <c r="S158" s="90" t="str">
        <f>R158-Q158</f>
      </c>
      <c r="T158" s="91" t="str">
        <f>1/(1+'Calculation_Assumptions'!$B$8)^(B158-'Calculation_Assumptions'!$B$2)</f>
      </c>
      <c r="U158" s="92" t="str">
        <f>Q158*T158</f>
      </c>
      <c r="V158" s="93" t="str">
        <f>R158*T158</f>
      </c>
      <c r="W158" s="94" t="str">
        <f>S158*T158</f>
      </c>
      <c r="X158" t="n">
        <v>0</v>
      </c>
      <c r="Y158" s="95" t="n">
        <v>2017</v>
      </c>
      <c r="Z158" t="s">
        <v>266</v>
      </c>
      <c r="AA158" s="96" t="str">
        <f>IF(G158="shared-count-once",COUNTIFS($A$2:$A$313,A158,$B$2:$B$313,B158,$D$2:$D$313,D158),1)</f>
      </c>
    </row>
    <row r="159">
      <c r="A159" t="s">
        <v>76</v>
      </c>
      <c r="B159" s="74" t="n">
        <v>2026</v>
      </c>
      <c r="C159" t="s">
        <v>164</v>
      </c>
      <c r="D159" s="75" t="s">
        <v>335</v>
      </c>
      <c r="E159" s="76" t="s">
        <v>336</v>
      </c>
      <c r="F159" s="77" t="s">
        <v>172</v>
      </c>
      <c r="G159" s="78" t="s">
        <v>337</v>
      </c>
      <c r="H159" s="79" t="s">
        <v>339</v>
      </c>
      <c r="I159" s="80" t="n">
        <v>1</v>
      </c>
      <c r="J159" s="81" t="n">
        <v>1</v>
      </c>
      <c r="K159" s="82" t="n">
        <v>0.0056</v>
      </c>
      <c r="L159" s="83" t="n">
        <v>290123496.103219</v>
      </c>
      <c r="M159" s="84" t="n">
        <v>290123496.103219</v>
      </c>
      <c r="N159" s="85" t="str">
        <f>MIN(MAX((B159-'Calculation_Assumptions'!$B$5+1)/'Calculation_Assumptions'!$B$7,0),1)</f>
      </c>
      <c r="O159" s="86" t="str">
        <f>L159*I159</f>
      </c>
      <c r="P159" s="87" t="str">
        <f>M159*I159</f>
      </c>
      <c r="Q159" s="88" t="str">
        <f>P159*'Calculation_Assumptions'!$B$14*J159*K159</f>
      </c>
      <c r="R159" s="89" t="str">
        <f>O159*N159*J159*K159</f>
      </c>
      <c r="S159" s="90" t="str">
        <f>R159-Q159</f>
      </c>
      <c r="T159" s="91" t="str">
        <f>1/(1+'Calculation_Assumptions'!$B$8)^(B159-'Calculation_Assumptions'!$B$2)</f>
      </c>
      <c r="U159" s="92" t="str">
        <f>Q159*T159</f>
      </c>
      <c r="V159" s="93" t="str">
        <f>R159*T159</f>
      </c>
      <c r="W159" s="94" t="str">
        <f>S159*T159</f>
      </c>
      <c r="X159" t="n">
        <v>0</v>
      </c>
      <c r="Y159" s="95" t="n">
        <v>2017</v>
      </c>
      <c r="Z159" t="s">
        <v>266</v>
      </c>
      <c r="AA159" s="96" t="str">
        <f>IF(G159="shared-count-once",COUNTIFS($A$2:$A$313,A159,$B$2:$B$313,B159,$D$2:$D$313,D159),1)</f>
      </c>
    </row>
    <row r="160">
      <c r="A160" t="s">
        <v>76</v>
      </c>
      <c r="B160" s="74" t="n">
        <v>2027</v>
      </c>
      <c r="C160" t="s">
        <v>164</v>
      </c>
      <c r="D160" s="75" t="s">
        <v>335</v>
      </c>
      <c r="E160" s="76" t="s">
        <v>336</v>
      </c>
      <c r="F160" s="77" t="s">
        <v>172</v>
      </c>
      <c r="G160" s="78" t="s">
        <v>337</v>
      </c>
      <c r="H160" s="79" t="s">
        <v>339</v>
      </c>
      <c r="I160" s="80" t="n">
        <v>1</v>
      </c>
      <c r="J160" s="81" t="n">
        <v>1</v>
      </c>
      <c r="K160" s="82" t="n">
        <v>0.0056</v>
      </c>
      <c r="L160" s="83" t="n">
        <v>292252895.096956</v>
      </c>
      <c r="M160" s="84" t="n">
        <v>292252895.096956</v>
      </c>
      <c r="N160" s="85" t="str">
        <f>MIN(MAX((B160-'Calculation_Assumptions'!$B$5+1)/'Calculation_Assumptions'!$B$7,0),1)</f>
      </c>
      <c r="O160" s="86" t="str">
        <f>L160*I160</f>
      </c>
      <c r="P160" s="87" t="str">
        <f>M160*I160</f>
      </c>
      <c r="Q160" s="88" t="str">
        <f>P160*'Calculation_Assumptions'!$B$14*J160*K160</f>
      </c>
      <c r="R160" s="89" t="str">
        <f>O160*N160*J160*K160</f>
      </c>
      <c r="S160" s="90" t="str">
        <f>R160-Q160</f>
      </c>
      <c r="T160" s="91" t="str">
        <f>1/(1+'Calculation_Assumptions'!$B$8)^(B160-'Calculation_Assumptions'!$B$2)</f>
      </c>
      <c r="U160" s="92" t="str">
        <f>Q160*T160</f>
      </c>
      <c r="V160" s="93" t="str">
        <f>R160*T160</f>
      </c>
      <c r="W160" s="94" t="str">
        <f>S160*T160</f>
      </c>
      <c r="X160" t="n">
        <v>0</v>
      </c>
      <c r="Y160" s="95" t="n">
        <v>2017</v>
      </c>
      <c r="Z160" t="s">
        <v>266</v>
      </c>
      <c r="AA160" s="96" t="str">
        <f>IF(G160="shared-count-once",COUNTIFS($A$2:$A$313,A160,$B$2:$B$313,B160,$D$2:$D$313,D160),1)</f>
      </c>
    </row>
    <row r="161">
      <c r="A161" t="s">
        <v>76</v>
      </c>
      <c r="B161" s="74" t="n">
        <v>2028</v>
      </c>
      <c r="C161" t="s">
        <v>164</v>
      </c>
      <c r="D161" s="75" t="s">
        <v>335</v>
      </c>
      <c r="E161" s="76" t="s">
        <v>336</v>
      </c>
      <c r="F161" s="77" t="s">
        <v>172</v>
      </c>
      <c r="G161" s="78" t="s">
        <v>337</v>
      </c>
      <c r="H161" s="79" t="s">
        <v>339</v>
      </c>
      <c r="I161" s="80" t="n">
        <v>1</v>
      </c>
      <c r="J161" s="81" t="n">
        <v>1</v>
      </c>
      <c r="K161" s="82" t="n">
        <v>0.0056</v>
      </c>
      <c r="L161" s="83" t="n">
        <v>294318750.706066</v>
      </c>
      <c r="M161" s="84" t="n">
        <v>294314895.305465</v>
      </c>
      <c r="N161" s="85" t="str">
        <f>MIN(MAX((B161-'Calculation_Assumptions'!$B$5+1)/'Calculation_Assumptions'!$B$7,0),1)</f>
      </c>
      <c r="O161" s="86" t="str">
        <f>L161*I161</f>
      </c>
      <c r="P161" s="87" t="str">
        <f>M161*I161</f>
      </c>
      <c r="Q161" s="88" t="str">
        <f>P161*'Calculation_Assumptions'!$B$14*J161*K161</f>
      </c>
      <c r="R161" s="89" t="str">
        <f>O161*N161*J161*K161</f>
      </c>
      <c r="S161" s="90" t="str">
        <f>R161-Q161</f>
      </c>
      <c r="T161" s="91" t="str">
        <f>1/(1+'Calculation_Assumptions'!$B$8)^(B161-'Calculation_Assumptions'!$B$2)</f>
      </c>
      <c r="U161" s="92" t="str">
        <f>Q161*T161</f>
      </c>
      <c r="V161" s="93" t="str">
        <f>R161*T161</f>
      </c>
      <c r="W161" s="94" t="str">
        <f>S161*T161</f>
      </c>
      <c r="X161" t="n">
        <v>0</v>
      </c>
      <c r="Y161" s="95" t="n">
        <v>2017</v>
      </c>
      <c r="Z161" t="s">
        <v>266</v>
      </c>
      <c r="AA161" s="96" t="str">
        <f>IF(G161="shared-count-once",COUNTIFS($A$2:$A$313,A161,$B$2:$B$313,B161,$D$2:$D$313,D161),1)</f>
      </c>
    </row>
    <row r="162">
      <c r="A162" t="s">
        <v>76</v>
      </c>
      <c r="B162" s="74" t="n">
        <v>2029</v>
      </c>
      <c r="C162" t="s">
        <v>164</v>
      </c>
      <c r="D162" s="75" t="s">
        <v>335</v>
      </c>
      <c r="E162" s="76" t="s">
        <v>336</v>
      </c>
      <c r="F162" s="77" t="s">
        <v>172</v>
      </c>
      <c r="G162" s="78" t="s">
        <v>337</v>
      </c>
      <c r="H162" s="79" t="s">
        <v>339</v>
      </c>
      <c r="I162" s="80" t="n">
        <v>1</v>
      </c>
      <c r="J162" s="81" t="n">
        <v>1</v>
      </c>
      <c r="K162" s="82" t="n">
        <v>0.0056</v>
      </c>
      <c r="L162" s="83" t="n">
        <v>296356322.266156</v>
      </c>
      <c r="M162" s="84" t="n">
        <v>296341062.542853</v>
      </c>
      <c r="N162" s="85" t="str">
        <f>MIN(MAX((B162-'Calculation_Assumptions'!$B$5+1)/'Calculation_Assumptions'!$B$7,0),1)</f>
      </c>
      <c r="O162" s="86" t="str">
        <f>L162*I162</f>
      </c>
      <c r="P162" s="87" t="str">
        <f>M162*I162</f>
      </c>
      <c r="Q162" s="88" t="str">
        <f>P162*'Calculation_Assumptions'!$B$14*J162*K162</f>
      </c>
      <c r="R162" s="89" t="str">
        <f>O162*N162*J162*K162</f>
      </c>
      <c r="S162" s="90" t="str">
        <f>R162-Q162</f>
      </c>
      <c r="T162" s="91" t="str">
        <f>1/(1+'Calculation_Assumptions'!$B$8)^(B162-'Calculation_Assumptions'!$B$2)</f>
      </c>
      <c r="U162" s="92" t="str">
        <f>Q162*T162</f>
      </c>
      <c r="V162" s="93" t="str">
        <f>R162*T162</f>
      </c>
      <c r="W162" s="94" t="str">
        <f>S162*T162</f>
      </c>
      <c r="X162" t="n">
        <v>0</v>
      </c>
      <c r="Y162" s="95" t="n">
        <v>2017</v>
      </c>
      <c r="Z162" t="s">
        <v>266</v>
      </c>
      <c r="AA162" s="96" t="str">
        <f>IF(G162="shared-count-once",COUNTIFS($A$2:$A$313,A162,$B$2:$B$313,B162,$D$2:$D$313,D162),1)</f>
      </c>
    </row>
    <row r="163">
      <c r="A163" t="s">
        <v>76</v>
      </c>
      <c r="B163" s="74" t="n">
        <v>2030</v>
      </c>
      <c r="C163" t="s">
        <v>164</v>
      </c>
      <c r="D163" s="75" t="s">
        <v>335</v>
      </c>
      <c r="E163" s="76" t="s">
        <v>336</v>
      </c>
      <c r="F163" s="77" t="s">
        <v>172</v>
      </c>
      <c r="G163" s="78" t="s">
        <v>337</v>
      </c>
      <c r="H163" s="79" t="s">
        <v>339</v>
      </c>
      <c r="I163" s="80" t="n">
        <v>1</v>
      </c>
      <c r="J163" s="81" t="n">
        <v>1</v>
      </c>
      <c r="K163" s="82" t="n">
        <v>0.0056</v>
      </c>
      <c r="L163" s="83" t="n">
        <v>298317004.678736</v>
      </c>
      <c r="M163" s="84" t="n">
        <v>298280286.057263</v>
      </c>
      <c r="N163" s="85" t="str">
        <f>MIN(MAX((B163-'Calculation_Assumptions'!$B$5+1)/'Calculation_Assumptions'!$B$7,0),1)</f>
      </c>
      <c r="O163" s="86" t="str">
        <f>L163*I163</f>
      </c>
      <c r="P163" s="87" t="str">
        <f>M163*I163</f>
      </c>
      <c r="Q163" s="88" t="str">
        <f>P163*'Calculation_Assumptions'!$B$14*J163*K163</f>
      </c>
      <c r="R163" s="89" t="str">
        <f>O163*N163*J163*K163</f>
      </c>
      <c r="S163" s="90" t="str">
        <f>R163-Q163</f>
      </c>
      <c r="T163" s="91" t="str">
        <f>1/(1+'Calculation_Assumptions'!$B$8)^(B163-'Calculation_Assumptions'!$B$2)</f>
      </c>
      <c r="U163" s="92" t="str">
        <f>Q163*T163</f>
      </c>
      <c r="V163" s="93" t="str">
        <f>R163*T163</f>
      </c>
      <c r="W163" s="94" t="str">
        <f>S163*T163</f>
      </c>
      <c r="X163" t="n">
        <v>0</v>
      </c>
      <c r="Y163" s="95" t="n">
        <v>2017</v>
      </c>
      <c r="Z163" t="s">
        <v>266</v>
      </c>
      <c r="AA163" s="96" t="str">
        <f>IF(G163="shared-count-once",COUNTIFS($A$2:$A$313,A163,$B$2:$B$313,B163,$D$2:$D$313,D163),1)</f>
      </c>
    </row>
    <row r="164">
      <c r="A164" t="s">
        <v>76</v>
      </c>
      <c r="B164" s="74" t="n">
        <v>2031</v>
      </c>
      <c r="C164" t="s">
        <v>164</v>
      </c>
      <c r="D164" s="75" t="s">
        <v>335</v>
      </c>
      <c r="E164" s="76" t="s">
        <v>336</v>
      </c>
      <c r="F164" s="77" t="s">
        <v>172</v>
      </c>
      <c r="G164" s="78" t="s">
        <v>337</v>
      </c>
      <c r="H164" s="79" t="s">
        <v>339</v>
      </c>
      <c r="I164" s="80" t="n">
        <v>1</v>
      </c>
      <c r="J164" s="81" t="n">
        <v>1</v>
      </c>
      <c r="K164" s="82" t="n">
        <v>0.0056</v>
      </c>
      <c r="L164" s="83" t="n">
        <v>300222863.165616</v>
      </c>
      <c r="M164" s="84" t="n">
        <v>300152603.254782</v>
      </c>
      <c r="N164" s="85" t="str">
        <f>MIN(MAX((B164-'Calculation_Assumptions'!$B$5+1)/'Calculation_Assumptions'!$B$7,0),1)</f>
      </c>
      <c r="O164" s="86" t="str">
        <f>L164*I164</f>
      </c>
      <c r="P164" s="87" t="str">
        <f>M164*I164</f>
      </c>
      <c r="Q164" s="88" t="str">
        <f>P164*'Calculation_Assumptions'!$B$14*J164*K164</f>
      </c>
      <c r="R164" s="89" t="str">
        <f>O164*N164*J164*K164</f>
      </c>
      <c r="S164" s="90" t="str">
        <f>R164-Q164</f>
      </c>
      <c r="T164" s="91" t="str">
        <f>1/(1+'Calculation_Assumptions'!$B$8)^(B164-'Calculation_Assumptions'!$B$2)</f>
      </c>
      <c r="U164" s="92" t="str">
        <f>Q164*T164</f>
      </c>
      <c r="V164" s="93" t="str">
        <f>R164*T164</f>
      </c>
      <c r="W164" s="94" t="str">
        <f>S164*T164</f>
      </c>
      <c r="X164" t="n">
        <v>0</v>
      </c>
      <c r="Y164" s="95" t="n">
        <v>2017</v>
      </c>
      <c r="Z164" t="s">
        <v>266</v>
      </c>
      <c r="AA164" s="96" t="str">
        <f>IF(G164="shared-count-once",COUNTIFS($A$2:$A$313,A164,$B$2:$B$313,B164,$D$2:$D$313,D164),1)</f>
      </c>
    </row>
    <row r="165">
      <c r="A165" t="s">
        <v>76</v>
      </c>
      <c r="B165" s="74" t="n">
        <v>2032</v>
      </c>
      <c r="C165" t="s">
        <v>164</v>
      </c>
      <c r="D165" s="75" t="s">
        <v>335</v>
      </c>
      <c r="E165" s="76" t="s">
        <v>336</v>
      </c>
      <c r="F165" s="77" t="s">
        <v>172</v>
      </c>
      <c r="G165" s="78" t="s">
        <v>337</v>
      </c>
      <c r="H165" s="79" t="s">
        <v>339</v>
      </c>
      <c r="I165" s="80" t="n">
        <v>1</v>
      </c>
      <c r="J165" s="81" t="n">
        <v>1</v>
      </c>
      <c r="K165" s="82" t="n">
        <v>0.0056</v>
      </c>
      <c r="L165" s="83" t="n">
        <v>302002258.96739</v>
      </c>
      <c r="M165" s="84" t="n">
        <v>301959399.633888</v>
      </c>
      <c r="N165" s="85" t="str">
        <f>MIN(MAX((B165-'Calculation_Assumptions'!$B$5+1)/'Calculation_Assumptions'!$B$7,0),1)</f>
      </c>
      <c r="O165" s="86" t="str">
        <f>L165*I165</f>
      </c>
      <c r="P165" s="87" t="str">
        <f>M165*I165</f>
      </c>
      <c r="Q165" s="88" t="str">
        <f>P165*'Calculation_Assumptions'!$B$14*J165*K165</f>
      </c>
      <c r="R165" s="89" t="str">
        <f>O165*N165*J165*K165</f>
      </c>
      <c r="S165" s="90" t="str">
        <f>R165-Q165</f>
      </c>
      <c r="T165" s="91" t="str">
        <f>1/(1+'Calculation_Assumptions'!$B$8)^(B165-'Calculation_Assumptions'!$B$2)</f>
      </c>
      <c r="U165" s="92" t="str">
        <f>Q165*T165</f>
      </c>
      <c r="V165" s="93" t="str">
        <f>R165*T165</f>
      </c>
      <c r="W165" s="94" t="str">
        <f>S165*T165</f>
      </c>
      <c r="X165" t="n">
        <v>0</v>
      </c>
      <c r="Y165" s="95" t="n">
        <v>2017</v>
      </c>
      <c r="Z165" t="s">
        <v>266</v>
      </c>
      <c r="AA165" s="96" t="str">
        <f>IF(G165="shared-count-once",COUNTIFS($A$2:$A$313,A165,$B$2:$B$313,B165,$D$2:$D$313,D165),1)</f>
      </c>
    </row>
    <row r="166">
      <c r="A166" t="s">
        <v>76</v>
      </c>
      <c r="B166" s="74" t="n">
        <v>2033</v>
      </c>
      <c r="C166" t="s">
        <v>164</v>
      </c>
      <c r="D166" s="75" t="s">
        <v>335</v>
      </c>
      <c r="E166" s="76" t="s">
        <v>336</v>
      </c>
      <c r="F166" s="77" t="s">
        <v>172</v>
      </c>
      <c r="G166" s="78" t="s">
        <v>337</v>
      </c>
      <c r="H166" s="79" t="s">
        <v>339</v>
      </c>
      <c r="I166" s="80" t="n">
        <v>1</v>
      </c>
      <c r="J166" s="81" t="n">
        <v>1</v>
      </c>
      <c r="K166" s="82" t="n">
        <v>0.0056</v>
      </c>
      <c r="L166" s="83" t="n">
        <v>303792531.133499</v>
      </c>
      <c r="M166" s="84" t="n">
        <v>303701035.202051</v>
      </c>
      <c r="N166" s="85" t="str">
        <f>MIN(MAX((B166-'Calculation_Assumptions'!$B$5+1)/'Calculation_Assumptions'!$B$7,0),1)</f>
      </c>
      <c r="O166" s="86" t="str">
        <f>L166*I166</f>
      </c>
      <c r="P166" s="87" t="str">
        <f>M166*I166</f>
      </c>
      <c r="Q166" s="88" t="str">
        <f>P166*'Calculation_Assumptions'!$B$14*J166*K166</f>
      </c>
      <c r="R166" s="89" t="str">
        <f>O166*N166*J166*K166</f>
      </c>
      <c r="S166" s="90" t="str">
        <f>R166-Q166</f>
      </c>
      <c r="T166" s="91" t="str">
        <f>1/(1+'Calculation_Assumptions'!$B$8)^(B166-'Calculation_Assumptions'!$B$2)</f>
      </c>
      <c r="U166" s="92" t="str">
        <f>Q166*T166</f>
      </c>
      <c r="V166" s="93" t="str">
        <f>R166*T166</f>
      </c>
      <c r="W166" s="94" t="str">
        <f>S166*T166</f>
      </c>
      <c r="X166" t="n">
        <v>0</v>
      </c>
      <c r="Y166" s="95" t="n">
        <v>2017</v>
      </c>
      <c r="Z166" t="s">
        <v>266</v>
      </c>
      <c r="AA166" s="96" t="str">
        <f>IF(G166="shared-count-once",COUNTIFS($A$2:$A$313,A166,$B$2:$B$313,B166,$D$2:$D$313,D166),1)</f>
      </c>
    </row>
    <row r="167">
      <c r="A167" t="s">
        <v>76</v>
      </c>
      <c r="B167" s="74" t="n">
        <v>2034</v>
      </c>
      <c r="C167" t="s">
        <v>164</v>
      </c>
      <c r="D167" s="75" t="s">
        <v>335</v>
      </c>
      <c r="E167" s="76" t="s">
        <v>336</v>
      </c>
      <c r="F167" s="77" t="s">
        <v>172</v>
      </c>
      <c r="G167" s="78" t="s">
        <v>337</v>
      </c>
      <c r="H167" s="79" t="s">
        <v>339</v>
      </c>
      <c r="I167" s="80" t="n">
        <v>1</v>
      </c>
      <c r="J167" s="81" t="n">
        <v>1</v>
      </c>
      <c r="K167" s="82" t="n">
        <v>0.0056</v>
      </c>
      <c r="L167" s="83" t="n">
        <v>305527186.929355</v>
      </c>
      <c r="M167" s="84" t="n">
        <v>305377998.093319</v>
      </c>
      <c r="N167" s="85" t="str">
        <f>MIN(MAX((B167-'Calculation_Assumptions'!$B$5+1)/'Calculation_Assumptions'!$B$7,0),1)</f>
      </c>
      <c r="O167" s="86" t="str">
        <f>L167*I167</f>
      </c>
      <c r="P167" s="87" t="str">
        <f>M167*I167</f>
      </c>
      <c r="Q167" s="88" t="str">
        <f>P167*'Calculation_Assumptions'!$B$14*J167*K167</f>
      </c>
      <c r="R167" s="89" t="str">
        <f>O167*N167*J167*K167</f>
      </c>
      <c r="S167" s="90" t="str">
        <f>R167-Q167</f>
      </c>
      <c r="T167" s="91" t="str">
        <f>1/(1+'Calculation_Assumptions'!$B$8)^(B167-'Calculation_Assumptions'!$B$2)</f>
      </c>
      <c r="U167" s="92" t="str">
        <f>Q167*T167</f>
      </c>
      <c r="V167" s="93" t="str">
        <f>R167*T167</f>
      </c>
      <c r="W167" s="94" t="str">
        <f>S167*T167</f>
      </c>
      <c r="X167" t="n">
        <v>0</v>
      </c>
      <c r="Y167" s="95" t="n">
        <v>2017</v>
      </c>
      <c r="Z167" t="s">
        <v>266</v>
      </c>
      <c r="AA167" s="96" t="str">
        <f>IF(G167="shared-count-once",COUNTIFS($A$2:$A$313,A167,$B$2:$B$313,B167,$D$2:$D$313,D167),1)</f>
      </c>
    </row>
    <row r="168">
      <c r="A168" t="s">
        <v>76</v>
      </c>
      <c r="B168" s="74" t="n">
        <v>2035</v>
      </c>
      <c r="C168" t="s">
        <v>164</v>
      </c>
      <c r="D168" s="75" t="s">
        <v>335</v>
      </c>
      <c r="E168" s="76" t="s">
        <v>336</v>
      </c>
      <c r="F168" s="77" t="s">
        <v>172</v>
      </c>
      <c r="G168" s="78" t="s">
        <v>337</v>
      </c>
      <c r="H168" s="79" t="s">
        <v>339</v>
      </c>
      <c r="I168" s="80" t="n">
        <v>1</v>
      </c>
      <c r="J168" s="81" t="n">
        <v>1</v>
      </c>
      <c r="K168" s="82" t="n">
        <v>0.0056</v>
      </c>
      <c r="L168" s="83" t="n">
        <v>307204550.865101</v>
      </c>
      <c r="M168" s="84" t="n">
        <v>306989258.29407</v>
      </c>
      <c r="N168" s="85" t="str">
        <f>MIN(MAX((B168-'Calculation_Assumptions'!$B$5+1)/'Calculation_Assumptions'!$B$7,0),1)</f>
      </c>
      <c r="O168" s="86" t="str">
        <f>L168*I168</f>
      </c>
      <c r="P168" s="87" t="str">
        <f>M168*I168</f>
      </c>
      <c r="Q168" s="88" t="str">
        <f>P168*'Calculation_Assumptions'!$B$14*J168*K168</f>
      </c>
      <c r="R168" s="89" t="str">
        <f>O168*N168*J168*K168</f>
      </c>
      <c r="S168" s="90" t="str">
        <f>R168-Q168</f>
      </c>
      <c r="T168" s="91" t="str">
        <f>1/(1+'Calculation_Assumptions'!$B$8)^(B168-'Calculation_Assumptions'!$B$2)</f>
      </c>
      <c r="U168" s="92" t="str">
        <f>Q168*T168</f>
      </c>
      <c r="V168" s="93" t="str">
        <f>R168*T168</f>
      </c>
      <c r="W168" s="94" t="str">
        <f>S168*T168</f>
      </c>
      <c r="X168" t="n">
        <v>0</v>
      </c>
      <c r="Y168" s="95" t="n">
        <v>2017</v>
      </c>
      <c r="Z168" t="s">
        <v>266</v>
      </c>
      <c r="AA168" s="96" t="str">
        <f>IF(G168="shared-count-once",COUNTIFS($A$2:$A$313,A168,$B$2:$B$313,B168,$D$2:$D$313,D168),1)</f>
      </c>
    </row>
    <row r="169">
      <c r="A169" t="s">
        <v>76</v>
      </c>
      <c r="B169" s="74" t="n">
        <v>2036</v>
      </c>
      <c r="C169" t="s">
        <v>164</v>
      </c>
      <c r="D169" s="75" t="s">
        <v>335</v>
      </c>
      <c r="E169" s="76" t="s">
        <v>336</v>
      </c>
      <c r="F169" s="77" t="s">
        <v>172</v>
      </c>
      <c r="G169" s="78" t="s">
        <v>337</v>
      </c>
      <c r="H169" s="79" t="s">
        <v>339</v>
      </c>
      <c r="I169" s="80" t="n">
        <v>1</v>
      </c>
      <c r="J169" s="81" t="n">
        <v>1</v>
      </c>
      <c r="K169" s="82" t="n">
        <v>0.0056</v>
      </c>
      <c r="L169" s="83" t="n">
        <v>308826793.60125</v>
      </c>
      <c r="M169" s="84" t="n">
        <v>308537399.672094</v>
      </c>
      <c r="N169" s="85" t="str">
        <f>MIN(MAX((B169-'Calculation_Assumptions'!$B$5+1)/'Calculation_Assumptions'!$B$7,0),1)</f>
      </c>
      <c r="O169" s="86" t="str">
        <f>L169*I169</f>
      </c>
      <c r="P169" s="87" t="str">
        <f>M169*I169</f>
      </c>
      <c r="Q169" s="88" t="str">
        <f>P169*'Calculation_Assumptions'!$B$14*J169*K169</f>
      </c>
      <c r="R169" s="89" t="str">
        <f>O169*N169*J169*K169</f>
      </c>
      <c r="S169" s="90" t="str">
        <f>R169-Q169</f>
      </c>
      <c r="T169" s="91" t="str">
        <f>1/(1+'Calculation_Assumptions'!$B$8)^(B169-'Calculation_Assumptions'!$B$2)</f>
      </c>
      <c r="U169" s="92" t="str">
        <f>Q169*T169</f>
      </c>
      <c r="V169" s="93" t="str">
        <f>R169*T169</f>
      </c>
      <c r="W169" s="94" t="str">
        <f>S169*T169</f>
      </c>
      <c r="X169" t="n">
        <v>0</v>
      </c>
      <c r="Y169" s="95" t="n">
        <v>2017</v>
      </c>
      <c r="Z169" t="s">
        <v>266</v>
      </c>
      <c r="AA169" s="96" t="str">
        <f>IF(G169="shared-count-once",COUNTIFS($A$2:$A$313,A169,$B$2:$B$313,B169,$D$2:$D$313,D169),1)</f>
      </c>
    </row>
    <row r="170">
      <c r="A170" t="s">
        <v>76</v>
      </c>
      <c r="B170" s="74" t="n">
        <v>2037</v>
      </c>
      <c r="C170" t="s">
        <v>164</v>
      </c>
      <c r="D170" s="75" t="s">
        <v>335</v>
      </c>
      <c r="E170" s="76" t="s">
        <v>336</v>
      </c>
      <c r="F170" s="77" t="s">
        <v>172</v>
      </c>
      <c r="G170" s="78" t="s">
        <v>337</v>
      </c>
      <c r="H170" s="79" t="s">
        <v>339</v>
      </c>
      <c r="I170" s="80" t="n">
        <v>1</v>
      </c>
      <c r="J170" s="81" t="n">
        <v>1</v>
      </c>
      <c r="K170" s="82" t="n">
        <v>0.0056</v>
      </c>
      <c r="L170" s="83" t="n">
        <v>310394148.511485</v>
      </c>
      <c r="M170" s="84" t="n">
        <v>310023120.393472</v>
      </c>
      <c r="N170" s="85" t="str">
        <f>MIN(MAX((B170-'Calculation_Assumptions'!$B$5+1)/'Calculation_Assumptions'!$B$7,0),1)</f>
      </c>
      <c r="O170" s="86" t="str">
        <f>L170*I170</f>
      </c>
      <c r="P170" s="87" t="str">
        <f>M170*I170</f>
      </c>
      <c r="Q170" s="88" t="str">
        <f>P170*'Calculation_Assumptions'!$B$14*J170*K170</f>
      </c>
      <c r="R170" s="89" t="str">
        <f>O170*N170*J170*K170</f>
      </c>
      <c r="S170" s="90" t="str">
        <f>R170-Q170</f>
      </c>
      <c r="T170" s="91" t="str">
        <f>1/(1+'Calculation_Assumptions'!$B$8)^(B170-'Calculation_Assumptions'!$B$2)</f>
      </c>
      <c r="U170" s="92" t="str">
        <f>Q170*T170</f>
      </c>
      <c r="V170" s="93" t="str">
        <f>R170*T170</f>
      </c>
      <c r="W170" s="94" t="str">
        <f>S170*T170</f>
      </c>
      <c r="X170" t="n">
        <v>0</v>
      </c>
      <c r="Y170" s="95" t="n">
        <v>2017</v>
      </c>
      <c r="Z170" t="s">
        <v>266</v>
      </c>
      <c r="AA170" s="96" t="str">
        <f>IF(G170="shared-count-once",COUNTIFS($A$2:$A$313,A170,$B$2:$B$313,B170,$D$2:$D$313,D170),1)</f>
      </c>
    </row>
    <row r="171">
      <c r="A171" t="s">
        <v>76</v>
      </c>
      <c r="B171" s="74" t="n">
        <v>2038</v>
      </c>
      <c r="C171" t="s">
        <v>164</v>
      </c>
      <c r="D171" s="75" t="s">
        <v>335</v>
      </c>
      <c r="E171" s="76" t="s">
        <v>336</v>
      </c>
      <c r="F171" s="77" t="s">
        <v>172</v>
      </c>
      <c r="G171" s="78" t="s">
        <v>337</v>
      </c>
      <c r="H171" s="79" t="s">
        <v>339</v>
      </c>
      <c r="I171" s="80" t="n">
        <v>1</v>
      </c>
      <c r="J171" s="81" t="n">
        <v>1</v>
      </c>
      <c r="K171" s="82" t="n">
        <v>0.0056</v>
      </c>
      <c r="L171" s="83" t="n">
        <v>311906222.578398</v>
      </c>
      <c r="M171" s="84" t="n">
        <v>311445837.134625</v>
      </c>
      <c r="N171" s="85" t="str">
        <f>MIN(MAX((B171-'Calculation_Assumptions'!$B$5+1)/'Calculation_Assumptions'!$B$7,0),1)</f>
      </c>
      <c r="O171" s="86" t="str">
        <f>L171*I171</f>
      </c>
      <c r="P171" s="87" t="str">
        <f>M171*I171</f>
      </c>
      <c r="Q171" s="88" t="str">
        <f>P171*'Calculation_Assumptions'!$B$14*J171*K171</f>
      </c>
      <c r="R171" s="89" t="str">
        <f>O171*N171*J171*K171</f>
      </c>
      <c r="S171" s="90" t="str">
        <f>R171-Q171</f>
      </c>
      <c r="T171" s="91" t="str">
        <f>1/(1+'Calculation_Assumptions'!$B$8)^(B171-'Calculation_Assumptions'!$B$2)</f>
      </c>
      <c r="U171" s="92" t="str">
        <f>Q171*T171</f>
      </c>
      <c r="V171" s="93" t="str">
        <f>R171*T171</f>
      </c>
      <c r="W171" s="94" t="str">
        <f>S171*T171</f>
      </c>
      <c r="X171" t="n">
        <v>0</v>
      </c>
      <c r="Y171" s="95" t="n">
        <v>2017</v>
      </c>
      <c r="Z171" t="s">
        <v>266</v>
      </c>
      <c r="AA171" s="96" t="str">
        <f>IF(G171="shared-count-once",COUNTIFS($A$2:$A$313,A171,$B$2:$B$313,B171,$D$2:$D$313,D171),1)</f>
      </c>
    </row>
    <row r="172">
      <c r="A172" t="s">
        <v>76</v>
      </c>
      <c r="B172" s="74" t="n">
        <v>2039</v>
      </c>
      <c r="C172" t="s">
        <v>164</v>
      </c>
      <c r="D172" s="75" t="s">
        <v>335</v>
      </c>
      <c r="E172" s="76" t="s">
        <v>336</v>
      </c>
      <c r="F172" s="77" t="s">
        <v>172</v>
      </c>
      <c r="G172" s="78" t="s">
        <v>337</v>
      </c>
      <c r="H172" s="79" t="s">
        <v>339</v>
      </c>
      <c r="I172" s="80" t="n">
        <v>1</v>
      </c>
      <c r="J172" s="81" t="n">
        <v>1</v>
      </c>
      <c r="K172" s="82" t="n">
        <v>0.0056</v>
      </c>
      <c r="L172" s="83" t="n">
        <v>313363821.520615</v>
      </c>
      <c r="M172" s="84" t="n">
        <v>312806989.715685</v>
      </c>
      <c r="N172" s="85" t="str">
        <f>MIN(MAX((B172-'Calculation_Assumptions'!$B$5+1)/'Calculation_Assumptions'!$B$7,0),1)</f>
      </c>
      <c r="O172" s="86" t="str">
        <f>L172*I172</f>
      </c>
      <c r="P172" s="87" t="str">
        <f>M172*I172</f>
      </c>
      <c r="Q172" s="88" t="str">
        <f>P172*'Calculation_Assumptions'!$B$14*J172*K172</f>
      </c>
      <c r="R172" s="89" t="str">
        <f>O172*N172*J172*K172</f>
      </c>
      <c r="S172" s="90" t="str">
        <f>R172-Q172</f>
      </c>
      <c r="T172" s="91" t="str">
        <f>1/(1+'Calculation_Assumptions'!$B$8)^(B172-'Calculation_Assumptions'!$B$2)</f>
      </c>
      <c r="U172" s="92" t="str">
        <f>Q172*T172</f>
      </c>
      <c r="V172" s="93" t="str">
        <f>R172*T172</f>
      </c>
      <c r="W172" s="94" t="str">
        <f>S172*T172</f>
      </c>
      <c r="X172" t="n">
        <v>0</v>
      </c>
      <c r="Y172" s="95" t="n">
        <v>2017</v>
      </c>
      <c r="Z172" t="s">
        <v>266</v>
      </c>
      <c r="AA172" s="96" t="str">
        <f>IF(G172="shared-count-once",COUNTIFS($A$2:$A$313,A172,$B$2:$B$313,B172,$D$2:$D$313,D172),1)</f>
      </c>
    </row>
    <row r="173">
      <c r="A173" t="s">
        <v>76</v>
      </c>
      <c r="B173" s="74" t="n">
        <v>2040</v>
      </c>
      <c r="C173" t="s">
        <v>164</v>
      </c>
      <c r="D173" s="75" t="s">
        <v>335</v>
      </c>
      <c r="E173" s="76" t="s">
        <v>336</v>
      </c>
      <c r="F173" s="77" t="s">
        <v>172</v>
      </c>
      <c r="G173" s="78" t="s">
        <v>337</v>
      </c>
      <c r="H173" s="79" t="s">
        <v>339</v>
      </c>
      <c r="I173" s="80" t="n">
        <v>1</v>
      </c>
      <c r="J173" s="81" t="n">
        <v>1</v>
      </c>
      <c r="K173" s="82" t="n">
        <v>0.0056</v>
      </c>
      <c r="L173" s="83" t="n">
        <v>314768783.154633</v>
      </c>
      <c r="M173" s="84" t="n">
        <v>314109251.582649</v>
      </c>
      <c r="N173" s="85" t="str">
        <f>MIN(MAX((B173-'Calculation_Assumptions'!$B$5+1)/'Calculation_Assumptions'!$B$7,0),1)</f>
      </c>
      <c r="O173" s="86" t="str">
        <f>L173*I173</f>
      </c>
      <c r="P173" s="87" t="str">
        <f>M173*I173</f>
      </c>
      <c r="Q173" s="88" t="str">
        <f>P173*'Calculation_Assumptions'!$B$14*J173*K173</f>
      </c>
      <c r="R173" s="89" t="str">
        <f>O173*N173*J173*K173</f>
      </c>
      <c r="S173" s="90" t="str">
        <f>R173-Q173</f>
      </c>
      <c r="T173" s="91" t="str">
        <f>1/(1+'Calculation_Assumptions'!$B$8)^(B173-'Calculation_Assumptions'!$B$2)</f>
      </c>
      <c r="U173" s="92" t="str">
        <f>Q173*T173</f>
      </c>
      <c r="V173" s="93" t="str">
        <f>R173*T173</f>
      </c>
      <c r="W173" s="94" t="str">
        <f>S173*T173</f>
      </c>
      <c r="X173" t="n">
        <v>0</v>
      </c>
      <c r="Y173" s="95" t="n">
        <v>2017</v>
      </c>
      <c r="Z173" t="s">
        <v>266</v>
      </c>
      <c r="AA173" s="96" t="str">
        <f>IF(G173="shared-count-once",COUNTIFS($A$2:$A$313,A173,$B$2:$B$313,B173,$D$2:$D$313,D173),1)</f>
      </c>
    </row>
    <row r="174">
      <c r="A174" t="s">
        <v>76</v>
      </c>
      <c r="B174" s="74" t="n">
        <v>2041</v>
      </c>
      <c r="C174" t="s">
        <v>164</v>
      </c>
      <c r="D174" s="75" t="s">
        <v>335</v>
      </c>
      <c r="E174" s="76" t="s">
        <v>336</v>
      </c>
      <c r="F174" s="77" t="s">
        <v>172</v>
      </c>
      <c r="G174" s="78" t="s">
        <v>337</v>
      </c>
      <c r="H174" s="79" t="s">
        <v>339</v>
      </c>
      <c r="I174" s="80" t="n">
        <v>1</v>
      </c>
      <c r="J174" s="81" t="n">
        <v>1</v>
      </c>
      <c r="K174" s="82" t="n">
        <v>0.0056</v>
      </c>
      <c r="L174" s="83" t="n">
        <v>316119789.295805</v>
      </c>
      <c r="M174" s="84" t="n">
        <v>315352079.812423</v>
      </c>
      <c r="N174" s="85" t="str">
        <f>MIN(MAX((B174-'Calculation_Assumptions'!$B$5+1)/'Calculation_Assumptions'!$B$7,0),1)</f>
      </c>
      <c r="O174" s="86" t="str">
        <f>L174*I174</f>
      </c>
      <c r="P174" s="87" t="str">
        <f>M174*I174</f>
      </c>
      <c r="Q174" s="88" t="str">
        <f>P174*'Calculation_Assumptions'!$B$14*J174*K174</f>
      </c>
      <c r="R174" s="89" t="str">
        <f>O174*N174*J174*K174</f>
      </c>
      <c r="S174" s="90" t="str">
        <f>R174-Q174</f>
      </c>
      <c r="T174" s="91" t="str">
        <f>1/(1+'Calculation_Assumptions'!$B$8)^(B174-'Calculation_Assumptions'!$B$2)</f>
      </c>
      <c r="U174" s="92" t="str">
        <f>Q174*T174</f>
      </c>
      <c r="V174" s="93" t="str">
        <f>R174*T174</f>
      </c>
      <c r="W174" s="94" t="str">
        <f>S174*T174</f>
      </c>
      <c r="X174" t="n">
        <v>0</v>
      </c>
      <c r="Y174" s="95" t="n">
        <v>2017</v>
      </c>
      <c r="Z174" t="s">
        <v>266</v>
      </c>
      <c r="AA174" s="96" t="str">
        <f>IF(G174="shared-count-once",COUNTIFS($A$2:$A$313,A174,$B$2:$B$313,B174,$D$2:$D$313,D174),1)</f>
      </c>
    </row>
    <row r="175">
      <c r="A175" t="s">
        <v>76</v>
      </c>
      <c r="B175" s="74" t="n">
        <v>2042</v>
      </c>
      <c r="C175" t="s">
        <v>164</v>
      </c>
      <c r="D175" s="75" t="s">
        <v>335</v>
      </c>
      <c r="E175" s="76" t="s">
        <v>336</v>
      </c>
      <c r="F175" s="77" t="s">
        <v>172</v>
      </c>
      <c r="G175" s="78" t="s">
        <v>337</v>
      </c>
      <c r="H175" s="79" t="s">
        <v>339</v>
      </c>
      <c r="I175" s="80" t="n">
        <v>1</v>
      </c>
      <c r="J175" s="81" t="n">
        <v>1</v>
      </c>
      <c r="K175" s="82" t="n">
        <v>0.0056</v>
      </c>
      <c r="L175" s="83" t="n">
        <v>317417240.496476</v>
      </c>
      <c r="M175" s="84" t="n">
        <v>316395286.312016</v>
      </c>
      <c r="N175" s="85" t="str">
        <f>MIN(MAX((B175-'Calculation_Assumptions'!$B$5+1)/'Calculation_Assumptions'!$B$7,0),1)</f>
      </c>
      <c r="O175" s="86" t="str">
        <f>L175*I175</f>
      </c>
      <c r="P175" s="87" t="str">
        <f>M175*I175</f>
      </c>
      <c r="Q175" s="88" t="str">
        <f>P175*'Calculation_Assumptions'!$B$14*J175*K175</f>
      </c>
      <c r="R175" s="89" t="str">
        <f>O175*N175*J175*K175</f>
      </c>
      <c r="S175" s="90" t="str">
        <f>R175-Q175</f>
      </c>
      <c r="T175" s="91" t="str">
        <f>1/(1+'Calculation_Assumptions'!$B$8)^(B175-'Calculation_Assumptions'!$B$2)</f>
      </c>
      <c r="U175" s="92" t="str">
        <f>Q175*T175</f>
      </c>
      <c r="V175" s="93" t="str">
        <f>R175*T175</f>
      </c>
      <c r="W175" s="94" t="str">
        <f>S175*T175</f>
      </c>
      <c r="X175" t="n">
        <v>0</v>
      </c>
      <c r="Y175" s="95" t="n">
        <v>2017</v>
      </c>
      <c r="Z175" t="s">
        <v>266</v>
      </c>
      <c r="AA175" s="96" t="str">
        <f>IF(G175="shared-count-once",COUNTIFS($A$2:$A$313,A175,$B$2:$B$313,B175,$D$2:$D$313,D175),1)</f>
      </c>
    </row>
    <row r="176">
      <c r="A176" t="s">
        <v>76</v>
      </c>
      <c r="B176" s="74" t="n">
        <v>2043</v>
      </c>
      <c r="C176" t="s">
        <v>164</v>
      </c>
      <c r="D176" s="75" t="s">
        <v>335</v>
      </c>
      <c r="E176" s="76" t="s">
        <v>336</v>
      </c>
      <c r="F176" s="77" t="s">
        <v>172</v>
      </c>
      <c r="G176" s="78" t="s">
        <v>337</v>
      </c>
      <c r="H176" s="79" t="s">
        <v>339</v>
      </c>
      <c r="I176" s="80" t="n">
        <v>1</v>
      </c>
      <c r="J176" s="81" t="n">
        <v>1</v>
      </c>
      <c r="K176" s="82" t="n">
        <v>0.0056</v>
      </c>
      <c r="L176" s="83" t="n">
        <v>318779591.219905</v>
      </c>
      <c r="M176" s="84" t="n">
        <v>317619735.688289</v>
      </c>
      <c r="N176" s="85" t="str">
        <f>MIN(MAX((B176-'Calculation_Assumptions'!$B$5+1)/'Calculation_Assumptions'!$B$7,0),1)</f>
      </c>
      <c r="O176" s="86" t="str">
        <f>L176*I176</f>
      </c>
      <c r="P176" s="87" t="str">
        <f>M176*I176</f>
      </c>
      <c r="Q176" s="88" t="str">
        <f>P176*'Calculation_Assumptions'!$B$14*J176*K176</f>
      </c>
      <c r="R176" s="89" t="str">
        <f>O176*N176*J176*K176</f>
      </c>
      <c r="S176" s="90" t="str">
        <f>R176-Q176</f>
      </c>
      <c r="T176" s="91" t="str">
        <f>1/(1+'Calculation_Assumptions'!$B$8)^(B176-'Calculation_Assumptions'!$B$2)</f>
      </c>
      <c r="U176" s="92" t="str">
        <f>Q176*T176</f>
      </c>
      <c r="V176" s="93" t="str">
        <f>R176*T176</f>
      </c>
      <c r="W176" s="94" t="str">
        <f>S176*T176</f>
      </c>
      <c r="X176" t="n">
        <v>0</v>
      </c>
      <c r="Y176" s="95" t="n">
        <v>2017</v>
      </c>
      <c r="Z176" t="s">
        <v>266</v>
      </c>
      <c r="AA176" s="96" t="str">
        <f>IF(G176="shared-count-once",COUNTIFS($A$2:$A$313,A176,$B$2:$B$313,B176,$D$2:$D$313,D176),1)</f>
      </c>
    </row>
    <row r="177">
      <c r="A177" t="s">
        <v>76</v>
      </c>
      <c r="B177" s="74" t="n">
        <v>2044</v>
      </c>
      <c r="C177" t="s">
        <v>164</v>
      </c>
      <c r="D177" s="75" t="s">
        <v>335</v>
      </c>
      <c r="E177" s="76" t="s">
        <v>336</v>
      </c>
      <c r="F177" s="77" t="s">
        <v>172</v>
      </c>
      <c r="G177" s="78" t="s">
        <v>337</v>
      </c>
      <c r="H177" s="79" t="s">
        <v>339</v>
      </c>
      <c r="I177" s="80" t="n">
        <v>1</v>
      </c>
      <c r="J177" s="81" t="n">
        <v>1</v>
      </c>
      <c r="K177" s="82" t="n">
        <v>0.0056</v>
      </c>
      <c r="L177" s="83" t="n">
        <v>319985562.367227</v>
      </c>
      <c r="M177" s="84" t="n">
        <v>318697135.863652</v>
      </c>
      <c r="N177" s="85" t="str">
        <f>MIN(MAX((B177-'Calculation_Assumptions'!$B$5+1)/'Calculation_Assumptions'!$B$7,0),1)</f>
      </c>
      <c r="O177" s="86" t="str">
        <f>L177*I177</f>
      </c>
      <c r="P177" s="87" t="str">
        <f>M177*I177</f>
      </c>
      <c r="Q177" s="88" t="str">
        <f>P177*'Calculation_Assumptions'!$B$14*J177*K177</f>
      </c>
      <c r="R177" s="89" t="str">
        <f>O177*N177*J177*K177</f>
      </c>
      <c r="S177" s="90" t="str">
        <f>R177-Q177</f>
      </c>
      <c r="T177" s="91" t="str">
        <f>1/(1+'Calculation_Assumptions'!$B$8)^(B177-'Calculation_Assumptions'!$B$2)</f>
      </c>
      <c r="U177" s="92" t="str">
        <f>Q177*T177</f>
      </c>
      <c r="V177" s="93" t="str">
        <f>R177*T177</f>
      </c>
      <c r="W177" s="94" t="str">
        <f>S177*T177</f>
      </c>
      <c r="X177" t="n">
        <v>0</v>
      </c>
      <c r="Y177" s="95" t="n">
        <v>2017</v>
      </c>
      <c r="Z177" t="s">
        <v>266</v>
      </c>
      <c r="AA177" s="96" t="str">
        <f>IF(G177="shared-count-once",COUNTIFS($A$2:$A$313,A177,$B$2:$B$313,B177,$D$2:$D$313,D177),1)</f>
      </c>
    </row>
    <row r="178">
      <c r="A178" t="s">
        <v>76</v>
      </c>
      <c r="B178" s="74" t="n">
        <v>2045</v>
      </c>
      <c r="C178" t="s">
        <v>164</v>
      </c>
      <c r="D178" s="75" t="s">
        <v>335</v>
      </c>
      <c r="E178" s="76" t="s">
        <v>336</v>
      </c>
      <c r="F178" s="77" t="s">
        <v>172</v>
      </c>
      <c r="G178" s="78" t="s">
        <v>337</v>
      </c>
      <c r="H178" s="79" t="s">
        <v>339</v>
      </c>
      <c r="I178" s="80" t="n">
        <v>1</v>
      </c>
      <c r="J178" s="81" t="n">
        <v>1</v>
      </c>
      <c r="K178" s="82" t="n">
        <v>0.0056</v>
      </c>
      <c r="L178" s="83" t="n">
        <v>320960972.3861</v>
      </c>
      <c r="M178" s="84" t="n">
        <v>319717840.85179</v>
      </c>
      <c r="N178" s="85" t="str">
        <f>MIN(MAX((B178-'Calculation_Assumptions'!$B$5+1)/'Calculation_Assumptions'!$B$7,0),1)</f>
      </c>
      <c r="O178" s="86" t="str">
        <f>L178*I178</f>
      </c>
      <c r="P178" s="87" t="str">
        <f>M178*I178</f>
      </c>
      <c r="Q178" s="88" t="str">
        <f>P178*'Calculation_Assumptions'!$B$14*J178*K178</f>
      </c>
      <c r="R178" s="89" t="str">
        <f>O178*N178*J178*K178</f>
      </c>
      <c r="S178" s="90" t="str">
        <f>R178-Q178</f>
      </c>
      <c r="T178" s="91" t="str">
        <f>1/(1+'Calculation_Assumptions'!$B$8)^(B178-'Calculation_Assumptions'!$B$2)</f>
      </c>
      <c r="U178" s="92" t="str">
        <f>Q178*T178</f>
      </c>
      <c r="V178" s="93" t="str">
        <f>R178*T178</f>
      </c>
      <c r="W178" s="94" t="str">
        <f>S178*T178</f>
      </c>
      <c r="X178" t="n">
        <v>0</v>
      </c>
      <c r="Y178" s="95" t="n">
        <v>2017</v>
      </c>
      <c r="Z178" t="s">
        <v>266</v>
      </c>
      <c r="AA178" s="96" t="str">
        <f>IF(G178="shared-count-once",COUNTIFS($A$2:$A$313,A178,$B$2:$B$313,B178,$D$2:$D$313,D178),1)</f>
      </c>
    </row>
    <row r="179">
      <c r="A179" t="s">
        <v>76</v>
      </c>
      <c r="B179" s="74" t="n">
        <v>2046</v>
      </c>
      <c r="C179" t="s">
        <v>164</v>
      </c>
      <c r="D179" s="75" t="s">
        <v>335</v>
      </c>
      <c r="E179" s="76" t="s">
        <v>336</v>
      </c>
      <c r="F179" s="77" t="s">
        <v>172</v>
      </c>
      <c r="G179" s="78" t="s">
        <v>337</v>
      </c>
      <c r="H179" s="79" t="s">
        <v>339</v>
      </c>
      <c r="I179" s="80" t="n">
        <v>1</v>
      </c>
      <c r="J179" s="81" t="n">
        <v>1</v>
      </c>
      <c r="K179" s="82" t="n">
        <v>0.0056</v>
      </c>
      <c r="L179" s="83" t="n">
        <v>322053582.24951</v>
      </c>
      <c r="M179" s="84" t="n">
        <v>320683879.806276</v>
      </c>
      <c r="N179" s="85" t="str">
        <f>MIN(MAX((B179-'Calculation_Assumptions'!$B$5+1)/'Calculation_Assumptions'!$B$7,0),1)</f>
      </c>
      <c r="O179" s="86" t="str">
        <f>L179*I179</f>
      </c>
      <c r="P179" s="87" t="str">
        <f>M179*I179</f>
      </c>
      <c r="Q179" s="88" t="str">
        <f>P179*'Calculation_Assumptions'!$B$14*J179*K179</f>
      </c>
      <c r="R179" s="89" t="str">
        <f>O179*N179*J179*K179</f>
      </c>
      <c r="S179" s="90" t="str">
        <f>R179-Q179</f>
      </c>
      <c r="T179" s="91" t="str">
        <f>1/(1+'Calculation_Assumptions'!$B$8)^(B179-'Calculation_Assumptions'!$B$2)</f>
      </c>
      <c r="U179" s="92" t="str">
        <f>Q179*T179</f>
      </c>
      <c r="V179" s="93" t="str">
        <f>R179*T179</f>
      </c>
      <c r="W179" s="94" t="str">
        <f>S179*T179</f>
      </c>
      <c r="X179" t="n">
        <v>0</v>
      </c>
      <c r="Y179" s="95" t="n">
        <v>2017</v>
      </c>
      <c r="Z179" t="s">
        <v>266</v>
      </c>
      <c r="AA179" s="96" t="str">
        <f>IF(G179="shared-count-once",COUNTIFS($A$2:$A$313,A179,$B$2:$B$313,B179,$D$2:$D$313,D179),1)</f>
      </c>
    </row>
    <row r="180">
      <c r="A180" t="s">
        <v>76</v>
      </c>
      <c r="B180" s="74" t="n">
        <v>2047</v>
      </c>
      <c r="C180" t="s">
        <v>164</v>
      </c>
      <c r="D180" s="75" t="s">
        <v>335</v>
      </c>
      <c r="E180" s="76" t="s">
        <v>336</v>
      </c>
      <c r="F180" s="77" t="s">
        <v>172</v>
      </c>
      <c r="G180" s="78" t="s">
        <v>337</v>
      </c>
      <c r="H180" s="79" t="s">
        <v>339</v>
      </c>
      <c r="I180" s="80" t="n">
        <v>1</v>
      </c>
      <c r="J180" s="81" t="n">
        <v>1</v>
      </c>
      <c r="K180" s="82" t="n">
        <v>0.0056</v>
      </c>
      <c r="L180" s="83" t="n">
        <v>323093320.95173</v>
      </c>
      <c r="M180" s="84" t="n">
        <v>321595541.389526</v>
      </c>
      <c r="N180" s="85" t="str">
        <f>MIN(MAX((B180-'Calculation_Assumptions'!$B$5+1)/'Calculation_Assumptions'!$B$7,0),1)</f>
      </c>
      <c r="O180" s="86" t="str">
        <f>L180*I180</f>
      </c>
      <c r="P180" s="87" t="str">
        <f>M180*I180</f>
      </c>
      <c r="Q180" s="88" t="str">
        <f>P180*'Calculation_Assumptions'!$B$14*J180*K180</f>
      </c>
      <c r="R180" s="89" t="str">
        <f>O180*N180*J180*K180</f>
      </c>
      <c r="S180" s="90" t="str">
        <f>R180-Q180</f>
      </c>
      <c r="T180" s="91" t="str">
        <f>1/(1+'Calculation_Assumptions'!$B$8)^(B180-'Calculation_Assumptions'!$B$2)</f>
      </c>
      <c r="U180" s="92" t="str">
        <f>Q180*T180</f>
      </c>
      <c r="V180" s="93" t="str">
        <f>R180*T180</f>
      </c>
      <c r="W180" s="94" t="str">
        <f>S180*T180</f>
      </c>
      <c r="X180" t="n">
        <v>0</v>
      </c>
      <c r="Y180" s="95" t="n">
        <v>2017</v>
      </c>
      <c r="Z180" t="s">
        <v>266</v>
      </c>
      <c r="AA180" s="96" t="str">
        <f>IF(G180="shared-count-once",COUNTIFS($A$2:$A$313,A180,$B$2:$B$313,B180,$D$2:$D$313,D180),1)</f>
      </c>
    </row>
    <row r="181">
      <c r="A181" t="s">
        <v>76</v>
      </c>
      <c r="B181" s="74" t="n">
        <v>2048</v>
      </c>
      <c r="C181" t="s">
        <v>164</v>
      </c>
      <c r="D181" s="75" t="s">
        <v>335</v>
      </c>
      <c r="E181" s="76" t="s">
        <v>336</v>
      </c>
      <c r="F181" s="77" t="s">
        <v>172</v>
      </c>
      <c r="G181" s="78" t="s">
        <v>337</v>
      </c>
      <c r="H181" s="79" t="s">
        <v>339</v>
      </c>
      <c r="I181" s="80" t="n">
        <v>1</v>
      </c>
      <c r="J181" s="81" t="n">
        <v>1</v>
      </c>
      <c r="K181" s="82" t="n">
        <v>0.0056</v>
      </c>
      <c r="L181" s="83" t="n">
        <v>324080784.775173</v>
      </c>
      <c r="M181" s="84" t="n">
        <v>322453622.669464</v>
      </c>
      <c r="N181" s="85" t="str">
        <f>MIN(MAX((B181-'Calculation_Assumptions'!$B$5+1)/'Calculation_Assumptions'!$B$7,0),1)</f>
      </c>
      <c r="O181" s="86" t="str">
        <f>L181*I181</f>
      </c>
      <c r="P181" s="87" t="str">
        <f>M181*I181</f>
      </c>
      <c r="Q181" s="88" t="str">
        <f>P181*'Calculation_Assumptions'!$B$14*J181*K181</f>
      </c>
      <c r="R181" s="89" t="str">
        <f>O181*N181*J181*K181</f>
      </c>
      <c r="S181" s="90" t="str">
        <f>R181-Q181</f>
      </c>
      <c r="T181" s="91" t="str">
        <f>1/(1+'Calculation_Assumptions'!$B$8)^(B181-'Calculation_Assumptions'!$B$2)</f>
      </c>
      <c r="U181" s="92" t="str">
        <f>Q181*T181</f>
      </c>
      <c r="V181" s="93" t="str">
        <f>R181*T181</f>
      </c>
      <c r="W181" s="94" t="str">
        <f>S181*T181</f>
      </c>
      <c r="X181" t="n">
        <v>0</v>
      </c>
      <c r="Y181" s="95" t="n">
        <v>2017</v>
      </c>
      <c r="Z181" t="s">
        <v>266</v>
      </c>
      <c r="AA181" s="96" t="str">
        <f>IF(G181="shared-count-once",COUNTIFS($A$2:$A$313,A181,$B$2:$B$313,B181,$D$2:$D$313,D181),1)</f>
      </c>
    </row>
    <row r="182">
      <c r="A182" t="s">
        <v>76</v>
      </c>
      <c r="B182" s="74" t="n">
        <v>2049</v>
      </c>
      <c r="C182" t="s">
        <v>164</v>
      </c>
      <c r="D182" s="75" t="s">
        <v>335</v>
      </c>
      <c r="E182" s="76" t="s">
        <v>336</v>
      </c>
      <c r="F182" s="77" t="s">
        <v>172</v>
      </c>
      <c r="G182" s="78" t="s">
        <v>337</v>
      </c>
      <c r="H182" s="79" t="s">
        <v>339</v>
      </c>
      <c r="I182" s="80" t="n">
        <v>1</v>
      </c>
      <c r="J182" s="81" t="n">
        <v>1</v>
      </c>
      <c r="K182" s="82" t="n">
        <v>0.0056</v>
      </c>
      <c r="L182" s="83" t="n">
        <v>325016726.583355</v>
      </c>
      <c r="M182" s="84" t="n">
        <v>323259246.716719</v>
      </c>
      <c r="N182" s="85" t="str">
        <f>MIN(MAX((B182-'Calculation_Assumptions'!$B$5+1)/'Calculation_Assumptions'!$B$7,0),1)</f>
      </c>
      <c r="O182" s="86" t="str">
        <f>L182*I182</f>
      </c>
      <c r="P182" s="87" t="str">
        <f>M182*I182</f>
      </c>
      <c r="Q182" s="88" t="str">
        <f>P182*'Calculation_Assumptions'!$B$14*J182*K182</f>
      </c>
      <c r="R182" s="89" t="str">
        <f>O182*N182*J182*K182</f>
      </c>
      <c r="S182" s="90" t="str">
        <f>R182-Q182</f>
      </c>
      <c r="T182" s="91" t="str">
        <f>1/(1+'Calculation_Assumptions'!$B$8)^(B182-'Calculation_Assumptions'!$B$2)</f>
      </c>
      <c r="U182" s="92" t="str">
        <f>Q182*T182</f>
      </c>
      <c r="V182" s="93" t="str">
        <f>R182*T182</f>
      </c>
      <c r="W182" s="94" t="str">
        <f>S182*T182</f>
      </c>
      <c r="X182" t="n">
        <v>0</v>
      </c>
      <c r="Y182" s="95" t="n">
        <v>2017</v>
      </c>
      <c r="Z182" t="s">
        <v>266</v>
      </c>
      <c r="AA182" s="96" t="str">
        <f>IF(G182="shared-count-once",COUNTIFS($A$2:$A$313,A182,$B$2:$B$313,B182,$D$2:$D$313,D182),1)</f>
      </c>
    </row>
    <row r="183">
      <c r="A183" t="s">
        <v>76</v>
      </c>
      <c r="B183" s="74" t="n">
        <v>2050</v>
      </c>
      <c r="C183" t="s">
        <v>164</v>
      </c>
      <c r="D183" s="75" t="s">
        <v>335</v>
      </c>
      <c r="E183" s="76" t="s">
        <v>336</v>
      </c>
      <c r="F183" s="77" t="s">
        <v>172</v>
      </c>
      <c r="G183" s="78" t="s">
        <v>337</v>
      </c>
      <c r="H183" s="79" t="s">
        <v>339</v>
      </c>
      <c r="I183" s="80" t="n">
        <v>1</v>
      </c>
      <c r="J183" s="81" t="n">
        <v>1</v>
      </c>
      <c r="K183" s="82" t="n">
        <v>0.0056</v>
      </c>
      <c r="L183" s="83" t="n">
        <v>325902090.730916</v>
      </c>
      <c r="M183" s="84" t="n">
        <v>324013738.182479</v>
      </c>
      <c r="N183" s="85" t="str">
        <f>MIN(MAX((B183-'Calculation_Assumptions'!$B$5+1)/'Calculation_Assumptions'!$B$7,0),1)</f>
      </c>
      <c r="O183" s="86" t="str">
        <f>L183*I183</f>
      </c>
      <c r="P183" s="87" t="str">
        <f>M183*I183</f>
      </c>
      <c r="Q183" s="88" t="str">
        <f>P183*'Calculation_Assumptions'!$B$14*J183*K183</f>
      </c>
      <c r="R183" s="89" t="str">
        <f>O183*N183*J183*K183</f>
      </c>
      <c r="S183" s="90" t="str">
        <f>R183-Q183</f>
      </c>
      <c r="T183" s="91" t="str">
        <f>1/(1+'Calculation_Assumptions'!$B$8)^(B183-'Calculation_Assumptions'!$B$2)</f>
      </c>
      <c r="U183" s="92" t="str">
        <f>Q183*T183</f>
      </c>
      <c r="V183" s="93" t="str">
        <f>R183*T183</f>
      </c>
      <c r="W183" s="94" t="str">
        <f>S183*T183</f>
      </c>
      <c r="X183" t="n">
        <v>0</v>
      </c>
      <c r="Y183" s="95" t="n">
        <v>2017</v>
      </c>
      <c r="Z183" t="s">
        <v>266</v>
      </c>
      <c r="AA183" s="96" t="str">
        <f>IF(G183="shared-count-once",COUNTIFS($A$2:$A$313,A183,$B$2:$B$313,B183,$D$2:$D$313,D183),1)</f>
      </c>
    </row>
    <row r="184">
      <c r="A184" t="s">
        <v>76</v>
      </c>
      <c r="B184" s="74" t="n">
        <v>2025</v>
      </c>
      <c r="C184" t="s">
        <v>187</v>
      </c>
      <c r="D184" s="75" t="s">
        <v>342</v>
      </c>
      <c r="E184" s="76" t="s">
        <v>343</v>
      </c>
      <c r="F184" s="77" t="s">
        <v>190</v>
      </c>
      <c r="G184" s="78" t="s">
        <v>337</v>
      </c>
      <c r="H184" s="79" t="s">
        <v>339</v>
      </c>
      <c r="I184" s="80" t="n">
        <v>1</v>
      </c>
      <c r="J184" s="81" t="n">
        <v>1</v>
      </c>
      <c r="K184" s="82" t="n">
        <v>0.004</v>
      </c>
      <c r="L184" s="83" t="n">
        <v>288000821.106462</v>
      </c>
      <c r="M184" s="84" t="n">
        <v>288000821.106462</v>
      </c>
      <c r="N184" s="85" t="str">
        <f>MIN(MAX((B184-'Calculation_Assumptions'!$B$5+1)/'Calculation_Assumptions'!$B$7,0),1)</f>
      </c>
      <c r="O184" s="86" t="str">
        <f>L184*I184</f>
      </c>
      <c r="P184" s="87" t="str">
        <f>M184*I184</f>
      </c>
      <c r="Q184" s="88" t="str">
        <f>P184*'Calculation_Assumptions'!$B$14*J184*K184</f>
      </c>
      <c r="R184" s="89" t="str">
        <f>O184*N184*J184*K184</f>
      </c>
      <c r="S184" s="90" t="str">
        <f>R184-Q184</f>
      </c>
      <c r="T184" s="91" t="str">
        <f>1/(1+'Calculation_Assumptions'!$B$8)^(B184-'Calculation_Assumptions'!$B$2)</f>
      </c>
      <c r="U184" s="92" t="str">
        <f>Q184*T184</f>
      </c>
      <c r="V184" s="93" t="str">
        <f>R184*T184</f>
      </c>
      <c r="W184" s="94" t="str">
        <f>S184*T184</f>
      </c>
      <c r="X184" t="n">
        <v>0</v>
      </c>
      <c r="Y184" s="95" t="n">
        <v>2017</v>
      </c>
      <c r="Z184" t="s">
        <v>266</v>
      </c>
      <c r="AA184" s="96" t="str">
        <f>IF(G184="shared-count-once",COUNTIFS($A$2:$A$313,A184,$B$2:$B$313,B184,$D$2:$D$313,D184),1)</f>
      </c>
    </row>
    <row r="185">
      <c r="A185" t="s">
        <v>76</v>
      </c>
      <c r="B185" s="74" t="n">
        <v>2026</v>
      </c>
      <c r="C185" t="s">
        <v>187</v>
      </c>
      <c r="D185" s="75" t="s">
        <v>342</v>
      </c>
      <c r="E185" s="76" t="s">
        <v>343</v>
      </c>
      <c r="F185" s="77" t="s">
        <v>190</v>
      </c>
      <c r="G185" s="78" t="s">
        <v>337</v>
      </c>
      <c r="H185" s="79" t="s">
        <v>339</v>
      </c>
      <c r="I185" s="80" t="n">
        <v>1</v>
      </c>
      <c r="J185" s="81" t="n">
        <v>1</v>
      </c>
      <c r="K185" s="82" t="n">
        <v>0.004</v>
      </c>
      <c r="L185" s="83" t="n">
        <v>290123496.103219</v>
      </c>
      <c r="M185" s="84" t="n">
        <v>290123496.103219</v>
      </c>
      <c r="N185" s="85" t="str">
        <f>MIN(MAX((B185-'Calculation_Assumptions'!$B$5+1)/'Calculation_Assumptions'!$B$7,0),1)</f>
      </c>
      <c r="O185" s="86" t="str">
        <f>L185*I185</f>
      </c>
      <c r="P185" s="87" t="str">
        <f>M185*I185</f>
      </c>
      <c r="Q185" s="88" t="str">
        <f>P185*'Calculation_Assumptions'!$B$14*J185*K185</f>
      </c>
      <c r="R185" s="89" t="str">
        <f>O185*N185*J185*K185</f>
      </c>
      <c r="S185" s="90" t="str">
        <f>R185-Q185</f>
      </c>
      <c r="T185" s="91" t="str">
        <f>1/(1+'Calculation_Assumptions'!$B$8)^(B185-'Calculation_Assumptions'!$B$2)</f>
      </c>
      <c r="U185" s="92" t="str">
        <f>Q185*T185</f>
      </c>
      <c r="V185" s="93" t="str">
        <f>R185*T185</f>
      </c>
      <c r="W185" s="94" t="str">
        <f>S185*T185</f>
      </c>
      <c r="X185" t="n">
        <v>0</v>
      </c>
      <c r="Y185" s="95" t="n">
        <v>2017</v>
      </c>
      <c r="Z185" t="s">
        <v>266</v>
      </c>
      <c r="AA185" s="96" t="str">
        <f>IF(G185="shared-count-once",COUNTIFS($A$2:$A$313,A185,$B$2:$B$313,B185,$D$2:$D$313,D185),1)</f>
      </c>
    </row>
    <row r="186">
      <c r="A186" t="s">
        <v>76</v>
      </c>
      <c r="B186" s="74" t="n">
        <v>2027</v>
      </c>
      <c r="C186" t="s">
        <v>187</v>
      </c>
      <c r="D186" s="75" t="s">
        <v>342</v>
      </c>
      <c r="E186" s="76" t="s">
        <v>343</v>
      </c>
      <c r="F186" s="77" t="s">
        <v>190</v>
      </c>
      <c r="G186" s="78" t="s">
        <v>337</v>
      </c>
      <c r="H186" s="79" t="s">
        <v>339</v>
      </c>
      <c r="I186" s="80" t="n">
        <v>1</v>
      </c>
      <c r="J186" s="81" t="n">
        <v>1</v>
      </c>
      <c r="K186" s="82" t="n">
        <v>0.004</v>
      </c>
      <c r="L186" s="83" t="n">
        <v>292252895.096956</v>
      </c>
      <c r="M186" s="84" t="n">
        <v>292252895.096956</v>
      </c>
      <c r="N186" s="85" t="str">
        <f>MIN(MAX((B186-'Calculation_Assumptions'!$B$5+1)/'Calculation_Assumptions'!$B$7,0),1)</f>
      </c>
      <c r="O186" s="86" t="str">
        <f>L186*I186</f>
      </c>
      <c r="P186" s="87" t="str">
        <f>M186*I186</f>
      </c>
      <c r="Q186" s="88" t="str">
        <f>P186*'Calculation_Assumptions'!$B$14*J186*K186</f>
      </c>
      <c r="R186" s="89" t="str">
        <f>O186*N186*J186*K186</f>
      </c>
      <c r="S186" s="90" t="str">
        <f>R186-Q186</f>
      </c>
      <c r="T186" s="91" t="str">
        <f>1/(1+'Calculation_Assumptions'!$B$8)^(B186-'Calculation_Assumptions'!$B$2)</f>
      </c>
      <c r="U186" s="92" t="str">
        <f>Q186*T186</f>
      </c>
      <c r="V186" s="93" t="str">
        <f>R186*T186</f>
      </c>
      <c r="W186" s="94" t="str">
        <f>S186*T186</f>
      </c>
      <c r="X186" t="n">
        <v>0</v>
      </c>
      <c r="Y186" s="95" t="n">
        <v>2017</v>
      </c>
      <c r="Z186" t="s">
        <v>266</v>
      </c>
      <c r="AA186" s="96" t="str">
        <f>IF(G186="shared-count-once",COUNTIFS($A$2:$A$313,A186,$B$2:$B$313,B186,$D$2:$D$313,D186),1)</f>
      </c>
    </row>
    <row r="187">
      <c r="A187" t="s">
        <v>76</v>
      </c>
      <c r="B187" s="74" t="n">
        <v>2028</v>
      </c>
      <c r="C187" t="s">
        <v>187</v>
      </c>
      <c r="D187" s="75" t="s">
        <v>342</v>
      </c>
      <c r="E187" s="76" t="s">
        <v>343</v>
      </c>
      <c r="F187" s="77" t="s">
        <v>190</v>
      </c>
      <c r="G187" s="78" t="s">
        <v>337</v>
      </c>
      <c r="H187" s="79" t="s">
        <v>339</v>
      </c>
      <c r="I187" s="80" t="n">
        <v>1</v>
      </c>
      <c r="J187" s="81" t="n">
        <v>1</v>
      </c>
      <c r="K187" s="82" t="n">
        <v>0.004</v>
      </c>
      <c r="L187" s="83" t="n">
        <v>294318750.706066</v>
      </c>
      <c r="M187" s="84" t="n">
        <v>294314895.305465</v>
      </c>
      <c r="N187" s="85" t="str">
        <f>MIN(MAX((B187-'Calculation_Assumptions'!$B$5+1)/'Calculation_Assumptions'!$B$7,0),1)</f>
      </c>
      <c r="O187" s="86" t="str">
        <f>L187*I187</f>
      </c>
      <c r="P187" s="87" t="str">
        <f>M187*I187</f>
      </c>
      <c r="Q187" s="88" t="str">
        <f>P187*'Calculation_Assumptions'!$B$14*J187*K187</f>
      </c>
      <c r="R187" s="89" t="str">
        <f>O187*N187*J187*K187</f>
      </c>
      <c r="S187" s="90" t="str">
        <f>R187-Q187</f>
      </c>
      <c r="T187" s="91" t="str">
        <f>1/(1+'Calculation_Assumptions'!$B$8)^(B187-'Calculation_Assumptions'!$B$2)</f>
      </c>
      <c r="U187" s="92" t="str">
        <f>Q187*T187</f>
      </c>
      <c r="V187" s="93" t="str">
        <f>R187*T187</f>
      </c>
      <c r="W187" s="94" t="str">
        <f>S187*T187</f>
      </c>
      <c r="X187" t="n">
        <v>0</v>
      </c>
      <c r="Y187" s="95" t="n">
        <v>2017</v>
      </c>
      <c r="Z187" t="s">
        <v>266</v>
      </c>
      <c r="AA187" s="96" t="str">
        <f>IF(G187="shared-count-once",COUNTIFS($A$2:$A$313,A187,$B$2:$B$313,B187,$D$2:$D$313,D187),1)</f>
      </c>
    </row>
    <row r="188">
      <c r="A188" t="s">
        <v>76</v>
      </c>
      <c r="B188" s="74" t="n">
        <v>2029</v>
      </c>
      <c r="C188" t="s">
        <v>187</v>
      </c>
      <c r="D188" s="75" t="s">
        <v>342</v>
      </c>
      <c r="E188" s="76" t="s">
        <v>343</v>
      </c>
      <c r="F188" s="77" t="s">
        <v>190</v>
      </c>
      <c r="G188" s="78" t="s">
        <v>337</v>
      </c>
      <c r="H188" s="79" t="s">
        <v>339</v>
      </c>
      <c r="I188" s="80" t="n">
        <v>1</v>
      </c>
      <c r="J188" s="81" t="n">
        <v>1</v>
      </c>
      <c r="K188" s="82" t="n">
        <v>0.004</v>
      </c>
      <c r="L188" s="83" t="n">
        <v>296356322.266156</v>
      </c>
      <c r="M188" s="84" t="n">
        <v>296341062.542853</v>
      </c>
      <c r="N188" s="85" t="str">
        <f>MIN(MAX((B188-'Calculation_Assumptions'!$B$5+1)/'Calculation_Assumptions'!$B$7,0),1)</f>
      </c>
      <c r="O188" s="86" t="str">
        <f>L188*I188</f>
      </c>
      <c r="P188" s="87" t="str">
        <f>M188*I188</f>
      </c>
      <c r="Q188" s="88" t="str">
        <f>P188*'Calculation_Assumptions'!$B$14*J188*K188</f>
      </c>
      <c r="R188" s="89" t="str">
        <f>O188*N188*J188*K188</f>
      </c>
      <c r="S188" s="90" t="str">
        <f>R188-Q188</f>
      </c>
      <c r="T188" s="91" t="str">
        <f>1/(1+'Calculation_Assumptions'!$B$8)^(B188-'Calculation_Assumptions'!$B$2)</f>
      </c>
      <c r="U188" s="92" t="str">
        <f>Q188*T188</f>
      </c>
      <c r="V188" s="93" t="str">
        <f>R188*T188</f>
      </c>
      <c r="W188" s="94" t="str">
        <f>S188*T188</f>
      </c>
      <c r="X188" t="n">
        <v>0</v>
      </c>
      <c r="Y188" s="95" t="n">
        <v>2017</v>
      </c>
      <c r="Z188" t="s">
        <v>266</v>
      </c>
      <c r="AA188" s="96" t="str">
        <f>IF(G188="shared-count-once",COUNTIFS($A$2:$A$313,A188,$B$2:$B$313,B188,$D$2:$D$313,D188),1)</f>
      </c>
    </row>
    <row r="189">
      <c r="A189" t="s">
        <v>76</v>
      </c>
      <c r="B189" s="74" t="n">
        <v>2030</v>
      </c>
      <c r="C189" t="s">
        <v>187</v>
      </c>
      <c r="D189" s="75" t="s">
        <v>342</v>
      </c>
      <c r="E189" s="76" t="s">
        <v>343</v>
      </c>
      <c r="F189" s="77" t="s">
        <v>190</v>
      </c>
      <c r="G189" s="78" t="s">
        <v>337</v>
      </c>
      <c r="H189" s="79" t="s">
        <v>339</v>
      </c>
      <c r="I189" s="80" t="n">
        <v>1</v>
      </c>
      <c r="J189" s="81" t="n">
        <v>1</v>
      </c>
      <c r="K189" s="82" t="n">
        <v>0.004</v>
      </c>
      <c r="L189" s="83" t="n">
        <v>298317004.678736</v>
      </c>
      <c r="M189" s="84" t="n">
        <v>298280286.057263</v>
      </c>
      <c r="N189" s="85" t="str">
        <f>MIN(MAX((B189-'Calculation_Assumptions'!$B$5+1)/'Calculation_Assumptions'!$B$7,0),1)</f>
      </c>
      <c r="O189" s="86" t="str">
        <f>L189*I189</f>
      </c>
      <c r="P189" s="87" t="str">
        <f>M189*I189</f>
      </c>
      <c r="Q189" s="88" t="str">
        <f>P189*'Calculation_Assumptions'!$B$14*J189*K189</f>
      </c>
      <c r="R189" s="89" t="str">
        <f>O189*N189*J189*K189</f>
      </c>
      <c r="S189" s="90" t="str">
        <f>R189-Q189</f>
      </c>
      <c r="T189" s="91" t="str">
        <f>1/(1+'Calculation_Assumptions'!$B$8)^(B189-'Calculation_Assumptions'!$B$2)</f>
      </c>
      <c r="U189" s="92" t="str">
        <f>Q189*T189</f>
      </c>
      <c r="V189" s="93" t="str">
        <f>R189*T189</f>
      </c>
      <c r="W189" s="94" t="str">
        <f>S189*T189</f>
      </c>
      <c r="X189" t="n">
        <v>0</v>
      </c>
      <c r="Y189" s="95" t="n">
        <v>2017</v>
      </c>
      <c r="Z189" t="s">
        <v>266</v>
      </c>
      <c r="AA189" s="96" t="str">
        <f>IF(G189="shared-count-once",COUNTIFS($A$2:$A$313,A189,$B$2:$B$313,B189,$D$2:$D$313,D189),1)</f>
      </c>
    </row>
    <row r="190">
      <c r="A190" t="s">
        <v>76</v>
      </c>
      <c r="B190" s="74" t="n">
        <v>2031</v>
      </c>
      <c r="C190" t="s">
        <v>187</v>
      </c>
      <c r="D190" s="75" t="s">
        <v>342</v>
      </c>
      <c r="E190" s="76" t="s">
        <v>343</v>
      </c>
      <c r="F190" s="77" t="s">
        <v>190</v>
      </c>
      <c r="G190" s="78" t="s">
        <v>337</v>
      </c>
      <c r="H190" s="79" t="s">
        <v>339</v>
      </c>
      <c r="I190" s="80" t="n">
        <v>1</v>
      </c>
      <c r="J190" s="81" t="n">
        <v>1</v>
      </c>
      <c r="K190" s="82" t="n">
        <v>0.004</v>
      </c>
      <c r="L190" s="83" t="n">
        <v>300222863.165616</v>
      </c>
      <c r="M190" s="84" t="n">
        <v>300152603.254782</v>
      </c>
      <c r="N190" s="85" t="str">
        <f>MIN(MAX((B190-'Calculation_Assumptions'!$B$5+1)/'Calculation_Assumptions'!$B$7,0),1)</f>
      </c>
      <c r="O190" s="86" t="str">
        <f>L190*I190</f>
      </c>
      <c r="P190" s="87" t="str">
        <f>M190*I190</f>
      </c>
      <c r="Q190" s="88" t="str">
        <f>P190*'Calculation_Assumptions'!$B$14*J190*K190</f>
      </c>
      <c r="R190" s="89" t="str">
        <f>O190*N190*J190*K190</f>
      </c>
      <c r="S190" s="90" t="str">
        <f>R190-Q190</f>
      </c>
      <c r="T190" s="91" t="str">
        <f>1/(1+'Calculation_Assumptions'!$B$8)^(B190-'Calculation_Assumptions'!$B$2)</f>
      </c>
      <c r="U190" s="92" t="str">
        <f>Q190*T190</f>
      </c>
      <c r="V190" s="93" t="str">
        <f>R190*T190</f>
      </c>
      <c r="W190" s="94" t="str">
        <f>S190*T190</f>
      </c>
      <c r="X190" t="n">
        <v>0</v>
      </c>
      <c r="Y190" s="95" t="n">
        <v>2017</v>
      </c>
      <c r="Z190" t="s">
        <v>266</v>
      </c>
      <c r="AA190" s="96" t="str">
        <f>IF(G190="shared-count-once",COUNTIFS($A$2:$A$313,A190,$B$2:$B$313,B190,$D$2:$D$313,D190),1)</f>
      </c>
    </row>
    <row r="191">
      <c r="A191" t="s">
        <v>76</v>
      </c>
      <c r="B191" s="74" t="n">
        <v>2032</v>
      </c>
      <c r="C191" t="s">
        <v>187</v>
      </c>
      <c r="D191" s="75" t="s">
        <v>342</v>
      </c>
      <c r="E191" s="76" t="s">
        <v>343</v>
      </c>
      <c r="F191" s="77" t="s">
        <v>190</v>
      </c>
      <c r="G191" s="78" t="s">
        <v>337</v>
      </c>
      <c r="H191" s="79" t="s">
        <v>339</v>
      </c>
      <c r="I191" s="80" t="n">
        <v>1</v>
      </c>
      <c r="J191" s="81" t="n">
        <v>1</v>
      </c>
      <c r="K191" s="82" t="n">
        <v>0.004</v>
      </c>
      <c r="L191" s="83" t="n">
        <v>302002258.96739</v>
      </c>
      <c r="M191" s="84" t="n">
        <v>301959399.633888</v>
      </c>
      <c r="N191" s="85" t="str">
        <f>MIN(MAX((B191-'Calculation_Assumptions'!$B$5+1)/'Calculation_Assumptions'!$B$7,0),1)</f>
      </c>
      <c r="O191" s="86" t="str">
        <f>L191*I191</f>
      </c>
      <c r="P191" s="87" t="str">
        <f>M191*I191</f>
      </c>
      <c r="Q191" s="88" t="str">
        <f>P191*'Calculation_Assumptions'!$B$14*J191*K191</f>
      </c>
      <c r="R191" s="89" t="str">
        <f>O191*N191*J191*K191</f>
      </c>
      <c r="S191" s="90" t="str">
        <f>R191-Q191</f>
      </c>
      <c r="T191" s="91" t="str">
        <f>1/(1+'Calculation_Assumptions'!$B$8)^(B191-'Calculation_Assumptions'!$B$2)</f>
      </c>
      <c r="U191" s="92" t="str">
        <f>Q191*T191</f>
      </c>
      <c r="V191" s="93" t="str">
        <f>R191*T191</f>
      </c>
      <c r="W191" s="94" t="str">
        <f>S191*T191</f>
      </c>
      <c r="X191" t="n">
        <v>0</v>
      </c>
      <c r="Y191" s="95" t="n">
        <v>2017</v>
      </c>
      <c r="Z191" t="s">
        <v>266</v>
      </c>
      <c r="AA191" s="96" t="str">
        <f>IF(G191="shared-count-once",COUNTIFS($A$2:$A$313,A191,$B$2:$B$313,B191,$D$2:$D$313,D191),1)</f>
      </c>
    </row>
    <row r="192">
      <c r="A192" t="s">
        <v>76</v>
      </c>
      <c r="B192" s="74" t="n">
        <v>2033</v>
      </c>
      <c r="C192" t="s">
        <v>187</v>
      </c>
      <c r="D192" s="75" t="s">
        <v>342</v>
      </c>
      <c r="E192" s="76" t="s">
        <v>343</v>
      </c>
      <c r="F192" s="77" t="s">
        <v>190</v>
      </c>
      <c r="G192" s="78" t="s">
        <v>337</v>
      </c>
      <c r="H192" s="79" t="s">
        <v>339</v>
      </c>
      <c r="I192" s="80" t="n">
        <v>1</v>
      </c>
      <c r="J192" s="81" t="n">
        <v>1</v>
      </c>
      <c r="K192" s="82" t="n">
        <v>0.004</v>
      </c>
      <c r="L192" s="83" t="n">
        <v>303792531.133499</v>
      </c>
      <c r="M192" s="84" t="n">
        <v>303701035.202051</v>
      </c>
      <c r="N192" s="85" t="str">
        <f>MIN(MAX((B192-'Calculation_Assumptions'!$B$5+1)/'Calculation_Assumptions'!$B$7,0),1)</f>
      </c>
      <c r="O192" s="86" t="str">
        <f>L192*I192</f>
      </c>
      <c r="P192" s="87" t="str">
        <f>M192*I192</f>
      </c>
      <c r="Q192" s="88" t="str">
        <f>P192*'Calculation_Assumptions'!$B$14*J192*K192</f>
      </c>
      <c r="R192" s="89" t="str">
        <f>O192*N192*J192*K192</f>
      </c>
      <c r="S192" s="90" t="str">
        <f>R192-Q192</f>
      </c>
      <c r="T192" s="91" t="str">
        <f>1/(1+'Calculation_Assumptions'!$B$8)^(B192-'Calculation_Assumptions'!$B$2)</f>
      </c>
      <c r="U192" s="92" t="str">
        <f>Q192*T192</f>
      </c>
      <c r="V192" s="93" t="str">
        <f>R192*T192</f>
      </c>
      <c r="W192" s="94" t="str">
        <f>S192*T192</f>
      </c>
      <c r="X192" t="n">
        <v>0</v>
      </c>
      <c r="Y192" s="95" t="n">
        <v>2017</v>
      </c>
      <c r="Z192" t="s">
        <v>266</v>
      </c>
      <c r="AA192" s="96" t="str">
        <f>IF(G192="shared-count-once",COUNTIFS($A$2:$A$313,A192,$B$2:$B$313,B192,$D$2:$D$313,D192),1)</f>
      </c>
    </row>
    <row r="193">
      <c r="A193" t="s">
        <v>76</v>
      </c>
      <c r="B193" s="74" t="n">
        <v>2034</v>
      </c>
      <c r="C193" t="s">
        <v>187</v>
      </c>
      <c r="D193" s="75" t="s">
        <v>342</v>
      </c>
      <c r="E193" s="76" t="s">
        <v>343</v>
      </c>
      <c r="F193" s="77" t="s">
        <v>190</v>
      </c>
      <c r="G193" s="78" t="s">
        <v>337</v>
      </c>
      <c r="H193" s="79" t="s">
        <v>339</v>
      </c>
      <c r="I193" s="80" t="n">
        <v>1</v>
      </c>
      <c r="J193" s="81" t="n">
        <v>1</v>
      </c>
      <c r="K193" s="82" t="n">
        <v>0.004</v>
      </c>
      <c r="L193" s="83" t="n">
        <v>305527186.929355</v>
      </c>
      <c r="M193" s="84" t="n">
        <v>305377998.093319</v>
      </c>
      <c r="N193" s="85" t="str">
        <f>MIN(MAX((B193-'Calculation_Assumptions'!$B$5+1)/'Calculation_Assumptions'!$B$7,0),1)</f>
      </c>
      <c r="O193" s="86" t="str">
        <f>L193*I193</f>
      </c>
      <c r="P193" s="87" t="str">
        <f>M193*I193</f>
      </c>
      <c r="Q193" s="88" t="str">
        <f>P193*'Calculation_Assumptions'!$B$14*J193*K193</f>
      </c>
      <c r="R193" s="89" t="str">
        <f>O193*N193*J193*K193</f>
      </c>
      <c r="S193" s="90" t="str">
        <f>R193-Q193</f>
      </c>
      <c r="T193" s="91" t="str">
        <f>1/(1+'Calculation_Assumptions'!$B$8)^(B193-'Calculation_Assumptions'!$B$2)</f>
      </c>
      <c r="U193" s="92" t="str">
        <f>Q193*T193</f>
      </c>
      <c r="V193" s="93" t="str">
        <f>R193*T193</f>
      </c>
      <c r="W193" s="94" t="str">
        <f>S193*T193</f>
      </c>
      <c r="X193" t="n">
        <v>0</v>
      </c>
      <c r="Y193" s="95" t="n">
        <v>2017</v>
      </c>
      <c r="Z193" t="s">
        <v>266</v>
      </c>
      <c r="AA193" s="96" t="str">
        <f>IF(G193="shared-count-once",COUNTIFS($A$2:$A$313,A193,$B$2:$B$313,B193,$D$2:$D$313,D193),1)</f>
      </c>
    </row>
    <row r="194">
      <c r="A194" t="s">
        <v>76</v>
      </c>
      <c r="B194" s="74" t="n">
        <v>2035</v>
      </c>
      <c r="C194" t="s">
        <v>187</v>
      </c>
      <c r="D194" s="75" t="s">
        <v>342</v>
      </c>
      <c r="E194" s="76" t="s">
        <v>343</v>
      </c>
      <c r="F194" s="77" t="s">
        <v>190</v>
      </c>
      <c r="G194" s="78" t="s">
        <v>337</v>
      </c>
      <c r="H194" s="79" t="s">
        <v>339</v>
      </c>
      <c r="I194" s="80" t="n">
        <v>1</v>
      </c>
      <c r="J194" s="81" t="n">
        <v>1</v>
      </c>
      <c r="K194" s="82" t="n">
        <v>0.004</v>
      </c>
      <c r="L194" s="83" t="n">
        <v>307204550.865101</v>
      </c>
      <c r="M194" s="84" t="n">
        <v>306989258.29407</v>
      </c>
      <c r="N194" s="85" t="str">
        <f>MIN(MAX((B194-'Calculation_Assumptions'!$B$5+1)/'Calculation_Assumptions'!$B$7,0),1)</f>
      </c>
      <c r="O194" s="86" t="str">
        <f>L194*I194</f>
      </c>
      <c r="P194" s="87" t="str">
        <f>M194*I194</f>
      </c>
      <c r="Q194" s="88" t="str">
        <f>P194*'Calculation_Assumptions'!$B$14*J194*K194</f>
      </c>
      <c r="R194" s="89" t="str">
        <f>O194*N194*J194*K194</f>
      </c>
      <c r="S194" s="90" t="str">
        <f>R194-Q194</f>
      </c>
      <c r="T194" s="91" t="str">
        <f>1/(1+'Calculation_Assumptions'!$B$8)^(B194-'Calculation_Assumptions'!$B$2)</f>
      </c>
      <c r="U194" s="92" t="str">
        <f>Q194*T194</f>
      </c>
      <c r="V194" s="93" t="str">
        <f>R194*T194</f>
      </c>
      <c r="W194" s="94" t="str">
        <f>S194*T194</f>
      </c>
      <c r="X194" t="n">
        <v>0</v>
      </c>
      <c r="Y194" s="95" t="n">
        <v>2017</v>
      </c>
      <c r="Z194" t="s">
        <v>266</v>
      </c>
      <c r="AA194" s="96" t="str">
        <f>IF(G194="shared-count-once",COUNTIFS($A$2:$A$313,A194,$B$2:$B$313,B194,$D$2:$D$313,D194),1)</f>
      </c>
    </row>
    <row r="195">
      <c r="A195" t="s">
        <v>76</v>
      </c>
      <c r="B195" s="74" t="n">
        <v>2036</v>
      </c>
      <c r="C195" t="s">
        <v>187</v>
      </c>
      <c r="D195" s="75" t="s">
        <v>342</v>
      </c>
      <c r="E195" s="76" t="s">
        <v>343</v>
      </c>
      <c r="F195" s="77" t="s">
        <v>190</v>
      </c>
      <c r="G195" s="78" t="s">
        <v>337</v>
      </c>
      <c r="H195" s="79" t="s">
        <v>339</v>
      </c>
      <c r="I195" s="80" t="n">
        <v>1</v>
      </c>
      <c r="J195" s="81" t="n">
        <v>1</v>
      </c>
      <c r="K195" s="82" t="n">
        <v>0.004</v>
      </c>
      <c r="L195" s="83" t="n">
        <v>308826793.60125</v>
      </c>
      <c r="M195" s="84" t="n">
        <v>308537399.672094</v>
      </c>
      <c r="N195" s="85" t="str">
        <f>MIN(MAX((B195-'Calculation_Assumptions'!$B$5+1)/'Calculation_Assumptions'!$B$7,0),1)</f>
      </c>
      <c r="O195" s="86" t="str">
        <f>L195*I195</f>
      </c>
      <c r="P195" s="87" t="str">
        <f>M195*I195</f>
      </c>
      <c r="Q195" s="88" t="str">
        <f>P195*'Calculation_Assumptions'!$B$14*J195*K195</f>
      </c>
      <c r="R195" s="89" t="str">
        <f>O195*N195*J195*K195</f>
      </c>
      <c r="S195" s="90" t="str">
        <f>R195-Q195</f>
      </c>
      <c r="T195" s="91" t="str">
        <f>1/(1+'Calculation_Assumptions'!$B$8)^(B195-'Calculation_Assumptions'!$B$2)</f>
      </c>
      <c r="U195" s="92" t="str">
        <f>Q195*T195</f>
      </c>
      <c r="V195" s="93" t="str">
        <f>R195*T195</f>
      </c>
      <c r="W195" s="94" t="str">
        <f>S195*T195</f>
      </c>
      <c r="X195" t="n">
        <v>0</v>
      </c>
      <c r="Y195" s="95" t="n">
        <v>2017</v>
      </c>
      <c r="Z195" t="s">
        <v>266</v>
      </c>
      <c r="AA195" s="96" t="str">
        <f>IF(G195="shared-count-once",COUNTIFS($A$2:$A$313,A195,$B$2:$B$313,B195,$D$2:$D$313,D195),1)</f>
      </c>
    </row>
    <row r="196">
      <c r="A196" t="s">
        <v>76</v>
      </c>
      <c r="B196" s="74" t="n">
        <v>2037</v>
      </c>
      <c r="C196" t="s">
        <v>187</v>
      </c>
      <c r="D196" s="75" t="s">
        <v>342</v>
      </c>
      <c r="E196" s="76" t="s">
        <v>343</v>
      </c>
      <c r="F196" s="77" t="s">
        <v>190</v>
      </c>
      <c r="G196" s="78" t="s">
        <v>337</v>
      </c>
      <c r="H196" s="79" t="s">
        <v>339</v>
      </c>
      <c r="I196" s="80" t="n">
        <v>1</v>
      </c>
      <c r="J196" s="81" t="n">
        <v>1</v>
      </c>
      <c r="K196" s="82" t="n">
        <v>0.004</v>
      </c>
      <c r="L196" s="83" t="n">
        <v>310394148.511485</v>
      </c>
      <c r="M196" s="84" t="n">
        <v>310023120.393472</v>
      </c>
      <c r="N196" s="85" t="str">
        <f>MIN(MAX((B196-'Calculation_Assumptions'!$B$5+1)/'Calculation_Assumptions'!$B$7,0),1)</f>
      </c>
      <c r="O196" s="86" t="str">
        <f>L196*I196</f>
      </c>
      <c r="P196" s="87" t="str">
        <f>M196*I196</f>
      </c>
      <c r="Q196" s="88" t="str">
        <f>P196*'Calculation_Assumptions'!$B$14*J196*K196</f>
      </c>
      <c r="R196" s="89" t="str">
        <f>O196*N196*J196*K196</f>
      </c>
      <c r="S196" s="90" t="str">
        <f>R196-Q196</f>
      </c>
      <c r="T196" s="91" t="str">
        <f>1/(1+'Calculation_Assumptions'!$B$8)^(B196-'Calculation_Assumptions'!$B$2)</f>
      </c>
      <c r="U196" s="92" t="str">
        <f>Q196*T196</f>
      </c>
      <c r="V196" s="93" t="str">
        <f>R196*T196</f>
      </c>
      <c r="W196" s="94" t="str">
        <f>S196*T196</f>
      </c>
      <c r="X196" t="n">
        <v>0</v>
      </c>
      <c r="Y196" s="95" t="n">
        <v>2017</v>
      </c>
      <c r="Z196" t="s">
        <v>266</v>
      </c>
      <c r="AA196" s="96" t="str">
        <f>IF(G196="shared-count-once",COUNTIFS($A$2:$A$313,A196,$B$2:$B$313,B196,$D$2:$D$313,D196),1)</f>
      </c>
    </row>
    <row r="197">
      <c r="A197" t="s">
        <v>76</v>
      </c>
      <c r="B197" s="74" t="n">
        <v>2038</v>
      </c>
      <c r="C197" t="s">
        <v>187</v>
      </c>
      <c r="D197" s="75" t="s">
        <v>342</v>
      </c>
      <c r="E197" s="76" t="s">
        <v>343</v>
      </c>
      <c r="F197" s="77" t="s">
        <v>190</v>
      </c>
      <c r="G197" s="78" t="s">
        <v>337</v>
      </c>
      <c r="H197" s="79" t="s">
        <v>339</v>
      </c>
      <c r="I197" s="80" t="n">
        <v>1</v>
      </c>
      <c r="J197" s="81" t="n">
        <v>1</v>
      </c>
      <c r="K197" s="82" t="n">
        <v>0.004</v>
      </c>
      <c r="L197" s="83" t="n">
        <v>311906222.578398</v>
      </c>
      <c r="M197" s="84" t="n">
        <v>311445837.134625</v>
      </c>
      <c r="N197" s="85" t="str">
        <f>MIN(MAX((B197-'Calculation_Assumptions'!$B$5+1)/'Calculation_Assumptions'!$B$7,0),1)</f>
      </c>
      <c r="O197" s="86" t="str">
        <f>L197*I197</f>
      </c>
      <c r="P197" s="87" t="str">
        <f>M197*I197</f>
      </c>
      <c r="Q197" s="88" t="str">
        <f>P197*'Calculation_Assumptions'!$B$14*J197*K197</f>
      </c>
      <c r="R197" s="89" t="str">
        <f>O197*N197*J197*K197</f>
      </c>
      <c r="S197" s="90" t="str">
        <f>R197-Q197</f>
      </c>
      <c r="T197" s="91" t="str">
        <f>1/(1+'Calculation_Assumptions'!$B$8)^(B197-'Calculation_Assumptions'!$B$2)</f>
      </c>
      <c r="U197" s="92" t="str">
        <f>Q197*T197</f>
      </c>
      <c r="V197" s="93" t="str">
        <f>R197*T197</f>
      </c>
      <c r="W197" s="94" t="str">
        <f>S197*T197</f>
      </c>
      <c r="X197" t="n">
        <v>0</v>
      </c>
      <c r="Y197" s="95" t="n">
        <v>2017</v>
      </c>
      <c r="Z197" t="s">
        <v>266</v>
      </c>
      <c r="AA197" s="96" t="str">
        <f>IF(G197="shared-count-once",COUNTIFS($A$2:$A$313,A197,$B$2:$B$313,B197,$D$2:$D$313,D197),1)</f>
      </c>
    </row>
    <row r="198">
      <c r="A198" t="s">
        <v>76</v>
      </c>
      <c r="B198" s="74" t="n">
        <v>2039</v>
      </c>
      <c r="C198" t="s">
        <v>187</v>
      </c>
      <c r="D198" s="75" t="s">
        <v>342</v>
      </c>
      <c r="E198" s="76" t="s">
        <v>343</v>
      </c>
      <c r="F198" s="77" t="s">
        <v>190</v>
      </c>
      <c r="G198" s="78" t="s">
        <v>337</v>
      </c>
      <c r="H198" s="79" t="s">
        <v>339</v>
      </c>
      <c r="I198" s="80" t="n">
        <v>1</v>
      </c>
      <c r="J198" s="81" t="n">
        <v>1</v>
      </c>
      <c r="K198" s="82" t="n">
        <v>0.004</v>
      </c>
      <c r="L198" s="83" t="n">
        <v>313363821.520615</v>
      </c>
      <c r="M198" s="84" t="n">
        <v>312806989.715685</v>
      </c>
      <c r="N198" s="85" t="str">
        <f>MIN(MAX((B198-'Calculation_Assumptions'!$B$5+1)/'Calculation_Assumptions'!$B$7,0),1)</f>
      </c>
      <c r="O198" s="86" t="str">
        <f>L198*I198</f>
      </c>
      <c r="P198" s="87" t="str">
        <f>M198*I198</f>
      </c>
      <c r="Q198" s="88" t="str">
        <f>P198*'Calculation_Assumptions'!$B$14*J198*K198</f>
      </c>
      <c r="R198" s="89" t="str">
        <f>O198*N198*J198*K198</f>
      </c>
      <c r="S198" s="90" t="str">
        <f>R198-Q198</f>
      </c>
      <c r="T198" s="91" t="str">
        <f>1/(1+'Calculation_Assumptions'!$B$8)^(B198-'Calculation_Assumptions'!$B$2)</f>
      </c>
      <c r="U198" s="92" t="str">
        <f>Q198*T198</f>
      </c>
      <c r="V198" s="93" t="str">
        <f>R198*T198</f>
      </c>
      <c r="W198" s="94" t="str">
        <f>S198*T198</f>
      </c>
      <c r="X198" t="n">
        <v>0</v>
      </c>
      <c r="Y198" s="95" t="n">
        <v>2017</v>
      </c>
      <c r="Z198" t="s">
        <v>266</v>
      </c>
      <c r="AA198" s="96" t="str">
        <f>IF(G198="shared-count-once",COUNTIFS($A$2:$A$313,A198,$B$2:$B$313,B198,$D$2:$D$313,D198),1)</f>
      </c>
    </row>
    <row r="199">
      <c r="A199" t="s">
        <v>76</v>
      </c>
      <c r="B199" s="74" t="n">
        <v>2040</v>
      </c>
      <c r="C199" t="s">
        <v>187</v>
      </c>
      <c r="D199" s="75" t="s">
        <v>342</v>
      </c>
      <c r="E199" s="76" t="s">
        <v>343</v>
      </c>
      <c r="F199" s="77" t="s">
        <v>190</v>
      </c>
      <c r="G199" s="78" t="s">
        <v>337</v>
      </c>
      <c r="H199" s="79" t="s">
        <v>339</v>
      </c>
      <c r="I199" s="80" t="n">
        <v>1</v>
      </c>
      <c r="J199" s="81" t="n">
        <v>1</v>
      </c>
      <c r="K199" s="82" t="n">
        <v>0.004</v>
      </c>
      <c r="L199" s="83" t="n">
        <v>314768783.154633</v>
      </c>
      <c r="M199" s="84" t="n">
        <v>314109251.582649</v>
      </c>
      <c r="N199" s="85" t="str">
        <f>MIN(MAX((B199-'Calculation_Assumptions'!$B$5+1)/'Calculation_Assumptions'!$B$7,0),1)</f>
      </c>
      <c r="O199" s="86" t="str">
        <f>L199*I199</f>
      </c>
      <c r="P199" s="87" t="str">
        <f>M199*I199</f>
      </c>
      <c r="Q199" s="88" t="str">
        <f>P199*'Calculation_Assumptions'!$B$14*J199*K199</f>
      </c>
      <c r="R199" s="89" t="str">
        <f>O199*N199*J199*K199</f>
      </c>
      <c r="S199" s="90" t="str">
        <f>R199-Q199</f>
      </c>
      <c r="T199" s="91" t="str">
        <f>1/(1+'Calculation_Assumptions'!$B$8)^(B199-'Calculation_Assumptions'!$B$2)</f>
      </c>
      <c r="U199" s="92" t="str">
        <f>Q199*T199</f>
      </c>
      <c r="V199" s="93" t="str">
        <f>R199*T199</f>
      </c>
      <c r="W199" s="94" t="str">
        <f>S199*T199</f>
      </c>
      <c r="X199" t="n">
        <v>0</v>
      </c>
      <c r="Y199" s="95" t="n">
        <v>2017</v>
      </c>
      <c r="Z199" t="s">
        <v>266</v>
      </c>
      <c r="AA199" s="96" t="str">
        <f>IF(G199="shared-count-once",COUNTIFS($A$2:$A$313,A199,$B$2:$B$313,B199,$D$2:$D$313,D199),1)</f>
      </c>
    </row>
    <row r="200">
      <c r="A200" t="s">
        <v>76</v>
      </c>
      <c r="B200" s="74" t="n">
        <v>2041</v>
      </c>
      <c r="C200" t="s">
        <v>187</v>
      </c>
      <c r="D200" s="75" t="s">
        <v>342</v>
      </c>
      <c r="E200" s="76" t="s">
        <v>343</v>
      </c>
      <c r="F200" s="77" t="s">
        <v>190</v>
      </c>
      <c r="G200" s="78" t="s">
        <v>337</v>
      </c>
      <c r="H200" s="79" t="s">
        <v>339</v>
      </c>
      <c r="I200" s="80" t="n">
        <v>1</v>
      </c>
      <c r="J200" s="81" t="n">
        <v>1</v>
      </c>
      <c r="K200" s="82" t="n">
        <v>0.004</v>
      </c>
      <c r="L200" s="83" t="n">
        <v>316119789.295805</v>
      </c>
      <c r="M200" s="84" t="n">
        <v>315352079.812423</v>
      </c>
      <c r="N200" s="85" t="str">
        <f>MIN(MAX((B200-'Calculation_Assumptions'!$B$5+1)/'Calculation_Assumptions'!$B$7,0),1)</f>
      </c>
      <c r="O200" s="86" t="str">
        <f>L200*I200</f>
      </c>
      <c r="P200" s="87" t="str">
        <f>M200*I200</f>
      </c>
      <c r="Q200" s="88" t="str">
        <f>P200*'Calculation_Assumptions'!$B$14*J200*K200</f>
      </c>
      <c r="R200" s="89" t="str">
        <f>O200*N200*J200*K200</f>
      </c>
      <c r="S200" s="90" t="str">
        <f>R200-Q200</f>
      </c>
      <c r="T200" s="91" t="str">
        <f>1/(1+'Calculation_Assumptions'!$B$8)^(B200-'Calculation_Assumptions'!$B$2)</f>
      </c>
      <c r="U200" s="92" t="str">
        <f>Q200*T200</f>
      </c>
      <c r="V200" s="93" t="str">
        <f>R200*T200</f>
      </c>
      <c r="W200" s="94" t="str">
        <f>S200*T200</f>
      </c>
      <c r="X200" t="n">
        <v>0</v>
      </c>
      <c r="Y200" s="95" t="n">
        <v>2017</v>
      </c>
      <c r="Z200" t="s">
        <v>266</v>
      </c>
      <c r="AA200" s="96" t="str">
        <f>IF(G200="shared-count-once",COUNTIFS($A$2:$A$313,A200,$B$2:$B$313,B200,$D$2:$D$313,D200),1)</f>
      </c>
    </row>
    <row r="201">
      <c r="A201" t="s">
        <v>76</v>
      </c>
      <c r="B201" s="74" t="n">
        <v>2042</v>
      </c>
      <c r="C201" t="s">
        <v>187</v>
      </c>
      <c r="D201" s="75" t="s">
        <v>342</v>
      </c>
      <c r="E201" s="76" t="s">
        <v>343</v>
      </c>
      <c r="F201" s="77" t="s">
        <v>190</v>
      </c>
      <c r="G201" s="78" t="s">
        <v>337</v>
      </c>
      <c r="H201" s="79" t="s">
        <v>339</v>
      </c>
      <c r="I201" s="80" t="n">
        <v>1</v>
      </c>
      <c r="J201" s="81" t="n">
        <v>1</v>
      </c>
      <c r="K201" s="82" t="n">
        <v>0.004</v>
      </c>
      <c r="L201" s="83" t="n">
        <v>317417240.496476</v>
      </c>
      <c r="M201" s="84" t="n">
        <v>316395286.312016</v>
      </c>
      <c r="N201" s="85" t="str">
        <f>MIN(MAX((B201-'Calculation_Assumptions'!$B$5+1)/'Calculation_Assumptions'!$B$7,0),1)</f>
      </c>
      <c r="O201" s="86" t="str">
        <f>L201*I201</f>
      </c>
      <c r="P201" s="87" t="str">
        <f>M201*I201</f>
      </c>
      <c r="Q201" s="88" t="str">
        <f>P201*'Calculation_Assumptions'!$B$14*J201*K201</f>
      </c>
      <c r="R201" s="89" t="str">
        <f>O201*N201*J201*K201</f>
      </c>
      <c r="S201" s="90" t="str">
        <f>R201-Q201</f>
      </c>
      <c r="T201" s="91" t="str">
        <f>1/(1+'Calculation_Assumptions'!$B$8)^(B201-'Calculation_Assumptions'!$B$2)</f>
      </c>
      <c r="U201" s="92" t="str">
        <f>Q201*T201</f>
      </c>
      <c r="V201" s="93" t="str">
        <f>R201*T201</f>
      </c>
      <c r="W201" s="94" t="str">
        <f>S201*T201</f>
      </c>
      <c r="X201" t="n">
        <v>0</v>
      </c>
      <c r="Y201" s="95" t="n">
        <v>2017</v>
      </c>
      <c r="Z201" t="s">
        <v>266</v>
      </c>
      <c r="AA201" s="96" t="str">
        <f>IF(G201="shared-count-once",COUNTIFS($A$2:$A$313,A201,$B$2:$B$313,B201,$D$2:$D$313,D201),1)</f>
      </c>
    </row>
    <row r="202">
      <c r="A202" t="s">
        <v>76</v>
      </c>
      <c r="B202" s="74" t="n">
        <v>2043</v>
      </c>
      <c r="C202" t="s">
        <v>187</v>
      </c>
      <c r="D202" s="75" t="s">
        <v>342</v>
      </c>
      <c r="E202" s="76" t="s">
        <v>343</v>
      </c>
      <c r="F202" s="77" t="s">
        <v>190</v>
      </c>
      <c r="G202" s="78" t="s">
        <v>337</v>
      </c>
      <c r="H202" s="79" t="s">
        <v>339</v>
      </c>
      <c r="I202" s="80" t="n">
        <v>1</v>
      </c>
      <c r="J202" s="81" t="n">
        <v>1</v>
      </c>
      <c r="K202" s="82" t="n">
        <v>0.004</v>
      </c>
      <c r="L202" s="83" t="n">
        <v>318779591.219905</v>
      </c>
      <c r="M202" s="84" t="n">
        <v>317619735.688289</v>
      </c>
      <c r="N202" s="85" t="str">
        <f>MIN(MAX((B202-'Calculation_Assumptions'!$B$5+1)/'Calculation_Assumptions'!$B$7,0),1)</f>
      </c>
      <c r="O202" s="86" t="str">
        <f>L202*I202</f>
      </c>
      <c r="P202" s="87" t="str">
        <f>M202*I202</f>
      </c>
      <c r="Q202" s="88" t="str">
        <f>P202*'Calculation_Assumptions'!$B$14*J202*K202</f>
      </c>
      <c r="R202" s="89" t="str">
        <f>O202*N202*J202*K202</f>
      </c>
      <c r="S202" s="90" t="str">
        <f>R202-Q202</f>
      </c>
      <c r="T202" s="91" t="str">
        <f>1/(1+'Calculation_Assumptions'!$B$8)^(B202-'Calculation_Assumptions'!$B$2)</f>
      </c>
      <c r="U202" s="92" t="str">
        <f>Q202*T202</f>
      </c>
      <c r="V202" s="93" t="str">
        <f>R202*T202</f>
      </c>
      <c r="W202" s="94" t="str">
        <f>S202*T202</f>
      </c>
      <c r="X202" t="n">
        <v>0</v>
      </c>
      <c r="Y202" s="95" t="n">
        <v>2017</v>
      </c>
      <c r="Z202" t="s">
        <v>266</v>
      </c>
      <c r="AA202" s="96" t="str">
        <f>IF(G202="shared-count-once",COUNTIFS($A$2:$A$313,A202,$B$2:$B$313,B202,$D$2:$D$313,D202),1)</f>
      </c>
    </row>
    <row r="203">
      <c r="A203" t="s">
        <v>76</v>
      </c>
      <c r="B203" s="74" t="n">
        <v>2044</v>
      </c>
      <c r="C203" t="s">
        <v>187</v>
      </c>
      <c r="D203" s="75" t="s">
        <v>342</v>
      </c>
      <c r="E203" s="76" t="s">
        <v>343</v>
      </c>
      <c r="F203" s="77" t="s">
        <v>190</v>
      </c>
      <c r="G203" s="78" t="s">
        <v>337</v>
      </c>
      <c r="H203" s="79" t="s">
        <v>339</v>
      </c>
      <c r="I203" s="80" t="n">
        <v>1</v>
      </c>
      <c r="J203" s="81" t="n">
        <v>1</v>
      </c>
      <c r="K203" s="82" t="n">
        <v>0.004</v>
      </c>
      <c r="L203" s="83" t="n">
        <v>319985562.367227</v>
      </c>
      <c r="M203" s="84" t="n">
        <v>318697135.863652</v>
      </c>
      <c r="N203" s="85" t="str">
        <f>MIN(MAX((B203-'Calculation_Assumptions'!$B$5+1)/'Calculation_Assumptions'!$B$7,0),1)</f>
      </c>
      <c r="O203" s="86" t="str">
        <f>L203*I203</f>
      </c>
      <c r="P203" s="87" t="str">
        <f>M203*I203</f>
      </c>
      <c r="Q203" s="88" t="str">
        <f>P203*'Calculation_Assumptions'!$B$14*J203*K203</f>
      </c>
      <c r="R203" s="89" t="str">
        <f>O203*N203*J203*K203</f>
      </c>
      <c r="S203" s="90" t="str">
        <f>R203-Q203</f>
      </c>
      <c r="T203" s="91" t="str">
        <f>1/(1+'Calculation_Assumptions'!$B$8)^(B203-'Calculation_Assumptions'!$B$2)</f>
      </c>
      <c r="U203" s="92" t="str">
        <f>Q203*T203</f>
      </c>
      <c r="V203" s="93" t="str">
        <f>R203*T203</f>
      </c>
      <c r="W203" s="94" t="str">
        <f>S203*T203</f>
      </c>
      <c r="X203" t="n">
        <v>0</v>
      </c>
      <c r="Y203" s="95" t="n">
        <v>2017</v>
      </c>
      <c r="Z203" t="s">
        <v>266</v>
      </c>
      <c r="AA203" s="96" t="str">
        <f>IF(G203="shared-count-once",COUNTIFS($A$2:$A$313,A203,$B$2:$B$313,B203,$D$2:$D$313,D203),1)</f>
      </c>
    </row>
    <row r="204">
      <c r="A204" t="s">
        <v>76</v>
      </c>
      <c r="B204" s="74" t="n">
        <v>2045</v>
      </c>
      <c r="C204" t="s">
        <v>187</v>
      </c>
      <c r="D204" s="75" t="s">
        <v>342</v>
      </c>
      <c r="E204" s="76" t="s">
        <v>343</v>
      </c>
      <c r="F204" s="77" t="s">
        <v>190</v>
      </c>
      <c r="G204" s="78" t="s">
        <v>337</v>
      </c>
      <c r="H204" s="79" t="s">
        <v>339</v>
      </c>
      <c r="I204" s="80" t="n">
        <v>1</v>
      </c>
      <c r="J204" s="81" t="n">
        <v>1</v>
      </c>
      <c r="K204" s="82" t="n">
        <v>0.004</v>
      </c>
      <c r="L204" s="83" t="n">
        <v>320960972.3861</v>
      </c>
      <c r="M204" s="84" t="n">
        <v>319717840.85179</v>
      </c>
      <c r="N204" s="85" t="str">
        <f>MIN(MAX((B204-'Calculation_Assumptions'!$B$5+1)/'Calculation_Assumptions'!$B$7,0),1)</f>
      </c>
      <c r="O204" s="86" t="str">
        <f>L204*I204</f>
      </c>
      <c r="P204" s="87" t="str">
        <f>M204*I204</f>
      </c>
      <c r="Q204" s="88" t="str">
        <f>P204*'Calculation_Assumptions'!$B$14*J204*K204</f>
      </c>
      <c r="R204" s="89" t="str">
        <f>O204*N204*J204*K204</f>
      </c>
      <c r="S204" s="90" t="str">
        <f>R204-Q204</f>
      </c>
      <c r="T204" s="91" t="str">
        <f>1/(1+'Calculation_Assumptions'!$B$8)^(B204-'Calculation_Assumptions'!$B$2)</f>
      </c>
      <c r="U204" s="92" t="str">
        <f>Q204*T204</f>
      </c>
      <c r="V204" s="93" t="str">
        <f>R204*T204</f>
      </c>
      <c r="W204" s="94" t="str">
        <f>S204*T204</f>
      </c>
      <c r="X204" t="n">
        <v>0</v>
      </c>
      <c r="Y204" s="95" t="n">
        <v>2017</v>
      </c>
      <c r="Z204" t="s">
        <v>266</v>
      </c>
      <c r="AA204" s="96" t="str">
        <f>IF(G204="shared-count-once",COUNTIFS($A$2:$A$313,A204,$B$2:$B$313,B204,$D$2:$D$313,D204),1)</f>
      </c>
    </row>
    <row r="205">
      <c r="A205" t="s">
        <v>76</v>
      </c>
      <c r="B205" s="74" t="n">
        <v>2046</v>
      </c>
      <c r="C205" t="s">
        <v>187</v>
      </c>
      <c r="D205" s="75" t="s">
        <v>342</v>
      </c>
      <c r="E205" s="76" t="s">
        <v>343</v>
      </c>
      <c r="F205" s="77" t="s">
        <v>190</v>
      </c>
      <c r="G205" s="78" t="s">
        <v>337</v>
      </c>
      <c r="H205" s="79" t="s">
        <v>339</v>
      </c>
      <c r="I205" s="80" t="n">
        <v>1</v>
      </c>
      <c r="J205" s="81" t="n">
        <v>1</v>
      </c>
      <c r="K205" s="82" t="n">
        <v>0.004</v>
      </c>
      <c r="L205" s="83" t="n">
        <v>322053582.24951</v>
      </c>
      <c r="M205" s="84" t="n">
        <v>320683879.806276</v>
      </c>
      <c r="N205" s="85" t="str">
        <f>MIN(MAX((B205-'Calculation_Assumptions'!$B$5+1)/'Calculation_Assumptions'!$B$7,0),1)</f>
      </c>
      <c r="O205" s="86" t="str">
        <f>L205*I205</f>
      </c>
      <c r="P205" s="87" t="str">
        <f>M205*I205</f>
      </c>
      <c r="Q205" s="88" t="str">
        <f>P205*'Calculation_Assumptions'!$B$14*J205*K205</f>
      </c>
      <c r="R205" s="89" t="str">
        <f>O205*N205*J205*K205</f>
      </c>
      <c r="S205" s="90" t="str">
        <f>R205-Q205</f>
      </c>
      <c r="T205" s="91" t="str">
        <f>1/(1+'Calculation_Assumptions'!$B$8)^(B205-'Calculation_Assumptions'!$B$2)</f>
      </c>
      <c r="U205" s="92" t="str">
        <f>Q205*T205</f>
      </c>
      <c r="V205" s="93" t="str">
        <f>R205*T205</f>
      </c>
      <c r="W205" s="94" t="str">
        <f>S205*T205</f>
      </c>
      <c r="X205" t="n">
        <v>0</v>
      </c>
      <c r="Y205" s="95" t="n">
        <v>2017</v>
      </c>
      <c r="Z205" t="s">
        <v>266</v>
      </c>
      <c r="AA205" s="96" t="str">
        <f>IF(G205="shared-count-once",COUNTIFS($A$2:$A$313,A205,$B$2:$B$313,B205,$D$2:$D$313,D205),1)</f>
      </c>
    </row>
    <row r="206">
      <c r="A206" t="s">
        <v>76</v>
      </c>
      <c r="B206" s="74" t="n">
        <v>2047</v>
      </c>
      <c r="C206" t="s">
        <v>187</v>
      </c>
      <c r="D206" s="75" t="s">
        <v>342</v>
      </c>
      <c r="E206" s="76" t="s">
        <v>343</v>
      </c>
      <c r="F206" s="77" t="s">
        <v>190</v>
      </c>
      <c r="G206" s="78" t="s">
        <v>337</v>
      </c>
      <c r="H206" s="79" t="s">
        <v>339</v>
      </c>
      <c r="I206" s="80" t="n">
        <v>1</v>
      </c>
      <c r="J206" s="81" t="n">
        <v>1</v>
      </c>
      <c r="K206" s="82" t="n">
        <v>0.004</v>
      </c>
      <c r="L206" s="83" t="n">
        <v>323093320.95173</v>
      </c>
      <c r="M206" s="84" t="n">
        <v>321595541.389526</v>
      </c>
      <c r="N206" s="85" t="str">
        <f>MIN(MAX((B206-'Calculation_Assumptions'!$B$5+1)/'Calculation_Assumptions'!$B$7,0),1)</f>
      </c>
      <c r="O206" s="86" t="str">
        <f>L206*I206</f>
      </c>
      <c r="P206" s="87" t="str">
        <f>M206*I206</f>
      </c>
      <c r="Q206" s="88" t="str">
        <f>P206*'Calculation_Assumptions'!$B$14*J206*K206</f>
      </c>
      <c r="R206" s="89" t="str">
        <f>O206*N206*J206*K206</f>
      </c>
      <c r="S206" s="90" t="str">
        <f>R206-Q206</f>
      </c>
      <c r="T206" s="91" t="str">
        <f>1/(1+'Calculation_Assumptions'!$B$8)^(B206-'Calculation_Assumptions'!$B$2)</f>
      </c>
      <c r="U206" s="92" t="str">
        <f>Q206*T206</f>
      </c>
      <c r="V206" s="93" t="str">
        <f>R206*T206</f>
      </c>
      <c r="W206" s="94" t="str">
        <f>S206*T206</f>
      </c>
      <c r="X206" t="n">
        <v>0</v>
      </c>
      <c r="Y206" s="95" t="n">
        <v>2017</v>
      </c>
      <c r="Z206" t="s">
        <v>266</v>
      </c>
      <c r="AA206" s="96" t="str">
        <f>IF(G206="shared-count-once",COUNTIFS($A$2:$A$313,A206,$B$2:$B$313,B206,$D$2:$D$313,D206),1)</f>
      </c>
    </row>
    <row r="207">
      <c r="A207" t="s">
        <v>76</v>
      </c>
      <c r="B207" s="74" t="n">
        <v>2048</v>
      </c>
      <c r="C207" t="s">
        <v>187</v>
      </c>
      <c r="D207" s="75" t="s">
        <v>342</v>
      </c>
      <c r="E207" s="76" t="s">
        <v>343</v>
      </c>
      <c r="F207" s="77" t="s">
        <v>190</v>
      </c>
      <c r="G207" s="78" t="s">
        <v>337</v>
      </c>
      <c r="H207" s="79" t="s">
        <v>339</v>
      </c>
      <c r="I207" s="80" t="n">
        <v>1</v>
      </c>
      <c r="J207" s="81" t="n">
        <v>1</v>
      </c>
      <c r="K207" s="82" t="n">
        <v>0.004</v>
      </c>
      <c r="L207" s="83" t="n">
        <v>324080784.775173</v>
      </c>
      <c r="M207" s="84" t="n">
        <v>322453622.669464</v>
      </c>
      <c r="N207" s="85" t="str">
        <f>MIN(MAX((B207-'Calculation_Assumptions'!$B$5+1)/'Calculation_Assumptions'!$B$7,0),1)</f>
      </c>
      <c r="O207" s="86" t="str">
        <f>L207*I207</f>
      </c>
      <c r="P207" s="87" t="str">
        <f>M207*I207</f>
      </c>
      <c r="Q207" s="88" t="str">
        <f>P207*'Calculation_Assumptions'!$B$14*J207*K207</f>
      </c>
      <c r="R207" s="89" t="str">
        <f>O207*N207*J207*K207</f>
      </c>
      <c r="S207" s="90" t="str">
        <f>R207-Q207</f>
      </c>
      <c r="T207" s="91" t="str">
        <f>1/(1+'Calculation_Assumptions'!$B$8)^(B207-'Calculation_Assumptions'!$B$2)</f>
      </c>
      <c r="U207" s="92" t="str">
        <f>Q207*T207</f>
      </c>
      <c r="V207" s="93" t="str">
        <f>R207*T207</f>
      </c>
      <c r="W207" s="94" t="str">
        <f>S207*T207</f>
      </c>
      <c r="X207" t="n">
        <v>0</v>
      </c>
      <c r="Y207" s="95" t="n">
        <v>2017</v>
      </c>
      <c r="Z207" t="s">
        <v>266</v>
      </c>
      <c r="AA207" s="96" t="str">
        <f>IF(G207="shared-count-once",COUNTIFS($A$2:$A$313,A207,$B$2:$B$313,B207,$D$2:$D$313,D207),1)</f>
      </c>
    </row>
    <row r="208">
      <c r="A208" t="s">
        <v>76</v>
      </c>
      <c r="B208" s="74" t="n">
        <v>2049</v>
      </c>
      <c r="C208" t="s">
        <v>187</v>
      </c>
      <c r="D208" s="75" t="s">
        <v>342</v>
      </c>
      <c r="E208" s="76" t="s">
        <v>343</v>
      </c>
      <c r="F208" s="77" t="s">
        <v>190</v>
      </c>
      <c r="G208" s="78" t="s">
        <v>337</v>
      </c>
      <c r="H208" s="79" t="s">
        <v>339</v>
      </c>
      <c r="I208" s="80" t="n">
        <v>1</v>
      </c>
      <c r="J208" s="81" t="n">
        <v>1</v>
      </c>
      <c r="K208" s="82" t="n">
        <v>0.004</v>
      </c>
      <c r="L208" s="83" t="n">
        <v>325016726.583355</v>
      </c>
      <c r="M208" s="84" t="n">
        <v>323259246.716719</v>
      </c>
      <c r="N208" s="85" t="str">
        <f>MIN(MAX((B208-'Calculation_Assumptions'!$B$5+1)/'Calculation_Assumptions'!$B$7,0),1)</f>
      </c>
      <c r="O208" s="86" t="str">
        <f>L208*I208</f>
      </c>
      <c r="P208" s="87" t="str">
        <f>M208*I208</f>
      </c>
      <c r="Q208" s="88" t="str">
        <f>P208*'Calculation_Assumptions'!$B$14*J208*K208</f>
      </c>
      <c r="R208" s="89" t="str">
        <f>O208*N208*J208*K208</f>
      </c>
      <c r="S208" s="90" t="str">
        <f>R208-Q208</f>
      </c>
      <c r="T208" s="91" t="str">
        <f>1/(1+'Calculation_Assumptions'!$B$8)^(B208-'Calculation_Assumptions'!$B$2)</f>
      </c>
      <c r="U208" s="92" t="str">
        <f>Q208*T208</f>
      </c>
      <c r="V208" s="93" t="str">
        <f>R208*T208</f>
      </c>
      <c r="W208" s="94" t="str">
        <f>S208*T208</f>
      </c>
      <c r="X208" t="n">
        <v>0</v>
      </c>
      <c r="Y208" s="95" t="n">
        <v>2017</v>
      </c>
      <c r="Z208" t="s">
        <v>266</v>
      </c>
      <c r="AA208" s="96" t="str">
        <f>IF(G208="shared-count-once",COUNTIFS($A$2:$A$313,A208,$B$2:$B$313,B208,$D$2:$D$313,D208),1)</f>
      </c>
    </row>
    <row r="209">
      <c r="A209" t="s">
        <v>76</v>
      </c>
      <c r="B209" s="74" t="n">
        <v>2050</v>
      </c>
      <c r="C209" t="s">
        <v>187</v>
      </c>
      <c r="D209" s="75" t="s">
        <v>342</v>
      </c>
      <c r="E209" s="76" t="s">
        <v>343</v>
      </c>
      <c r="F209" s="77" t="s">
        <v>190</v>
      </c>
      <c r="G209" s="78" t="s">
        <v>337</v>
      </c>
      <c r="H209" s="79" t="s">
        <v>339</v>
      </c>
      <c r="I209" s="80" t="n">
        <v>1</v>
      </c>
      <c r="J209" s="81" t="n">
        <v>1</v>
      </c>
      <c r="K209" s="82" t="n">
        <v>0.004</v>
      </c>
      <c r="L209" s="83" t="n">
        <v>325902090.730916</v>
      </c>
      <c r="M209" s="84" t="n">
        <v>324013738.182479</v>
      </c>
      <c r="N209" s="85" t="str">
        <f>MIN(MAX((B209-'Calculation_Assumptions'!$B$5+1)/'Calculation_Assumptions'!$B$7,0),1)</f>
      </c>
      <c r="O209" s="86" t="str">
        <f>L209*I209</f>
      </c>
      <c r="P209" s="87" t="str">
        <f>M209*I209</f>
      </c>
      <c r="Q209" s="88" t="str">
        <f>P209*'Calculation_Assumptions'!$B$14*J209*K209</f>
      </c>
      <c r="R209" s="89" t="str">
        <f>O209*N209*J209*K209</f>
      </c>
      <c r="S209" s="90" t="str">
        <f>R209-Q209</f>
      </c>
      <c r="T209" s="91" t="str">
        <f>1/(1+'Calculation_Assumptions'!$B$8)^(B209-'Calculation_Assumptions'!$B$2)</f>
      </c>
      <c r="U209" s="92" t="str">
        <f>Q209*T209</f>
      </c>
      <c r="V209" s="93" t="str">
        <f>R209*T209</f>
      </c>
      <c r="W209" s="94" t="str">
        <f>S209*T209</f>
      </c>
      <c r="X209" t="n">
        <v>0</v>
      </c>
      <c r="Y209" s="95" t="n">
        <v>2017</v>
      </c>
      <c r="Z209" t="s">
        <v>266</v>
      </c>
      <c r="AA209" s="96" t="str">
        <f>IF(G209="shared-count-once",COUNTIFS($A$2:$A$313,A209,$B$2:$B$313,B209,$D$2:$D$313,D209),1)</f>
      </c>
    </row>
    <row r="210">
      <c r="A210" t="s">
        <v>76</v>
      </c>
      <c r="B210" s="74" t="n">
        <v>2025</v>
      </c>
      <c r="C210" t="s">
        <v>195</v>
      </c>
      <c r="D210" s="75" t="s">
        <v>344</v>
      </c>
      <c r="E210" s="76" t="s">
        <v>345</v>
      </c>
      <c r="F210" s="77" t="s">
        <v>199</v>
      </c>
      <c r="G210" s="78" t="s">
        <v>337</v>
      </c>
      <c r="H210" s="79" t="s">
        <v>339</v>
      </c>
      <c r="I210" s="80" t="n">
        <v>1</v>
      </c>
      <c r="J210" s="81" t="n">
        <v>1</v>
      </c>
      <c r="K210" s="82" t="n">
        <v>0.0351</v>
      </c>
      <c r="L210" s="83" t="n">
        <v>288000821.106462</v>
      </c>
      <c r="M210" s="84" t="n">
        <v>288000821.106462</v>
      </c>
      <c r="N210" s="85" t="str">
        <f>MIN(MAX((B210-'Calculation_Assumptions'!$B$5+1)/'Calculation_Assumptions'!$B$7,0),1)</f>
      </c>
      <c r="O210" s="86" t="str">
        <f>L210*I210</f>
      </c>
      <c r="P210" s="87" t="str">
        <f>M210*I210</f>
      </c>
      <c r="Q210" s="88" t="str">
        <f>P210*'Calculation_Assumptions'!$B$14*J210*K210</f>
      </c>
      <c r="R210" s="89" t="str">
        <f>O210*N210*J210*K210</f>
      </c>
      <c r="S210" s="90" t="str">
        <f>R210-Q210</f>
      </c>
      <c r="T210" s="91" t="str">
        <f>1/(1+'Calculation_Assumptions'!$B$8)^(B210-'Calculation_Assumptions'!$B$2)</f>
      </c>
      <c r="U210" s="92" t="str">
        <f>Q210*T210</f>
      </c>
      <c r="V210" s="93" t="str">
        <f>R210*T210</f>
      </c>
      <c r="W210" s="94" t="str">
        <f>S210*T210</f>
      </c>
      <c r="X210" t="n">
        <v>0</v>
      </c>
      <c r="Y210" s="95" t="n">
        <v>2017</v>
      </c>
      <c r="Z210" t="s">
        <v>266</v>
      </c>
      <c r="AA210" s="96" t="str">
        <f>IF(G210="shared-count-once",COUNTIFS($A$2:$A$313,A210,$B$2:$B$313,B210,$D$2:$D$313,D210),1)</f>
      </c>
    </row>
    <row r="211">
      <c r="A211" t="s">
        <v>76</v>
      </c>
      <c r="B211" s="74" t="n">
        <v>2026</v>
      </c>
      <c r="C211" t="s">
        <v>195</v>
      </c>
      <c r="D211" s="75" t="s">
        <v>344</v>
      </c>
      <c r="E211" s="76" t="s">
        <v>345</v>
      </c>
      <c r="F211" s="77" t="s">
        <v>199</v>
      </c>
      <c r="G211" s="78" t="s">
        <v>337</v>
      </c>
      <c r="H211" s="79" t="s">
        <v>339</v>
      </c>
      <c r="I211" s="80" t="n">
        <v>1</v>
      </c>
      <c r="J211" s="81" t="n">
        <v>1</v>
      </c>
      <c r="K211" s="82" t="n">
        <v>0.0351</v>
      </c>
      <c r="L211" s="83" t="n">
        <v>290123496.103219</v>
      </c>
      <c r="M211" s="84" t="n">
        <v>290123496.103219</v>
      </c>
      <c r="N211" s="85" t="str">
        <f>MIN(MAX((B211-'Calculation_Assumptions'!$B$5+1)/'Calculation_Assumptions'!$B$7,0),1)</f>
      </c>
      <c r="O211" s="86" t="str">
        <f>L211*I211</f>
      </c>
      <c r="P211" s="87" t="str">
        <f>M211*I211</f>
      </c>
      <c r="Q211" s="88" t="str">
        <f>P211*'Calculation_Assumptions'!$B$14*J211*K211</f>
      </c>
      <c r="R211" s="89" t="str">
        <f>O211*N211*J211*K211</f>
      </c>
      <c r="S211" s="90" t="str">
        <f>R211-Q211</f>
      </c>
      <c r="T211" s="91" t="str">
        <f>1/(1+'Calculation_Assumptions'!$B$8)^(B211-'Calculation_Assumptions'!$B$2)</f>
      </c>
      <c r="U211" s="92" t="str">
        <f>Q211*T211</f>
      </c>
      <c r="V211" s="93" t="str">
        <f>R211*T211</f>
      </c>
      <c r="W211" s="94" t="str">
        <f>S211*T211</f>
      </c>
      <c r="X211" t="n">
        <v>0</v>
      </c>
      <c r="Y211" s="95" t="n">
        <v>2017</v>
      </c>
      <c r="Z211" t="s">
        <v>266</v>
      </c>
      <c r="AA211" s="96" t="str">
        <f>IF(G211="shared-count-once",COUNTIFS($A$2:$A$313,A211,$B$2:$B$313,B211,$D$2:$D$313,D211),1)</f>
      </c>
    </row>
    <row r="212">
      <c r="A212" t="s">
        <v>76</v>
      </c>
      <c r="B212" s="74" t="n">
        <v>2027</v>
      </c>
      <c r="C212" t="s">
        <v>195</v>
      </c>
      <c r="D212" s="75" t="s">
        <v>344</v>
      </c>
      <c r="E212" s="76" t="s">
        <v>345</v>
      </c>
      <c r="F212" s="77" t="s">
        <v>199</v>
      </c>
      <c r="G212" s="78" t="s">
        <v>337</v>
      </c>
      <c r="H212" s="79" t="s">
        <v>339</v>
      </c>
      <c r="I212" s="80" t="n">
        <v>1</v>
      </c>
      <c r="J212" s="81" t="n">
        <v>1</v>
      </c>
      <c r="K212" s="82" t="n">
        <v>0.0351</v>
      </c>
      <c r="L212" s="83" t="n">
        <v>292252895.096956</v>
      </c>
      <c r="M212" s="84" t="n">
        <v>292252895.096956</v>
      </c>
      <c r="N212" s="85" t="str">
        <f>MIN(MAX((B212-'Calculation_Assumptions'!$B$5+1)/'Calculation_Assumptions'!$B$7,0),1)</f>
      </c>
      <c r="O212" s="86" t="str">
        <f>L212*I212</f>
      </c>
      <c r="P212" s="87" t="str">
        <f>M212*I212</f>
      </c>
      <c r="Q212" s="88" t="str">
        <f>P212*'Calculation_Assumptions'!$B$14*J212*K212</f>
      </c>
      <c r="R212" s="89" t="str">
        <f>O212*N212*J212*K212</f>
      </c>
      <c r="S212" s="90" t="str">
        <f>R212-Q212</f>
      </c>
      <c r="T212" s="91" t="str">
        <f>1/(1+'Calculation_Assumptions'!$B$8)^(B212-'Calculation_Assumptions'!$B$2)</f>
      </c>
      <c r="U212" s="92" t="str">
        <f>Q212*T212</f>
      </c>
      <c r="V212" s="93" t="str">
        <f>R212*T212</f>
      </c>
      <c r="W212" s="94" t="str">
        <f>S212*T212</f>
      </c>
      <c r="X212" t="n">
        <v>0</v>
      </c>
      <c r="Y212" s="95" t="n">
        <v>2017</v>
      </c>
      <c r="Z212" t="s">
        <v>266</v>
      </c>
      <c r="AA212" s="96" t="str">
        <f>IF(G212="shared-count-once",COUNTIFS($A$2:$A$313,A212,$B$2:$B$313,B212,$D$2:$D$313,D212),1)</f>
      </c>
    </row>
    <row r="213">
      <c r="A213" t="s">
        <v>76</v>
      </c>
      <c r="B213" s="74" t="n">
        <v>2028</v>
      </c>
      <c r="C213" t="s">
        <v>195</v>
      </c>
      <c r="D213" s="75" t="s">
        <v>344</v>
      </c>
      <c r="E213" s="76" t="s">
        <v>345</v>
      </c>
      <c r="F213" s="77" t="s">
        <v>199</v>
      </c>
      <c r="G213" s="78" t="s">
        <v>337</v>
      </c>
      <c r="H213" s="79" t="s">
        <v>339</v>
      </c>
      <c r="I213" s="80" t="n">
        <v>1</v>
      </c>
      <c r="J213" s="81" t="n">
        <v>1</v>
      </c>
      <c r="K213" s="82" t="n">
        <v>0.0351</v>
      </c>
      <c r="L213" s="83" t="n">
        <v>294318750.706066</v>
      </c>
      <c r="M213" s="84" t="n">
        <v>294314895.305465</v>
      </c>
      <c r="N213" s="85" t="str">
        <f>MIN(MAX((B213-'Calculation_Assumptions'!$B$5+1)/'Calculation_Assumptions'!$B$7,0),1)</f>
      </c>
      <c r="O213" s="86" t="str">
        <f>L213*I213</f>
      </c>
      <c r="P213" s="87" t="str">
        <f>M213*I213</f>
      </c>
      <c r="Q213" s="88" t="str">
        <f>P213*'Calculation_Assumptions'!$B$14*J213*K213</f>
      </c>
      <c r="R213" s="89" t="str">
        <f>O213*N213*J213*K213</f>
      </c>
      <c r="S213" s="90" t="str">
        <f>R213-Q213</f>
      </c>
      <c r="T213" s="91" t="str">
        <f>1/(1+'Calculation_Assumptions'!$B$8)^(B213-'Calculation_Assumptions'!$B$2)</f>
      </c>
      <c r="U213" s="92" t="str">
        <f>Q213*T213</f>
      </c>
      <c r="V213" s="93" t="str">
        <f>R213*T213</f>
      </c>
      <c r="W213" s="94" t="str">
        <f>S213*T213</f>
      </c>
      <c r="X213" t="n">
        <v>0</v>
      </c>
      <c r="Y213" s="95" t="n">
        <v>2017</v>
      </c>
      <c r="Z213" t="s">
        <v>266</v>
      </c>
      <c r="AA213" s="96" t="str">
        <f>IF(G213="shared-count-once",COUNTIFS($A$2:$A$313,A213,$B$2:$B$313,B213,$D$2:$D$313,D213),1)</f>
      </c>
    </row>
    <row r="214">
      <c r="A214" t="s">
        <v>76</v>
      </c>
      <c r="B214" s="74" t="n">
        <v>2029</v>
      </c>
      <c r="C214" t="s">
        <v>195</v>
      </c>
      <c r="D214" s="75" t="s">
        <v>344</v>
      </c>
      <c r="E214" s="76" t="s">
        <v>345</v>
      </c>
      <c r="F214" s="77" t="s">
        <v>199</v>
      </c>
      <c r="G214" s="78" t="s">
        <v>337</v>
      </c>
      <c r="H214" s="79" t="s">
        <v>339</v>
      </c>
      <c r="I214" s="80" t="n">
        <v>1</v>
      </c>
      <c r="J214" s="81" t="n">
        <v>1</v>
      </c>
      <c r="K214" s="82" t="n">
        <v>0.0351</v>
      </c>
      <c r="L214" s="83" t="n">
        <v>296356322.266156</v>
      </c>
      <c r="M214" s="84" t="n">
        <v>296341062.542853</v>
      </c>
      <c r="N214" s="85" t="str">
        <f>MIN(MAX((B214-'Calculation_Assumptions'!$B$5+1)/'Calculation_Assumptions'!$B$7,0),1)</f>
      </c>
      <c r="O214" s="86" t="str">
        <f>L214*I214</f>
      </c>
      <c r="P214" s="87" t="str">
        <f>M214*I214</f>
      </c>
      <c r="Q214" s="88" t="str">
        <f>P214*'Calculation_Assumptions'!$B$14*J214*K214</f>
      </c>
      <c r="R214" s="89" t="str">
        <f>O214*N214*J214*K214</f>
      </c>
      <c r="S214" s="90" t="str">
        <f>R214-Q214</f>
      </c>
      <c r="T214" s="91" t="str">
        <f>1/(1+'Calculation_Assumptions'!$B$8)^(B214-'Calculation_Assumptions'!$B$2)</f>
      </c>
      <c r="U214" s="92" t="str">
        <f>Q214*T214</f>
      </c>
      <c r="V214" s="93" t="str">
        <f>R214*T214</f>
      </c>
      <c r="W214" s="94" t="str">
        <f>S214*T214</f>
      </c>
      <c r="X214" t="n">
        <v>0</v>
      </c>
      <c r="Y214" s="95" t="n">
        <v>2017</v>
      </c>
      <c r="Z214" t="s">
        <v>266</v>
      </c>
      <c r="AA214" s="96" t="str">
        <f>IF(G214="shared-count-once",COUNTIFS($A$2:$A$313,A214,$B$2:$B$313,B214,$D$2:$D$313,D214),1)</f>
      </c>
    </row>
    <row r="215">
      <c r="A215" t="s">
        <v>76</v>
      </c>
      <c r="B215" s="74" t="n">
        <v>2030</v>
      </c>
      <c r="C215" t="s">
        <v>195</v>
      </c>
      <c r="D215" s="75" t="s">
        <v>344</v>
      </c>
      <c r="E215" s="76" t="s">
        <v>345</v>
      </c>
      <c r="F215" s="77" t="s">
        <v>199</v>
      </c>
      <c r="G215" s="78" t="s">
        <v>337</v>
      </c>
      <c r="H215" s="79" t="s">
        <v>339</v>
      </c>
      <c r="I215" s="80" t="n">
        <v>1</v>
      </c>
      <c r="J215" s="81" t="n">
        <v>1</v>
      </c>
      <c r="K215" s="82" t="n">
        <v>0.0351</v>
      </c>
      <c r="L215" s="83" t="n">
        <v>298317004.678736</v>
      </c>
      <c r="M215" s="84" t="n">
        <v>298280286.057263</v>
      </c>
      <c r="N215" s="85" t="str">
        <f>MIN(MAX((B215-'Calculation_Assumptions'!$B$5+1)/'Calculation_Assumptions'!$B$7,0),1)</f>
      </c>
      <c r="O215" s="86" t="str">
        <f>L215*I215</f>
      </c>
      <c r="P215" s="87" t="str">
        <f>M215*I215</f>
      </c>
      <c r="Q215" s="88" t="str">
        <f>P215*'Calculation_Assumptions'!$B$14*J215*K215</f>
      </c>
      <c r="R215" s="89" t="str">
        <f>O215*N215*J215*K215</f>
      </c>
      <c r="S215" s="90" t="str">
        <f>R215-Q215</f>
      </c>
      <c r="T215" s="91" t="str">
        <f>1/(1+'Calculation_Assumptions'!$B$8)^(B215-'Calculation_Assumptions'!$B$2)</f>
      </c>
      <c r="U215" s="92" t="str">
        <f>Q215*T215</f>
      </c>
      <c r="V215" s="93" t="str">
        <f>R215*T215</f>
      </c>
      <c r="W215" s="94" t="str">
        <f>S215*T215</f>
      </c>
      <c r="X215" t="n">
        <v>0</v>
      </c>
      <c r="Y215" s="95" t="n">
        <v>2017</v>
      </c>
      <c r="Z215" t="s">
        <v>266</v>
      </c>
      <c r="AA215" s="96" t="str">
        <f>IF(G215="shared-count-once",COUNTIFS($A$2:$A$313,A215,$B$2:$B$313,B215,$D$2:$D$313,D215),1)</f>
      </c>
    </row>
    <row r="216">
      <c r="A216" t="s">
        <v>76</v>
      </c>
      <c r="B216" s="74" t="n">
        <v>2031</v>
      </c>
      <c r="C216" t="s">
        <v>195</v>
      </c>
      <c r="D216" s="75" t="s">
        <v>344</v>
      </c>
      <c r="E216" s="76" t="s">
        <v>345</v>
      </c>
      <c r="F216" s="77" t="s">
        <v>199</v>
      </c>
      <c r="G216" s="78" t="s">
        <v>337</v>
      </c>
      <c r="H216" s="79" t="s">
        <v>339</v>
      </c>
      <c r="I216" s="80" t="n">
        <v>1</v>
      </c>
      <c r="J216" s="81" t="n">
        <v>1</v>
      </c>
      <c r="K216" s="82" t="n">
        <v>0.0351</v>
      </c>
      <c r="L216" s="83" t="n">
        <v>300222863.165616</v>
      </c>
      <c r="M216" s="84" t="n">
        <v>300152603.254782</v>
      </c>
      <c r="N216" s="85" t="str">
        <f>MIN(MAX((B216-'Calculation_Assumptions'!$B$5+1)/'Calculation_Assumptions'!$B$7,0),1)</f>
      </c>
      <c r="O216" s="86" t="str">
        <f>L216*I216</f>
      </c>
      <c r="P216" s="87" t="str">
        <f>M216*I216</f>
      </c>
      <c r="Q216" s="88" t="str">
        <f>P216*'Calculation_Assumptions'!$B$14*J216*K216</f>
      </c>
      <c r="R216" s="89" t="str">
        <f>O216*N216*J216*K216</f>
      </c>
      <c r="S216" s="90" t="str">
        <f>R216-Q216</f>
      </c>
      <c r="T216" s="91" t="str">
        <f>1/(1+'Calculation_Assumptions'!$B$8)^(B216-'Calculation_Assumptions'!$B$2)</f>
      </c>
      <c r="U216" s="92" t="str">
        <f>Q216*T216</f>
      </c>
      <c r="V216" s="93" t="str">
        <f>R216*T216</f>
      </c>
      <c r="W216" s="94" t="str">
        <f>S216*T216</f>
      </c>
      <c r="X216" t="n">
        <v>0</v>
      </c>
      <c r="Y216" s="95" t="n">
        <v>2017</v>
      </c>
      <c r="Z216" t="s">
        <v>266</v>
      </c>
      <c r="AA216" s="96" t="str">
        <f>IF(G216="shared-count-once",COUNTIFS($A$2:$A$313,A216,$B$2:$B$313,B216,$D$2:$D$313,D216),1)</f>
      </c>
    </row>
    <row r="217">
      <c r="A217" t="s">
        <v>76</v>
      </c>
      <c r="B217" s="74" t="n">
        <v>2032</v>
      </c>
      <c r="C217" t="s">
        <v>195</v>
      </c>
      <c r="D217" s="75" t="s">
        <v>344</v>
      </c>
      <c r="E217" s="76" t="s">
        <v>345</v>
      </c>
      <c r="F217" s="77" t="s">
        <v>199</v>
      </c>
      <c r="G217" s="78" t="s">
        <v>337</v>
      </c>
      <c r="H217" s="79" t="s">
        <v>339</v>
      </c>
      <c r="I217" s="80" t="n">
        <v>1</v>
      </c>
      <c r="J217" s="81" t="n">
        <v>1</v>
      </c>
      <c r="K217" s="82" t="n">
        <v>0.0351</v>
      </c>
      <c r="L217" s="83" t="n">
        <v>302002258.96739</v>
      </c>
      <c r="M217" s="84" t="n">
        <v>301959399.633888</v>
      </c>
      <c r="N217" s="85" t="str">
        <f>MIN(MAX((B217-'Calculation_Assumptions'!$B$5+1)/'Calculation_Assumptions'!$B$7,0),1)</f>
      </c>
      <c r="O217" s="86" t="str">
        <f>L217*I217</f>
      </c>
      <c r="P217" s="87" t="str">
        <f>M217*I217</f>
      </c>
      <c r="Q217" s="88" t="str">
        <f>P217*'Calculation_Assumptions'!$B$14*J217*K217</f>
      </c>
      <c r="R217" s="89" t="str">
        <f>O217*N217*J217*K217</f>
      </c>
      <c r="S217" s="90" t="str">
        <f>R217-Q217</f>
      </c>
      <c r="T217" s="91" t="str">
        <f>1/(1+'Calculation_Assumptions'!$B$8)^(B217-'Calculation_Assumptions'!$B$2)</f>
      </c>
      <c r="U217" s="92" t="str">
        <f>Q217*T217</f>
      </c>
      <c r="V217" s="93" t="str">
        <f>R217*T217</f>
      </c>
      <c r="W217" s="94" t="str">
        <f>S217*T217</f>
      </c>
      <c r="X217" t="n">
        <v>0</v>
      </c>
      <c r="Y217" s="95" t="n">
        <v>2017</v>
      </c>
      <c r="Z217" t="s">
        <v>266</v>
      </c>
      <c r="AA217" s="96" t="str">
        <f>IF(G217="shared-count-once",COUNTIFS($A$2:$A$313,A217,$B$2:$B$313,B217,$D$2:$D$313,D217),1)</f>
      </c>
    </row>
    <row r="218">
      <c r="A218" t="s">
        <v>76</v>
      </c>
      <c r="B218" s="74" t="n">
        <v>2033</v>
      </c>
      <c r="C218" t="s">
        <v>195</v>
      </c>
      <c r="D218" s="75" t="s">
        <v>344</v>
      </c>
      <c r="E218" s="76" t="s">
        <v>345</v>
      </c>
      <c r="F218" s="77" t="s">
        <v>199</v>
      </c>
      <c r="G218" s="78" t="s">
        <v>337</v>
      </c>
      <c r="H218" s="79" t="s">
        <v>339</v>
      </c>
      <c r="I218" s="80" t="n">
        <v>1</v>
      </c>
      <c r="J218" s="81" t="n">
        <v>1</v>
      </c>
      <c r="K218" s="82" t="n">
        <v>0.0351</v>
      </c>
      <c r="L218" s="83" t="n">
        <v>303792531.133499</v>
      </c>
      <c r="M218" s="84" t="n">
        <v>303701035.202051</v>
      </c>
      <c r="N218" s="85" t="str">
        <f>MIN(MAX((B218-'Calculation_Assumptions'!$B$5+1)/'Calculation_Assumptions'!$B$7,0),1)</f>
      </c>
      <c r="O218" s="86" t="str">
        <f>L218*I218</f>
      </c>
      <c r="P218" s="87" t="str">
        <f>M218*I218</f>
      </c>
      <c r="Q218" s="88" t="str">
        <f>P218*'Calculation_Assumptions'!$B$14*J218*K218</f>
      </c>
      <c r="R218" s="89" t="str">
        <f>O218*N218*J218*K218</f>
      </c>
      <c r="S218" s="90" t="str">
        <f>R218-Q218</f>
      </c>
      <c r="T218" s="91" t="str">
        <f>1/(1+'Calculation_Assumptions'!$B$8)^(B218-'Calculation_Assumptions'!$B$2)</f>
      </c>
      <c r="U218" s="92" t="str">
        <f>Q218*T218</f>
      </c>
      <c r="V218" s="93" t="str">
        <f>R218*T218</f>
      </c>
      <c r="W218" s="94" t="str">
        <f>S218*T218</f>
      </c>
      <c r="X218" t="n">
        <v>0</v>
      </c>
      <c r="Y218" s="95" t="n">
        <v>2017</v>
      </c>
      <c r="Z218" t="s">
        <v>266</v>
      </c>
      <c r="AA218" s="96" t="str">
        <f>IF(G218="shared-count-once",COUNTIFS($A$2:$A$313,A218,$B$2:$B$313,B218,$D$2:$D$313,D218),1)</f>
      </c>
    </row>
    <row r="219">
      <c r="A219" t="s">
        <v>76</v>
      </c>
      <c r="B219" s="74" t="n">
        <v>2034</v>
      </c>
      <c r="C219" t="s">
        <v>195</v>
      </c>
      <c r="D219" s="75" t="s">
        <v>344</v>
      </c>
      <c r="E219" s="76" t="s">
        <v>345</v>
      </c>
      <c r="F219" s="77" t="s">
        <v>199</v>
      </c>
      <c r="G219" s="78" t="s">
        <v>337</v>
      </c>
      <c r="H219" s="79" t="s">
        <v>339</v>
      </c>
      <c r="I219" s="80" t="n">
        <v>1</v>
      </c>
      <c r="J219" s="81" t="n">
        <v>1</v>
      </c>
      <c r="K219" s="82" t="n">
        <v>0.0351</v>
      </c>
      <c r="L219" s="83" t="n">
        <v>305527186.929355</v>
      </c>
      <c r="M219" s="84" t="n">
        <v>305377998.093319</v>
      </c>
      <c r="N219" s="85" t="str">
        <f>MIN(MAX((B219-'Calculation_Assumptions'!$B$5+1)/'Calculation_Assumptions'!$B$7,0),1)</f>
      </c>
      <c r="O219" s="86" t="str">
        <f>L219*I219</f>
      </c>
      <c r="P219" s="87" t="str">
        <f>M219*I219</f>
      </c>
      <c r="Q219" s="88" t="str">
        <f>P219*'Calculation_Assumptions'!$B$14*J219*K219</f>
      </c>
      <c r="R219" s="89" t="str">
        <f>O219*N219*J219*K219</f>
      </c>
      <c r="S219" s="90" t="str">
        <f>R219-Q219</f>
      </c>
      <c r="T219" s="91" t="str">
        <f>1/(1+'Calculation_Assumptions'!$B$8)^(B219-'Calculation_Assumptions'!$B$2)</f>
      </c>
      <c r="U219" s="92" t="str">
        <f>Q219*T219</f>
      </c>
      <c r="V219" s="93" t="str">
        <f>R219*T219</f>
      </c>
      <c r="W219" s="94" t="str">
        <f>S219*T219</f>
      </c>
      <c r="X219" t="n">
        <v>0</v>
      </c>
      <c r="Y219" s="95" t="n">
        <v>2017</v>
      </c>
      <c r="Z219" t="s">
        <v>266</v>
      </c>
      <c r="AA219" s="96" t="str">
        <f>IF(G219="shared-count-once",COUNTIFS($A$2:$A$313,A219,$B$2:$B$313,B219,$D$2:$D$313,D219),1)</f>
      </c>
    </row>
    <row r="220">
      <c r="A220" t="s">
        <v>76</v>
      </c>
      <c r="B220" s="74" t="n">
        <v>2035</v>
      </c>
      <c r="C220" t="s">
        <v>195</v>
      </c>
      <c r="D220" s="75" t="s">
        <v>344</v>
      </c>
      <c r="E220" s="76" t="s">
        <v>345</v>
      </c>
      <c r="F220" s="77" t="s">
        <v>199</v>
      </c>
      <c r="G220" s="78" t="s">
        <v>337</v>
      </c>
      <c r="H220" s="79" t="s">
        <v>339</v>
      </c>
      <c r="I220" s="80" t="n">
        <v>1</v>
      </c>
      <c r="J220" s="81" t="n">
        <v>1</v>
      </c>
      <c r="K220" s="82" t="n">
        <v>0.0351</v>
      </c>
      <c r="L220" s="83" t="n">
        <v>307204550.865101</v>
      </c>
      <c r="M220" s="84" t="n">
        <v>306989258.29407</v>
      </c>
      <c r="N220" s="85" t="str">
        <f>MIN(MAX((B220-'Calculation_Assumptions'!$B$5+1)/'Calculation_Assumptions'!$B$7,0),1)</f>
      </c>
      <c r="O220" s="86" t="str">
        <f>L220*I220</f>
      </c>
      <c r="P220" s="87" t="str">
        <f>M220*I220</f>
      </c>
      <c r="Q220" s="88" t="str">
        <f>P220*'Calculation_Assumptions'!$B$14*J220*K220</f>
      </c>
      <c r="R220" s="89" t="str">
        <f>O220*N220*J220*K220</f>
      </c>
      <c r="S220" s="90" t="str">
        <f>R220-Q220</f>
      </c>
      <c r="T220" s="91" t="str">
        <f>1/(1+'Calculation_Assumptions'!$B$8)^(B220-'Calculation_Assumptions'!$B$2)</f>
      </c>
      <c r="U220" s="92" t="str">
        <f>Q220*T220</f>
      </c>
      <c r="V220" s="93" t="str">
        <f>R220*T220</f>
      </c>
      <c r="W220" s="94" t="str">
        <f>S220*T220</f>
      </c>
      <c r="X220" t="n">
        <v>0</v>
      </c>
      <c r="Y220" s="95" t="n">
        <v>2017</v>
      </c>
      <c r="Z220" t="s">
        <v>266</v>
      </c>
      <c r="AA220" s="96" t="str">
        <f>IF(G220="shared-count-once",COUNTIFS($A$2:$A$313,A220,$B$2:$B$313,B220,$D$2:$D$313,D220),1)</f>
      </c>
    </row>
    <row r="221">
      <c r="A221" t="s">
        <v>76</v>
      </c>
      <c r="B221" s="74" t="n">
        <v>2036</v>
      </c>
      <c r="C221" t="s">
        <v>195</v>
      </c>
      <c r="D221" s="75" t="s">
        <v>344</v>
      </c>
      <c r="E221" s="76" t="s">
        <v>345</v>
      </c>
      <c r="F221" s="77" t="s">
        <v>199</v>
      </c>
      <c r="G221" s="78" t="s">
        <v>337</v>
      </c>
      <c r="H221" s="79" t="s">
        <v>339</v>
      </c>
      <c r="I221" s="80" t="n">
        <v>1</v>
      </c>
      <c r="J221" s="81" t="n">
        <v>1</v>
      </c>
      <c r="K221" s="82" t="n">
        <v>0.0351</v>
      </c>
      <c r="L221" s="83" t="n">
        <v>308826793.60125</v>
      </c>
      <c r="M221" s="84" t="n">
        <v>308537399.672094</v>
      </c>
      <c r="N221" s="85" t="str">
        <f>MIN(MAX((B221-'Calculation_Assumptions'!$B$5+1)/'Calculation_Assumptions'!$B$7,0),1)</f>
      </c>
      <c r="O221" s="86" t="str">
        <f>L221*I221</f>
      </c>
      <c r="P221" s="87" t="str">
        <f>M221*I221</f>
      </c>
      <c r="Q221" s="88" t="str">
        <f>P221*'Calculation_Assumptions'!$B$14*J221*K221</f>
      </c>
      <c r="R221" s="89" t="str">
        <f>O221*N221*J221*K221</f>
      </c>
      <c r="S221" s="90" t="str">
        <f>R221-Q221</f>
      </c>
      <c r="T221" s="91" t="str">
        <f>1/(1+'Calculation_Assumptions'!$B$8)^(B221-'Calculation_Assumptions'!$B$2)</f>
      </c>
      <c r="U221" s="92" t="str">
        <f>Q221*T221</f>
      </c>
      <c r="V221" s="93" t="str">
        <f>R221*T221</f>
      </c>
      <c r="W221" s="94" t="str">
        <f>S221*T221</f>
      </c>
      <c r="X221" t="n">
        <v>0</v>
      </c>
      <c r="Y221" s="95" t="n">
        <v>2017</v>
      </c>
      <c r="Z221" t="s">
        <v>266</v>
      </c>
      <c r="AA221" s="96" t="str">
        <f>IF(G221="shared-count-once",COUNTIFS($A$2:$A$313,A221,$B$2:$B$313,B221,$D$2:$D$313,D221),1)</f>
      </c>
    </row>
    <row r="222">
      <c r="A222" t="s">
        <v>76</v>
      </c>
      <c r="B222" s="74" t="n">
        <v>2037</v>
      </c>
      <c r="C222" t="s">
        <v>195</v>
      </c>
      <c r="D222" s="75" t="s">
        <v>344</v>
      </c>
      <c r="E222" s="76" t="s">
        <v>345</v>
      </c>
      <c r="F222" s="77" t="s">
        <v>199</v>
      </c>
      <c r="G222" s="78" t="s">
        <v>337</v>
      </c>
      <c r="H222" s="79" t="s">
        <v>339</v>
      </c>
      <c r="I222" s="80" t="n">
        <v>1</v>
      </c>
      <c r="J222" s="81" t="n">
        <v>1</v>
      </c>
      <c r="K222" s="82" t="n">
        <v>0.0351</v>
      </c>
      <c r="L222" s="83" t="n">
        <v>310394148.511485</v>
      </c>
      <c r="M222" s="84" t="n">
        <v>310023120.393472</v>
      </c>
      <c r="N222" s="85" t="str">
        <f>MIN(MAX((B222-'Calculation_Assumptions'!$B$5+1)/'Calculation_Assumptions'!$B$7,0),1)</f>
      </c>
      <c r="O222" s="86" t="str">
        <f>L222*I222</f>
      </c>
      <c r="P222" s="87" t="str">
        <f>M222*I222</f>
      </c>
      <c r="Q222" s="88" t="str">
        <f>P222*'Calculation_Assumptions'!$B$14*J222*K222</f>
      </c>
      <c r="R222" s="89" t="str">
        <f>O222*N222*J222*K222</f>
      </c>
      <c r="S222" s="90" t="str">
        <f>R222-Q222</f>
      </c>
      <c r="T222" s="91" t="str">
        <f>1/(1+'Calculation_Assumptions'!$B$8)^(B222-'Calculation_Assumptions'!$B$2)</f>
      </c>
      <c r="U222" s="92" t="str">
        <f>Q222*T222</f>
      </c>
      <c r="V222" s="93" t="str">
        <f>R222*T222</f>
      </c>
      <c r="W222" s="94" t="str">
        <f>S222*T222</f>
      </c>
      <c r="X222" t="n">
        <v>0</v>
      </c>
      <c r="Y222" s="95" t="n">
        <v>2017</v>
      </c>
      <c r="Z222" t="s">
        <v>266</v>
      </c>
      <c r="AA222" s="96" t="str">
        <f>IF(G222="shared-count-once",COUNTIFS($A$2:$A$313,A222,$B$2:$B$313,B222,$D$2:$D$313,D222),1)</f>
      </c>
    </row>
    <row r="223">
      <c r="A223" t="s">
        <v>76</v>
      </c>
      <c r="B223" s="74" t="n">
        <v>2038</v>
      </c>
      <c r="C223" t="s">
        <v>195</v>
      </c>
      <c r="D223" s="75" t="s">
        <v>344</v>
      </c>
      <c r="E223" s="76" t="s">
        <v>345</v>
      </c>
      <c r="F223" s="77" t="s">
        <v>199</v>
      </c>
      <c r="G223" s="78" t="s">
        <v>337</v>
      </c>
      <c r="H223" s="79" t="s">
        <v>339</v>
      </c>
      <c r="I223" s="80" t="n">
        <v>1</v>
      </c>
      <c r="J223" s="81" t="n">
        <v>1</v>
      </c>
      <c r="K223" s="82" t="n">
        <v>0.0351</v>
      </c>
      <c r="L223" s="83" t="n">
        <v>311906222.578398</v>
      </c>
      <c r="M223" s="84" t="n">
        <v>311445837.134625</v>
      </c>
      <c r="N223" s="85" t="str">
        <f>MIN(MAX((B223-'Calculation_Assumptions'!$B$5+1)/'Calculation_Assumptions'!$B$7,0),1)</f>
      </c>
      <c r="O223" s="86" t="str">
        <f>L223*I223</f>
      </c>
      <c r="P223" s="87" t="str">
        <f>M223*I223</f>
      </c>
      <c r="Q223" s="88" t="str">
        <f>P223*'Calculation_Assumptions'!$B$14*J223*K223</f>
      </c>
      <c r="R223" s="89" t="str">
        <f>O223*N223*J223*K223</f>
      </c>
      <c r="S223" s="90" t="str">
        <f>R223-Q223</f>
      </c>
      <c r="T223" s="91" t="str">
        <f>1/(1+'Calculation_Assumptions'!$B$8)^(B223-'Calculation_Assumptions'!$B$2)</f>
      </c>
      <c r="U223" s="92" t="str">
        <f>Q223*T223</f>
      </c>
      <c r="V223" s="93" t="str">
        <f>R223*T223</f>
      </c>
      <c r="W223" s="94" t="str">
        <f>S223*T223</f>
      </c>
      <c r="X223" t="n">
        <v>0</v>
      </c>
      <c r="Y223" s="95" t="n">
        <v>2017</v>
      </c>
      <c r="Z223" t="s">
        <v>266</v>
      </c>
      <c r="AA223" s="96" t="str">
        <f>IF(G223="shared-count-once",COUNTIFS($A$2:$A$313,A223,$B$2:$B$313,B223,$D$2:$D$313,D223),1)</f>
      </c>
    </row>
    <row r="224">
      <c r="A224" t="s">
        <v>76</v>
      </c>
      <c r="B224" s="74" t="n">
        <v>2039</v>
      </c>
      <c r="C224" t="s">
        <v>195</v>
      </c>
      <c r="D224" s="75" t="s">
        <v>344</v>
      </c>
      <c r="E224" s="76" t="s">
        <v>345</v>
      </c>
      <c r="F224" s="77" t="s">
        <v>199</v>
      </c>
      <c r="G224" s="78" t="s">
        <v>337</v>
      </c>
      <c r="H224" s="79" t="s">
        <v>339</v>
      </c>
      <c r="I224" s="80" t="n">
        <v>1</v>
      </c>
      <c r="J224" s="81" t="n">
        <v>1</v>
      </c>
      <c r="K224" s="82" t="n">
        <v>0.0351</v>
      </c>
      <c r="L224" s="83" t="n">
        <v>313363821.520615</v>
      </c>
      <c r="M224" s="84" t="n">
        <v>312806989.715685</v>
      </c>
      <c r="N224" s="85" t="str">
        <f>MIN(MAX((B224-'Calculation_Assumptions'!$B$5+1)/'Calculation_Assumptions'!$B$7,0),1)</f>
      </c>
      <c r="O224" s="86" t="str">
        <f>L224*I224</f>
      </c>
      <c r="P224" s="87" t="str">
        <f>M224*I224</f>
      </c>
      <c r="Q224" s="88" t="str">
        <f>P224*'Calculation_Assumptions'!$B$14*J224*K224</f>
      </c>
      <c r="R224" s="89" t="str">
        <f>O224*N224*J224*K224</f>
      </c>
      <c r="S224" s="90" t="str">
        <f>R224-Q224</f>
      </c>
      <c r="T224" s="91" t="str">
        <f>1/(1+'Calculation_Assumptions'!$B$8)^(B224-'Calculation_Assumptions'!$B$2)</f>
      </c>
      <c r="U224" s="92" t="str">
        <f>Q224*T224</f>
      </c>
      <c r="V224" s="93" t="str">
        <f>R224*T224</f>
      </c>
      <c r="W224" s="94" t="str">
        <f>S224*T224</f>
      </c>
      <c r="X224" t="n">
        <v>0</v>
      </c>
      <c r="Y224" s="95" t="n">
        <v>2017</v>
      </c>
      <c r="Z224" t="s">
        <v>266</v>
      </c>
      <c r="AA224" s="96" t="str">
        <f>IF(G224="shared-count-once",COUNTIFS($A$2:$A$313,A224,$B$2:$B$313,B224,$D$2:$D$313,D224),1)</f>
      </c>
    </row>
    <row r="225">
      <c r="A225" t="s">
        <v>76</v>
      </c>
      <c r="B225" s="74" t="n">
        <v>2040</v>
      </c>
      <c r="C225" t="s">
        <v>195</v>
      </c>
      <c r="D225" s="75" t="s">
        <v>344</v>
      </c>
      <c r="E225" s="76" t="s">
        <v>345</v>
      </c>
      <c r="F225" s="77" t="s">
        <v>199</v>
      </c>
      <c r="G225" s="78" t="s">
        <v>337</v>
      </c>
      <c r="H225" s="79" t="s">
        <v>339</v>
      </c>
      <c r="I225" s="80" t="n">
        <v>1</v>
      </c>
      <c r="J225" s="81" t="n">
        <v>1</v>
      </c>
      <c r="K225" s="82" t="n">
        <v>0.0351</v>
      </c>
      <c r="L225" s="83" t="n">
        <v>314768783.154633</v>
      </c>
      <c r="M225" s="84" t="n">
        <v>314109251.582649</v>
      </c>
      <c r="N225" s="85" t="str">
        <f>MIN(MAX((B225-'Calculation_Assumptions'!$B$5+1)/'Calculation_Assumptions'!$B$7,0),1)</f>
      </c>
      <c r="O225" s="86" t="str">
        <f>L225*I225</f>
      </c>
      <c r="P225" s="87" t="str">
        <f>M225*I225</f>
      </c>
      <c r="Q225" s="88" t="str">
        <f>P225*'Calculation_Assumptions'!$B$14*J225*K225</f>
      </c>
      <c r="R225" s="89" t="str">
        <f>O225*N225*J225*K225</f>
      </c>
      <c r="S225" s="90" t="str">
        <f>R225-Q225</f>
      </c>
      <c r="T225" s="91" t="str">
        <f>1/(1+'Calculation_Assumptions'!$B$8)^(B225-'Calculation_Assumptions'!$B$2)</f>
      </c>
      <c r="U225" s="92" t="str">
        <f>Q225*T225</f>
      </c>
      <c r="V225" s="93" t="str">
        <f>R225*T225</f>
      </c>
      <c r="W225" s="94" t="str">
        <f>S225*T225</f>
      </c>
      <c r="X225" t="n">
        <v>0</v>
      </c>
      <c r="Y225" s="95" t="n">
        <v>2017</v>
      </c>
      <c r="Z225" t="s">
        <v>266</v>
      </c>
      <c r="AA225" s="96" t="str">
        <f>IF(G225="shared-count-once",COUNTIFS($A$2:$A$313,A225,$B$2:$B$313,B225,$D$2:$D$313,D225),1)</f>
      </c>
    </row>
    <row r="226">
      <c r="A226" t="s">
        <v>76</v>
      </c>
      <c r="B226" s="74" t="n">
        <v>2041</v>
      </c>
      <c r="C226" t="s">
        <v>195</v>
      </c>
      <c r="D226" s="75" t="s">
        <v>344</v>
      </c>
      <c r="E226" s="76" t="s">
        <v>345</v>
      </c>
      <c r="F226" s="77" t="s">
        <v>199</v>
      </c>
      <c r="G226" s="78" t="s">
        <v>337</v>
      </c>
      <c r="H226" s="79" t="s">
        <v>339</v>
      </c>
      <c r="I226" s="80" t="n">
        <v>1</v>
      </c>
      <c r="J226" s="81" t="n">
        <v>1</v>
      </c>
      <c r="K226" s="82" t="n">
        <v>0.0351</v>
      </c>
      <c r="L226" s="83" t="n">
        <v>316119789.295805</v>
      </c>
      <c r="M226" s="84" t="n">
        <v>315352079.812423</v>
      </c>
      <c r="N226" s="85" t="str">
        <f>MIN(MAX((B226-'Calculation_Assumptions'!$B$5+1)/'Calculation_Assumptions'!$B$7,0),1)</f>
      </c>
      <c r="O226" s="86" t="str">
        <f>L226*I226</f>
      </c>
      <c r="P226" s="87" t="str">
        <f>M226*I226</f>
      </c>
      <c r="Q226" s="88" t="str">
        <f>P226*'Calculation_Assumptions'!$B$14*J226*K226</f>
      </c>
      <c r="R226" s="89" t="str">
        <f>O226*N226*J226*K226</f>
      </c>
      <c r="S226" s="90" t="str">
        <f>R226-Q226</f>
      </c>
      <c r="T226" s="91" t="str">
        <f>1/(1+'Calculation_Assumptions'!$B$8)^(B226-'Calculation_Assumptions'!$B$2)</f>
      </c>
      <c r="U226" s="92" t="str">
        <f>Q226*T226</f>
      </c>
      <c r="V226" s="93" t="str">
        <f>R226*T226</f>
      </c>
      <c r="W226" s="94" t="str">
        <f>S226*T226</f>
      </c>
      <c r="X226" t="n">
        <v>0</v>
      </c>
      <c r="Y226" s="95" t="n">
        <v>2017</v>
      </c>
      <c r="Z226" t="s">
        <v>266</v>
      </c>
      <c r="AA226" s="96" t="str">
        <f>IF(G226="shared-count-once",COUNTIFS($A$2:$A$313,A226,$B$2:$B$313,B226,$D$2:$D$313,D226),1)</f>
      </c>
    </row>
    <row r="227">
      <c r="A227" t="s">
        <v>76</v>
      </c>
      <c r="B227" s="74" t="n">
        <v>2042</v>
      </c>
      <c r="C227" t="s">
        <v>195</v>
      </c>
      <c r="D227" s="75" t="s">
        <v>344</v>
      </c>
      <c r="E227" s="76" t="s">
        <v>345</v>
      </c>
      <c r="F227" s="77" t="s">
        <v>199</v>
      </c>
      <c r="G227" s="78" t="s">
        <v>337</v>
      </c>
      <c r="H227" s="79" t="s">
        <v>339</v>
      </c>
      <c r="I227" s="80" t="n">
        <v>1</v>
      </c>
      <c r="J227" s="81" t="n">
        <v>1</v>
      </c>
      <c r="K227" s="82" t="n">
        <v>0.0351</v>
      </c>
      <c r="L227" s="83" t="n">
        <v>317417240.496476</v>
      </c>
      <c r="M227" s="84" t="n">
        <v>316395286.312016</v>
      </c>
      <c r="N227" s="85" t="str">
        <f>MIN(MAX((B227-'Calculation_Assumptions'!$B$5+1)/'Calculation_Assumptions'!$B$7,0),1)</f>
      </c>
      <c r="O227" s="86" t="str">
        <f>L227*I227</f>
      </c>
      <c r="P227" s="87" t="str">
        <f>M227*I227</f>
      </c>
      <c r="Q227" s="88" t="str">
        <f>P227*'Calculation_Assumptions'!$B$14*J227*K227</f>
      </c>
      <c r="R227" s="89" t="str">
        <f>O227*N227*J227*K227</f>
      </c>
      <c r="S227" s="90" t="str">
        <f>R227-Q227</f>
      </c>
      <c r="T227" s="91" t="str">
        <f>1/(1+'Calculation_Assumptions'!$B$8)^(B227-'Calculation_Assumptions'!$B$2)</f>
      </c>
      <c r="U227" s="92" t="str">
        <f>Q227*T227</f>
      </c>
      <c r="V227" s="93" t="str">
        <f>R227*T227</f>
      </c>
      <c r="W227" s="94" t="str">
        <f>S227*T227</f>
      </c>
      <c r="X227" t="n">
        <v>0</v>
      </c>
      <c r="Y227" s="95" t="n">
        <v>2017</v>
      </c>
      <c r="Z227" t="s">
        <v>266</v>
      </c>
      <c r="AA227" s="96" t="str">
        <f>IF(G227="shared-count-once",COUNTIFS($A$2:$A$313,A227,$B$2:$B$313,B227,$D$2:$D$313,D227),1)</f>
      </c>
    </row>
    <row r="228">
      <c r="A228" t="s">
        <v>76</v>
      </c>
      <c r="B228" s="74" t="n">
        <v>2043</v>
      </c>
      <c r="C228" t="s">
        <v>195</v>
      </c>
      <c r="D228" s="75" t="s">
        <v>344</v>
      </c>
      <c r="E228" s="76" t="s">
        <v>345</v>
      </c>
      <c r="F228" s="77" t="s">
        <v>199</v>
      </c>
      <c r="G228" s="78" t="s">
        <v>337</v>
      </c>
      <c r="H228" s="79" t="s">
        <v>339</v>
      </c>
      <c r="I228" s="80" t="n">
        <v>1</v>
      </c>
      <c r="J228" s="81" t="n">
        <v>1</v>
      </c>
      <c r="K228" s="82" t="n">
        <v>0.0351</v>
      </c>
      <c r="L228" s="83" t="n">
        <v>318779591.219905</v>
      </c>
      <c r="M228" s="84" t="n">
        <v>317619735.688289</v>
      </c>
      <c r="N228" s="85" t="str">
        <f>MIN(MAX((B228-'Calculation_Assumptions'!$B$5+1)/'Calculation_Assumptions'!$B$7,0),1)</f>
      </c>
      <c r="O228" s="86" t="str">
        <f>L228*I228</f>
      </c>
      <c r="P228" s="87" t="str">
        <f>M228*I228</f>
      </c>
      <c r="Q228" s="88" t="str">
        <f>P228*'Calculation_Assumptions'!$B$14*J228*K228</f>
      </c>
      <c r="R228" s="89" t="str">
        <f>O228*N228*J228*K228</f>
      </c>
      <c r="S228" s="90" t="str">
        <f>R228-Q228</f>
      </c>
      <c r="T228" s="91" t="str">
        <f>1/(1+'Calculation_Assumptions'!$B$8)^(B228-'Calculation_Assumptions'!$B$2)</f>
      </c>
      <c r="U228" s="92" t="str">
        <f>Q228*T228</f>
      </c>
      <c r="V228" s="93" t="str">
        <f>R228*T228</f>
      </c>
      <c r="W228" s="94" t="str">
        <f>S228*T228</f>
      </c>
      <c r="X228" t="n">
        <v>0</v>
      </c>
      <c r="Y228" s="95" t="n">
        <v>2017</v>
      </c>
      <c r="Z228" t="s">
        <v>266</v>
      </c>
      <c r="AA228" s="96" t="str">
        <f>IF(G228="shared-count-once",COUNTIFS($A$2:$A$313,A228,$B$2:$B$313,B228,$D$2:$D$313,D228),1)</f>
      </c>
    </row>
    <row r="229">
      <c r="A229" t="s">
        <v>76</v>
      </c>
      <c r="B229" s="74" t="n">
        <v>2044</v>
      </c>
      <c r="C229" t="s">
        <v>195</v>
      </c>
      <c r="D229" s="75" t="s">
        <v>344</v>
      </c>
      <c r="E229" s="76" t="s">
        <v>345</v>
      </c>
      <c r="F229" s="77" t="s">
        <v>199</v>
      </c>
      <c r="G229" s="78" t="s">
        <v>337</v>
      </c>
      <c r="H229" s="79" t="s">
        <v>339</v>
      </c>
      <c r="I229" s="80" t="n">
        <v>1</v>
      </c>
      <c r="J229" s="81" t="n">
        <v>1</v>
      </c>
      <c r="K229" s="82" t="n">
        <v>0.0351</v>
      </c>
      <c r="L229" s="83" t="n">
        <v>319985562.367227</v>
      </c>
      <c r="M229" s="84" t="n">
        <v>318697135.863652</v>
      </c>
      <c r="N229" s="85" t="str">
        <f>MIN(MAX((B229-'Calculation_Assumptions'!$B$5+1)/'Calculation_Assumptions'!$B$7,0),1)</f>
      </c>
      <c r="O229" s="86" t="str">
        <f>L229*I229</f>
      </c>
      <c r="P229" s="87" t="str">
        <f>M229*I229</f>
      </c>
      <c r="Q229" s="88" t="str">
        <f>P229*'Calculation_Assumptions'!$B$14*J229*K229</f>
      </c>
      <c r="R229" s="89" t="str">
        <f>O229*N229*J229*K229</f>
      </c>
      <c r="S229" s="90" t="str">
        <f>R229-Q229</f>
      </c>
      <c r="T229" s="91" t="str">
        <f>1/(1+'Calculation_Assumptions'!$B$8)^(B229-'Calculation_Assumptions'!$B$2)</f>
      </c>
      <c r="U229" s="92" t="str">
        <f>Q229*T229</f>
      </c>
      <c r="V229" s="93" t="str">
        <f>R229*T229</f>
      </c>
      <c r="W229" s="94" t="str">
        <f>S229*T229</f>
      </c>
      <c r="X229" t="n">
        <v>0</v>
      </c>
      <c r="Y229" s="95" t="n">
        <v>2017</v>
      </c>
      <c r="Z229" t="s">
        <v>266</v>
      </c>
      <c r="AA229" s="96" t="str">
        <f>IF(G229="shared-count-once",COUNTIFS($A$2:$A$313,A229,$B$2:$B$313,B229,$D$2:$D$313,D229),1)</f>
      </c>
    </row>
    <row r="230">
      <c r="A230" t="s">
        <v>76</v>
      </c>
      <c r="B230" s="74" t="n">
        <v>2045</v>
      </c>
      <c r="C230" t="s">
        <v>195</v>
      </c>
      <c r="D230" s="75" t="s">
        <v>344</v>
      </c>
      <c r="E230" s="76" t="s">
        <v>345</v>
      </c>
      <c r="F230" s="77" t="s">
        <v>199</v>
      </c>
      <c r="G230" s="78" t="s">
        <v>337</v>
      </c>
      <c r="H230" s="79" t="s">
        <v>339</v>
      </c>
      <c r="I230" s="80" t="n">
        <v>1</v>
      </c>
      <c r="J230" s="81" t="n">
        <v>1</v>
      </c>
      <c r="K230" s="82" t="n">
        <v>0.0351</v>
      </c>
      <c r="L230" s="83" t="n">
        <v>320960972.3861</v>
      </c>
      <c r="M230" s="84" t="n">
        <v>319717840.85179</v>
      </c>
      <c r="N230" s="85" t="str">
        <f>MIN(MAX((B230-'Calculation_Assumptions'!$B$5+1)/'Calculation_Assumptions'!$B$7,0),1)</f>
      </c>
      <c r="O230" s="86" t="str">
        <f>L230*I230</f>
      </c>
      <c r="P230" s="87" t="str">
        <f>M230*I230</f>
      </c>
      <c r="Q230" s="88" t="str">
        <f>P230*'Calculation_Assumptions'!$B$14*J230*K230</f>
      </c>
      <c r="R230" s="89" t="str">
        <f>O230*N230*J230*K230</f>
      </c>
      <c r="S230" s="90" t="str">
        <f>R230-Q230</f>
      </c>
      <c r="T230" s="91" t="str">
        <f>1/(1+'Calculation_Assumptions'!$B$8)^(B230-'Calculation_Assumptions'!$B$2)</f>
      </c>
      <c r="U230" s="92" t="str">
        <f>Q230*T230</f>
      </c>
      <c r="V230" s="93" t="str">
        <f>R230*T230</f>
      </c>
      <c r="W230" s="94" t="str">
        <f>S230*T230</f>
      </c>
      <c r="X230" t="n">
        <v>0</v>
      </c>
      <c r="Y230" s="95" t="n">
        <v>2017</v>
      </c>
      <c r="Z230" t="s">
        <v>266</v>
      </c>
      <c r="AA230" s="96" t="str">
        <f>IF(G230="shared-count-once",COUNTIFS($A$2:$A$313,A230,$B$2:$B$313,B230,$D$2:$D$313,D230),1)</f>
      </c>
    </row>
    <row r="231">
      <c r="A231" t="s">
        <v>76</v>
      </c>
      <c r="B231" s="74" t="n">
        <v>2046</v>
      </c>
      <c r="C231" t="s">
        <v>195</v>
      </c>
      <c r="D231" s="75" t="s">
        <v>344</v>
      </c>
      <c r="E231" s="76" t="s">
        <v>345</v>
      </c>
      <c r="F231" s="77" t="s">
        <v>199</v>
      </c>
      <c r="G231" s="78" t="s">
        <v>337</v>
      </c>
      <c r="H231" s="79" t="s">
        <v>339</v>
      </c>
      <c r="I231" s="80" t="n">
        <v>1</v>
      </c>
      <c r="J231" s="81" t="n">
        <v>1</v>
      </c>
      <c r="K231" s="82" t="n">
        <v>0.0351</v>
      </c>
      <c r="L231" s="83" t="n">
        <v>322053582.24951</v>
      </c>
      <c r="M231" s="84" t="n">
        <v>320683879.806276</v>
      </c>
      <c r="N231" s="85" t="str">
        <f>MIN(MAX((B231-'Calculation_Assumptions'!$B$5+1)/'Calculation_Assumptions'!$B$7,0),1)</f>
      </c>
      <c r="O231" s="86" t="str">
        <f>L231*I231</f>
      </c>
      <c r="P231" s="87" t="str">
        <f>M231*I231</f>
      </c>
      <c r="Q231" s="88" t="str">
        <f>P231*'Calculation_Assumptions'!$B$14*J231*K231</f>
      </c>
      <c r="R231" s="89" t="str">
        <f>O231*N231*J231*K231</f>
      </c>
      <c r="S231" s="90" t="str">
        <f>R231-Q231</f>
      </c>
      <c r="T231" s="91" t="str">
        <f>1/(1+'Calculation_Assumptions'!$B$8)^(B231-'Calculation_Assumptions'!$B$2)</f>
      </c>
      <c r="U231" s="92" t="str">
        <f>Q231*T231</f>
      </c>
      <c r="V231" s="93" t="str">
        <f>R231*T231</f>
      </c>
      <c r="W231" s="94" t="str">
        <f>S231*T231</f>
      </c>
      <c r="X231" t="n">
        <v>0</v>
      </c>
      <c r="Y231" s="95" t="n">
        <v>2017</v>
      </c>
      <c r="Z231" t="s">
        <v>266</v>
      </c>
      <c r="AA231" s="96" t="str">
        <f>IF(G231="shared-count-once",COUNTIFS($A$2:$A$313,A231,$B$2:$B$313,B231,$D$2:$D$313,D231),1)</f>
      </c>
    </row>
    <row r="232">
      <c r="A232" t="s">
        <v>76</v>
      </c>
      <c r="B232" s="74" t="n">
        <v>2047</v>
      </c>
      <c r="C232" t="s">
        <v>195</v>
      </c>
      <c r="D232" s="75" t="s">
        <v>344</v>
      </c>
      <c r="E232" s="76" t="s">
        <v>345</v>
      </c>
      <c r="F232" s="77" t="s">
        <v>199</v>
      </c>
      <c r="G232" s="78" t="s">
        <v>337</v>
      </c>
      <c r="H232" s="79" t="s">
        <v>339</v>
      </c>
      <c r="I232" s="80" t="n">
        <v>1</v>
      </c>
      <c r="J232" s="81" t="n">
        <v>1</v>
      </c>
      <c r="K232" s="82" t="n">
        <v>0.0351</v>
      </c>
      <c r="L232" s="83" t="n">
        <v>323093320.95173</v>
      </c>
      <c r="M232" s="84" t="n">
        <v>321595541.389526</v>
      </c>
      <c r="N232" s="85" t="str">
        <f>MIN(MAX((B232-'Calculation_Assumptions'!$B$5+1)/'Calculation_Assumptions'!$B$7,0),1)</f>
      </c>
      <c r="O232" s="86" t="str">
        <f>L232*I232</f>
      </c>
      <c r="P232" s="87" t="str">
        <f>M232*I232</f>
      </c>
      <c r="Q232" s="88" t="str">
        <f>P232*'Calculation_Assumptions'!$B$14*J232*K232</f>
      </c>
      <c r="R232" s="89" t="str">
        <f>O232*N232*J232*K232</f>
      </c>
      <c r="S232" s="90" t="str">
        <f>R232-Q232</f>
      </c>
      <c r="T232" s="91" t="str">
        <f>1/(1+'Calculation_Assumptions'!$B$8)^(B232-'Calculation_Assumptions'!$B$2)</f>
      </c>
      <c r="U232" s="92" t="str">
        <f>Q232*T232</f>
      </c>
      <c r="V232" s="93" t="str">
        <f>R232*T232</f>
      </c>
      <c r="W232" s="94" t="str">
        <f>S232*T232</f>
      </c>
      <c r="X232" t="n">
        <v>0</v>
      </c>
      <c r="Y232" s="95" t="n">
        <v>2017</v>
      </c>
      <c r="Z232" t="s">
        <v>266</v>
      </c>
      <c r="AA232" s="96" t="str">
        <f>IF(G232="shared-count-once",COUNTIFS($A$2:$A$313,A232,$B$2:$B$313,B232,$D$2:$D$313,D232),1)</f>
      </c>
    </row>
    <row r="233">
      <c r="A233" t="s">
        <v>76</v>
      </c>
      <c r="B233" s="74" t="n">
        <v>2048</v>
      </c>
      <c r="C233" t="s">
        <v>195</v>
      </c>
      <c r="D233" s="75" t="s">
        <v>344</v>
      </c>
      <c r="E233" s="76" t="s">
        <v>345</v>
      </c>
      <c r="F233" s="77" t="s">
        <v>199</v>
      </c>
      <c r="G233" s="78" t="s">
        <v>337</v>
      </c>
      <c r="H233" s="79" t="s">
        <v>339</v>
      </c>
      <c r="I233" s="80" t="n">
        <v>1</v>
      </c>
      <c r="J233" s="81" t="n">
        <v>1</v>
      </c>
      <c r="K233" s="82" t="n">
        <v>0.0351</v>
      </c>
      <c r="L233" s="83" t="n">
        <v>324080784.775173</v>
      </c>
      <c r="M233" s="84" t="n">
        <v>322453622.669464</v>
      </c>
      <c r="N233" s="85" t="str">
        <f>MIN(MAX((B233-'Calculation_Assumptions'!$B$5+1)/'Calculation_Assumptions'!$B$7,0),1)</f>
      </c>
      <c r="O233" s="86" t="str">
        <f>L233*I233</f>
      </c>
      <c r="P233" s="87" t="str">
        <f>M233*I233</f>
      </c>
      <c r="Q233" s="88" t="str">
        <f>P233*'Calculation_Assumptions'!$B$14*J233*K233</f>
      </c>
      <c r="R233" s="89" t="str">
        <f>O233*N233*J233*K233</f>
      </c>
      <c r="S233" s="90" t="str">
        <f>R233-Q233</f>
      </c>
      <c r="T233" s="91" t="str">
        <f>1/(1+'Calculation_Assumptions'!$B$8)^(B233-'Calculation_Assumptions'!$B$2)</f>
      </c>
      <c r="U233" s="92" t="str">
        <f>Q233*T233</f>
      </c>
      <c r="V233" s="93" t="str">
        <f>R233*T233</f>
      </c>
      <c r="W233" s="94" t="str">
        <f>S233*T233</f>
      </c>
      <c r="X233" t="n">
        <v>0</v>
      </c>
      <c r="Y233" s="95" t="n">
        <v>2017</v>
      </c>
      <c r="Z233" t="s">
        <v>266</v>
      </c>
      <c r="AA233" s="96" t="str">
        <f>IF(G233="shared-count-once",COUNTIFS($A$2:$A$313,A233,$B$2:$B$313,B233,$D$2:$D$313,D233),1)</f>
      </c>
    </row>
    <row r="234">
      <c r="A234" t="s">
        <v>76</v>
      </c>
      <c r="B234" s="74" t="n">
        <v>2049</v>
      </c>
      <c r="C234" t="s">
        <v>195</v>
      </c>
      <c r="D234" s="75" t="s">
        <v>344</v>
      </c>
      <c r="E234" s="76" t="s">
        <v>345</v>
      </c>
      <c r="F234" s="77" t="s">
        <v>199</v>
      </c>
      <c r="G234" s="78" t="s">
        <v>337</v>
      </c>
      <c r="H234" s="79" t="s">
        <v>339</v>
      </c>
      <c r="I234" s="80" t="n">
        <v>1</v>
      </c>
      <c r="J234" s="81" t="n">
        <v>1</v>
      </c>
      <c r="K234" s="82" t="n">
        <v>0.0351</v>
      </c>
      <c r="L234" s="83" t="n">
        <v>325016726.583355</v>
      </c>
      <c r="M234" s="84" t="n">
        <v>323259246.716719</v>
      </c>
      <c r="N234" s="85" t="str">
        <f>MIN(MAX((B234-'Calculation_Assumptions'!$B$5+1)/'Calculation_Assumptions'!$B$7,0),1)</f>
      </c>
      <c r="O234" s="86" t="str">
        <f>L234*I234</f>
      </c>
      <c r="P234" s="87" t="str">
        <f>M234*I234</f>
      </c>
      <c r="Q234" s="88" t="str">
        <f>P234*'Calculation_Assumptions'!$B$14*J234*K234</f>
      </c>
      <c r="R234" s="89" t="str">
        <f>O234*N234*J234*K234</f>
      </c>
      <c r="S234" s="90" t="str">
        <f>R234-Q234</f>
      </c>
      <c r="T234" s="91" t="str">
        <f>1/(1+'Calculation_Assumptions'!$B$8)^(B234-'Calculation_Assumptions'!$B$2)</f>
      </c>
      <c r="U234" s="92" t="str">
        <f>Q234*T234</f>
      </c>
      <c r="V234" s="93" t="str">
        <f>R234*T234</f>
      </c>
      <c r="W234" s="94" t="str">
        <f>S234*T234</f>
      </c>
      <c r="X234" t="n">
        <v>0</v>
      </c>
      <c r="Y234" s="95" t="n">
        <v>2017</v>
      </c>
      <c r="Z234" t="s">
        <v>266</v>
      </c>
      <c r="AA234" s="96" t="str">
        <f>IF(G234="shared-count-once",COUNTIFS($A$2:$A$313,A234,$B$2:$B$313,B234,$D$2:$D$313,D234),1)</f>
      </c>
    </row>
    <row r="235">
      <c r="A235" t="s">
        <v>76</v>
      </c>
      <c r="B235" s="74" t="n">
        <v>2050</v>
      </c>
      <c r="C235" t="s">
        <v>195</v>
      </c>
      <c r="D235" s="75" t="s">
        <v>344</v>
      </c>
      <c r="E235" s="76" t="s">
        <v>345</v>
      </c>
      <c r="F235" s="77" t="s">
        <v>199</v>
      </c>
      <c r="G235" s="78" t="s">
        <v>337</v>
      </c>
      <c r="H235" s="79" t="s">
        <v>339</v>
      </c>
      <c r="I235" s="80" t="n">
        <v>1</v>
      </c>
      <c r="J235" s="81" t="n">
        <v>1</v>
      </c>
      <c r="K235" s="82" t="n">
        <v>0.0351</v>
      </c>
      <c r="L235" s="83" t="n">
        <v>325902090.730916</v>
      </c>
      <c r="M235" s="84" t="n">
        <v>324013738.182479</v>
      </c>
      <c r="N235" s="85" t="str">
        <f>MIN(MAX((B235-'Calculation_Assumptions'!$B$5+1)/'Calculation_Assumptions'!$B$7,0),1)</f>
      </c>
      <c r="O235" s="86" t="str">
        <f>L235*I235</f>
      </c>
      <c r="P235" s="87" t="str">
        <f>M235*I235</f>
      </c>
      <c r="Q235" s="88" t="str">
        <f>P235*'Calculation_Assumptions'!$B$14*J235*K235</f>
      </c>
      <c r="R235" s="89" t="str">
        <f>O235*N235*J235*K235</f>
      </c>
      <c r="S235" s="90" t="str">
        <f>R235-Q235</f>
      </c>
      <c r="T235" s="91" t="str">
        <f>1/(1+'Calculation_Assumptions'!$B$8)^(B235-'Calculation_Assumptions'!$B$2)</f>
      </c>
      <c r="U235" s="92" t="str">
        <f>Q235*T235</f>
      </c>
      <c r="V235" s="93" t="str">
        <f>R235*T235</f>
      </c>
      <c r="W235" s="94" t="str">
        <f>S235*T235</f>
      </c>
      <c r="X235" t="n">
        <v>0</v>
      </c>
      <c r="Y235" s="95" t="n">
        <v>2017</v>
      </c>
      <c r="Z235" t="s">
        <v>266</v>
      </c>
      <c r="AA235" s="96" t="str">
        <f>IF(G235="shared-count-once",COUNTIFS($A$2:$A$313,A235,$B$2:$B$313,B235,$D$2:$D$313,D235),1)</f>
      </c>
    </row>
    <row r="236">
      <c r="A236" t="s">
        <v>76</v>
      </c>
      <c r="B236" s="74" t="n">
        <v>2025</v>
      </c>
      <c r="C236" t="s">
        <v>203</v>
      </c>
      <c r="D236" s="75" t="s">
        <v>346</v>
      </c>
      <c r="E236" s="76" t="s">
        <v>347</v>
      </c>
      <c r="F236" s="77" t="s">
        <v>209</v>
      </c>
      <c r="G236" s="78" t="s">
        <v>337</v>
      </c>
      <c r="H236" s="79" t="s">
        <v>339</v>
      </c>
      <c r="I236" s="80" t="n">
        <v>1</v>
      </c>
      <c r="J236" s="81" t="n">
        <v>1</v>
      </c>
      <c r="K236" s="82" t="n">
        <v>0.004</v>
      </c>
      <c r="L236" s="83" t="n">
        <v>288000821.106462</v>
      </c>
      <c r="M236" s="84" t="n">
        <v>288000821.106462</v>
      </c>
      <c r="N236" s="85" t="str">
        <f>MIN(MAX((B236-'Calculation_Assumptions'!$B$5+1)/'Calculation_Assumptions'!$B$7,0),1)</f>
      </c>
      <c r="O236" s="86" t="str">
        <f>L236*I236</f>
      </c>
      <c r="P236" s="87" t="str">
        <f>M236*I236</f>
      </c>
      <c r="Q236" s="88" t="str">
        <f>P236*'Calculation_Assumptions'!$B$14*J236*K236</f>
      </c>
      <c r="R236" s="89" t="str">
        <f>O236*N236*J236*K236</f>
      </c>
      <c r="S236" s="90" t="str">
        <f>R236-Q236</f>
      </c>
      <c r="T236" s="91" t="str">
        <f>1/(1+'Calculation_Assumptions'!$B$8)^(B236-'Calculation_Assumptions'!$B$2)</f>
      </c>
      <c r="U236" s="92" t="str">
        <f>Q236*T236</f>
      </c>
      <c r="V236" s="93" t="str">
        <f>R236*T236</f>
      </c>
      <c r="W236" s="94" t="str">
        <f>S236*T236</f>
      </c>
      <c r="X236" t="n">
        <v>0</v>
      </c>
      <c r="Y236" s="95" t="n">
        <v>2017</v>
      </c>
      <c r="Z236" t="s">
        <v>266</v>
      </c>
      <c r="AA236" s="96" t="str">
        <f>IF(G236="shared-count-once",COUNTIFS($A$2:$A$313,A236,$B$2:$B$313,B236,$D$2:$D$313,D236),1)</f>
      </c>
    </row>
    <row r="237">
      <c r="A237" t="s">
        <v>76</v>
      </c>
      <c r="B237" s="74" t="n">
        <v>2026</v>
      </c>
      <c r="C237" t="s">
        <v>203</v>
      </c>
      <c r="D237" s="75" t="s">
        <v>346</v>
      </c>
      <c r="E237" s="76" t="s">
        <v>347</v>
      </c>
      <c r="F237" s="77" t="s">
        <v>209</v>
      </c>
      <c r="G237" s="78" t="s">
        <v>337</v>
      </c>
      <c r="H237" s="79" t="s">
        <v>339</v>
      </c>
      <c r="I237" s="80" t="n">
        <v>1</v>
      </c>
      <c r="J237" s="81" t="n">
        <v>1</v>
      </c>
      <c r="K237" s="82" t="n">
        <v>0.004</v>
      </c>
      <c r="L237" s="83" t="n">
        <v>290123496.103219</v>
      </c>
      <c r="M237" s="84" t="n">
        <v>290123496.103219</v>
      </c>
      <c r="N237" s="85" t="str">
        <f>MIN(MAX((B237-'Calculation_Assumptions'!$B$5+1)/'Calculation_Assumptions'!$B$7,0),1)</f>
      </c>
      <c r="O237" s="86" t="str">
        <f>L237*I237</f>
      </c>
      <c r="P237" s="87" t="str">
        <f>M237*I237</f>
      </c>
      <c r="Q237" s="88" t="str">
        <f>P237*'Calculation_Assumptions'!$B$14*J237*K237</f>
      </c>
      <c r="R237" s="89" t="str">
        <f>O237*N237*J237*K237</f>
      </c>
      <c r="S237" s="90" t="str">
        <f>R237-Q237</f>
      </c>
      <c r="T237" s="91" t="str">
        <f>1/(1+'Calculation_Assumptions'!$B$8)^(B237-'Calculation_Assumptions'!$B$2)</f>
      </c>
      <c r="U237" s="92" t="str">
        <f>Q237*T237</f>
      </c>
      <c r="V237" s="93" t="str">
        <f>R237*T237</f>
      </c>
      <c r="W237" s="94" t="str">
        <f>S237*T237</f>
      </c>
      <c r="X237" t="n">
        <v>0</v>
      </c>
      <c r="Y237" s="95" t="n">
        <v>2017</v>
      </c>
      <c r="Z237" t="s">
        <v>266</v>
      </c>
      <c r="AA237" s="96" t="str">
        <f>IF(G237="shared-count-once",COUNTIFS($A$2:$A$313,A237,$B$2:$B$313,B237,$D$2:$D$313,D237),1)</f>
      </c>
    </row>
    <row r="238">
      <c r="A238" t="s">
        <v>76</v>
      </c>
      <c r="B238" s="74" t="n">
        <v>2027</v>
      </c>
      <c r="C238" t="s">
        <v>203</v>
      </c>
      <c r="D238" s="75" t="s">
        <v>346</v>
      </c>
      <c r="E238" s="76" t="s">
        <v>347</v>
      </c>
      <c r="F238" s="77" t="s">
        <v>209</v>
      </c>
      <c r="G238" s="78" t="s">
        <v>337</v>
      </c>
      <c r="H238" s="79" t="s">
        <v>339</v>
      </c>
      <c r="I238" s="80" t="n">
        <v>1</v>
      </c>
      <c r="J238" s="81" t="n">
        <v>1</v>
      </c>
      <c r="K238" s="82" t="n">
        <v>0.004</v>
      </c>
      <c r="L238" s="83" t="n">
        <v>292252895.096956</v>
      </c>
      <c r="M238" s="84" t="n">
        <v>292252895.096956</v>
      </c>
      <c r="N238" s="85" t="str">
        <f>MIN(MAX((B238-'Calculation_Assumptions'!$B$5+1)/'Calculation_Assumptions'!$B$7,0),1)</f>
      </c>
      <c r="O238" s="86" t="str">
        <f>L238*I238</f>
      </c>
      <c r="P238" s="87" t="str">
        <f>M238*I238</f>
      </c>
      <c r="Q238" s="88" t="str">
        <f>P238*'Calculation_Assumptions'!$B$14*J238*K238</f>
      </c>
      <c r="R238" s="89" t="str">
        <f>O238*N238*J238*K238</f>
      </c>
      <c r="S238" s="90" t="str">
        <f>R238-Q238</f>
      </c>
      <c r="T238" s="91" t="str">
        <f>1/(1+'Calculation_Assumptions'!$B$8)^(B238-'Calculation_Assumptions'!$B$2)</f>
      </c>
      <c r="U238" s="92" t="str">
        <f>Q238*T238</f>
      </c>
      <c r="V238" s="93" t="str">
        <f>R238*T238</f>
      </c>
      <c r="W238" s="94" t="str">
        <f>S238*T238</f>
      </c>
      <c r="X238" t="n">
        <v>0</v>
      </c>
      <c r="Y238" s="95" t="n">
        <v>2017</v>
      </c>
      <c r="Z238" t="s">
        <v>266</v>
      </c>
      <c r="AA238" s="96" t="str">
        <f>IF(G238="shared-count-once",COUNTIFS($A$2:$A$313,A238,$B$2:$B$313,B238,$D$2:$D$313,D238),1)</f>
      </c>
    </row>
    <row r="239">
      <c r="A239" t="s">
        <v>76</v>
      </c>
      <c r="B239" s="74" t="n">
        <v>2028</v>
      </c>
      <c r="C239" t="s">
        <v>203</v>
      </c>
      <c r="D239" s="75" t="s">
        <v>346</v>
      </c>
      <c r="E239" s="76" t="s">
        <v>347</v>
      </c>
      <c r="F239" s="77" t="s">
        <v>209</v>
      </c>
      <c r="G239" s="78" t="s">
        <v>337</v>
      </c>
      <c r="H239" s="79" t="s">
        <v>339</v>
      </c>
      <c r="I239" s="80" t="n">
        <v>1</v>
      </c>
      <c r="J239" s="81" t="n">
        <v>1</v>
      </c>
      <c r="K239" s="82" t="n">
        <v>0.004</v>
      </c>
      <c r="L239" s="83" t="n">
        <v>294318750.706066</v>
      </c>
      <c r="M239" s="84" t="n">
        <v>294314895.305465</v>
      </c>
      <c r="N239" s="85" t="str">
        <f>MIN(MAX((B239-'Calculation_Assumptions'!$B$5+1)/'Calculation_Assumptions'!$B$7,0),1)</f>
      </c>
      <c r="O239" s="86" t="str">
        <f>L239*I239</f>
      </c>
      <c r="P239" s="87" t="str">
        <f>M239*I239</f>
      </c>
      <c r="Q239" s="88" t="str">
        <f>P239*'Calculation_Assumptions'!$B$14*J239*K239</f>
      </c>
      <c r="R239" s="89" t="str">
        <f>O239*N239*J239*K239</f>
      </c>
      <c r="S239" s="90" t="str">
        <f>R239-Q239</f>
      </c>
      <c r="T239" s="91" t="str">
        <f>1/(1+'Calculation_Assumptions'!$B$8)^(B239-'Calculation_Assumptions'!$B$2)</f>
      </c>
      <c r="U239" s="92" t="str">
        <f>Q239*T239</f>
      </c>
      <c r="V239" s="93" t="str">
        <f>R239*T239</f>
      </c>
      <c r="W239" s="94" t="str">
        <f>S239*T239</f>
      </c>
      <c r="X239" t="n">
        <v>0</v>
      </c>
      <c r="Y239" s="95" t="n">
        <v>2017</v>
      </c>
      <c r="Z239" t="s">
        <v>266</v>
      </c>
      <c r="AA239" s="96" t="str">
        <f>IF(G239="shared-count-once",COUNTIFS($A$2:$A$313,A239,$B$2:$B$313,B239,$D$2:$D$313,D239),1)</f>
      </c>
    </row>
    <row r="240">
      <c r="A240" t="s">
        <v>76</v>
      </c>
      <c r="B240" s="74" t="n">
        <v>2029</v>
      </c>
      <c r="C240" t="s">
        <v>203</v>
      </c>
      <c r="D240" s="75" t="s">
        <v>346</v>
      </c>
      <c r="E240" s="76" t="s">
        <v>347</v>
      </c>
      <c r="F240" s="77" t="s">
        <v>209</v>
      </c>
      <c r="G240" s="78" t="s">
        <v>337</v>
      </c>
      <c r="H240" s="79" t="s">
        <v>339</v>
      </c>
      <c r="I240" s="80" t="n">
        <v>1</v>
      </c>
      <c r="J240" s="81" t="n">
        <v>1</v>
      </c>
      <c r="K240" s="82" t="n">
        <v>0.004</v>
      </c>
      <c r="L240" s="83" t="n">
        <v>296356322.266156</v>
      </c>
      <c r="M240" s="84" t="n">
        <v>296341062.542853</v>
      </c>
      <c r="N240" s="85" t="str">
        <f>MIN(MAX((B240-'Calculation_Assumptions'!$B$5+1)/'Calculation_Assumptions'!$B$7,0),1)</f>
      </c>
      <c r="O240" s="86" t="str">
        <f>L240*I240</f>
      </c>
      <c r="P240" s="87" t="str">
        <f>M240*I240</f>
      </c>
      <c r="Q240" s="88" t="str">
        <f>P240*'Calculation_Assumptions'!$B$14*J240*K240</f>
      </c>
      <c r="R240" s="89" t="str">
        <f>O240*N240*J240*K240</f>
      </c>
      <c r="S240" s="90" t="str">
        <f>R240-Q240</f>
      </c>
      <c r="T240" s="91" t="str">
        <f>1/(1+'Calculation_Assumptions'!$B$8)^(B240-'Calculation_Assumptions'!$B$2)</f>
      </c>
      <c r="U240" s="92" t="str">
        <f>Q240*T240</f>
      </c>
      <c r="V240" s="93" t="str">
        <f>R240*T240</f>
      </c>
      <c r="W240" s="94" t="str">
        <f>S240*T240</f>
      </c>
      <c r="X240" t="n">
        <v>0</v>
      </c>
      <c r="Y240" s="95" t="n">
        <v>2017</v>
      </c>
      <c r="Z240" t="s">
        <v>266</v>
      </c>
      <c r="AA240" s="96" t="str">
        <f>IF(G240="shared-count-once",COUNTIFS($A$2:$A$313,A240,$B$2:$B$313,B240,$D$2:$D$313,D240),1)</f>
      </c>
    </row>
    <row r="241">
      <c r="A241" t="s">
        <v>76</v>
      </c>
      <c r="B241" s="74" t="n">
        <v>2030</v>
      </c>
      <c r="C241" t="s">
        <v>203</v>
      </c>
      <c r="D241" s="75" t="s">
        <v>346</v>
      </c>
      <c r="E241" s="76" t="s">
        <v>347</v>
      </c>
      <c r="F241" s="77" t="s">
        <v>209</v>
      </c>
      <c r="G241" s="78" t="s">
        <v>337</v>
      </c>
      <c r="H241" s="79" t="s">
        <v>339</v>
      </c>
      <c r="I241" s="80" t="n">
        <v>1</v>
      </c>
      <c r="J241" s="81" t="n">
        <v>1</v>
      </c>
      <c r="K241" s="82" t="n">
        <v>0.004</v>
      </c>
      <c r="L241" s="83" t="n">
        <v>298317004.678736</v>
      </c>
      <c r="M241" s="84" t="n">
        <v>298280286.057263</v>
      </c>
      <c r="N241" s="85" t="str">
        <f>MIN(MAX((B241-'Calculation_Assumptions'!$B$5+1)/'Calculation_Assumptions'!$B$7,0),1)</f>
      </c>
      <c r="O241" s="86" t="str">
        <f>L241*I241</f>
      </c>
      <c r="P241" s="87" t="str">
        <f>M241*I241</f>
      </c>
      <c r="Q241" s="88" t="str">
        <f>P241*'Calculation_Assumptions'!$B$14*J241*K241</f>
      </c>
      <c r="R241" s="89" t="str">
        <f>O241*N241*J241*K241</f>
      </c>
      <c r="S241" s="90" t="str">
        <f>R241-Q241</f>
      </c>
      <c r="T241" s="91" t="str">
        <f>1/(1+'Calculation_Assumptions'!$B$8)^(B241-'Calculation_Assumptions'!$B$2)</f>
      </c>
      <c r="U241" s="92" t="str">
        <f>Q241*T241</f>
      </c>
      <c r="V241" s="93" t="str">
        <f>R241*T241</f>
      </c>
      <c r="W241" s="94" t="str">
        <f>S241*T241</f>
      </c>
      <c r="X241" t="n">
        <v>0</v>
      </c>
      <c r="Y241" s="95" t="n">
        <v>2017</v>
      </c>
      <c r="Z241" t="s">
        <v>266</v>
      </c>
      <c r="AA241" s="96" t="str">
        <f>IF(G241="shared-count-once",COUNTIFS($A$2:$A$313,A241,$B$2:$B$313,B241,$D$2:$D$313,D241),1)</f>
      </c>
    </row>
    <row r="242">
      <c r="A242" t="s">
        <v>76</v>
      </c>
      <c r="B242" s="74" t="n">
        <v>2031</v>
      </c>
      <c r="C242" t="s">
        <v>203</v>
      </c>
      <c r="D242" s="75" t="s">
        <v>346</v>
      </c>
      <c r="E242" s="76" t="s">
        <v>347</v>
      </c>
      <c r="F242" s="77" t="s">
        <v>209</v>
      </c>
      <c r="G242" s="78" t="s">
        <v>337</v>
      </c>
      <c r="H242" s="79" t="s">
        <v>339</v>
      </c>
      <c r="I242" s="80" t="n">
        <v>1</v>
      </c>
      <c r="J242" s="81" t="n">
        <v>1</v>
      </c>
      <c r="K242" s="82" t="n">
        <v>0.004</v>
      </c>
      <c r="L242" s="83" t="n">
        <v>300222863.165616</v>
      </c>
      <c r="M242" s="84" t="n">
        <v>300152603.254782</v>
      </c>
      <c r="N242" s="85" t="str">
        <f>MIN(MAX((B242-'Calculation_Assumptions'!$B$5+1)/'Calculation_Assumptions'!$B$7,0),1)</f>
      </c>
      <c r="O242" s="86" t="str">
        <f>L242*I242</f>
      </c>
      <c r="P242" s="87" t="str">
        <f>M242*I242</f>
      </c>
      <c r="Q242" s="88" t="str">
        <f>P242*'Calculation_Assumptions'!$B$14*J242*K242</f>
      </c>
      <c r="R242" s="89" t="str">
        <f>O242*N242*J242*K242</f>
      </c>
      <c r="S242" s="90" t="str">
        <f>R242-Q242</f>
      </c>
      <c r="T242" s="91" t="str">
        <f>1/(1+'Calculation_Assumptions'!$B$8)^(B242-'Calculation_Assumptions'!$B$2)</f>
      </c>
      <c r="U242" s="92" t="str">
        <f>Q242*T242</f>
      </c>
      <c r="V242" s="93" t="str">
        <f>R242*T242</f>
      </c>
      <c r="W242" s="94" t="str">
        <f>S242*T242</f>
      </c>
      <c r="X242" t="n">
        <v>0</v>
      </c>
      <c r="Y242" s="95" t="n">
        <v>2017</v>
      </c>
      <c r="Z242" t="s">
        <v>266</v>
      </c>
      <c r="AA242" s="96" t="str">
        <f>IF(G242="shared-count-once",COUNTIFS($A$2:$A$313,A242,$B$2:$B$313,B242,$D$2:$D$313,D242),1)</f>
      </c>
    </row>
    <row r="243">
      <c r="A243" t="s">
        <v>76</v>
      </c>
      <c r="B243" s="74" t="n">
        <v>2032</v>
      </c>
      <c r="C243" t="s">
        <v>203</v>
      </c>
      <c r="D243" s="75" t="s">
        <v>346</v>
      </c>
      <c r="E243" s="76" t="s">
        <v>347</v>
      </c>
      <c r="F243" s="77" t="s">
        <v>209</v>
      </c>
      <c r="G243" s="78" t="s">
        <v>337</v>
      </c>
      <c r="H243" s="79" t="s">
        <v>339</v>
      </c>
      <c r="I243" s="80" t="n">
        <v>1</v>
      </c>
      <c r="J243" s="81" t="n">
        <v>1</v>
      </c>
      <c r="K243" s="82" t="n">
        <v>0.004</v>
      </c>
      <c r="L243" s="83" t="n">
        <v>302002258.96739</v>
      </c>
      <c r="M243" s="84" t="n">
        <v>301959399.633888</v>
      </c>
      <c r="N243" s="85" t="str">
        <f>MIN(MAX((B243-'Calculation_Assumptions'!$B$5+1)/'Calculation_Assumptions'!$B$7,0),1)</f>
      </c>
      <c r="O243" s="86" t="str">
        <f>L243*I243</f>
      </c>
      <c r="P243" s="87" t="str">
        <f>M243*I243</f>
      </c>
      <c r="Q243" s="88" t="str">
        <f>P243*'Calculation_Assumptions'!$B$14*J243*K243</f>
      </c>
      <c r="R243" s="89" t="str">
        <f>O243*N243*J243*K243</f>
      </c>
      <c r="S243" s="90" t="str">
        <f>R243-Q243</f>
      </c>
      <c r="T243" s="91" t="str">
        <f>1/(1+'Calculation_Assumptions'!$B$8)^(B243-'Calculation_Assumptions'!$B$2)</f>
      </c>
      <c r="U243" s="92" t="str">
        <f>Q243*T243</f>
      </c>
      <c r="V243" s="93" t="str">
        <f>R243*T243</f>
      </c>
      <c r="W243" s="94" t="str">
        <f>S243*T243</f>
      </c>
      <c r="X243" t="n">
        <v>0</v>
      </c>
      <c r="Y243" s="95" t="n">
        <v>2017</v>
      </c>
      <c r="Z243" t="s">
        <v>266</v>
      </c>
      <c r="AA243" s="96" t="str">
        <f>IF(G243="shared-count-once",COUNTIFS($A$2:$A$313,A243,$B$2:$B$313,B243,$D$2:$D$313,D243),1)</f>
      </c>
    </row>
    <row r="244">
      <c r="A244" t="s">
        <v>76</v>
      </c>
      <c r="B244" s="74" t="n">
        <v>2033</v>
      </c>
      <c r="C244" t="s">
        <v>203</v>
      </c>
      <c r="D244" s="75" t="s">
        <v>346</v>
      </c>
      <c r="E244" s="76" t="s">
        <v>347</v>
      </c>
      <c r="F244" s="77" t="s">
        <v>209</v>
      </c>
      <c r="G244" s="78" t="s">
        <v>337</v>
      </c>
      <c r="H244" s="79" t="s">
        <v>339</v>
      </c>
      <c r="I244" s="80" t="n">
        <v>1</v>
      </c>
      <c r="J244" s="81" t="n">
        <v>1</v>
      </c>
      <c r="K244" s="82" t="n">
        <v>0.004</v>
      </c>
      <c r="L244" s="83" t="n">
        <v>303792531.133499</v>
      </c>
      <c r="M244" s="84" t="n">
        <v>303701035.202051</v>
      </c>
      <c r="N244" s="85" t="str">
        <f>MIN(MAX((B244-'Calculation_Assumptions'!$B$5+1)/'Calculation_Assumptions'!$B$7,0),1)</f>
      </c>
      <c r="O244" s="86" t="str">
        <f>L244*I244</f>
      </c>
      <c r="P244" s="87" t="str">
        <f>M244*I244</f>
      </c>
      <c r="Q244" s="88" t="str">
        <f>P244*'Calculation_Assumptions'!$B$14*J244*K244</f>
      </c>
      <c r="R244" s="89" t="str">
        <f>O244*N244*J244*K244</f>
      </c>
      <c r="S244" s="90" t="str">
        <f>R244-Q244</f>
      </c>
      <c r="T244" s="91" t="str">
        <f>1/(1+'Calculation_Assumptions'!$B$8)^(B244-'Calculation_Assumptions'!$B$2)</f>
      </c>
      <c r="U244" s="92" t="str">
        <f>Q244*T244</f>
      </c>
      <c r="V244" s="93" t="str">
        <f>R244*T244</f>
      </c>
      <c r="W244" s="94" t="str">
        <f>S244*T244</f>
      </c>
      <c r="X244" t="n">
        <v>0</v>
      </c>
      <c r="Y244" s="95" t="n">
        <v>2017</v>
      </c>
      <c r="Z244" t="s">
        <v>266</v>
      </c>
      <c r="AA244" s="96" t="str">
        <f>IF(G244="shared-count-once",COUNTIFS($A$2:$A$313,A244,$B$2:$B$313,B244,$D$2:$D$313,D244),1)</f>
      </c>
    </row>
    <row r="245">
      <c r="A245" t="s">
        <v>76</v>
      </c>
      <c r="B245" s="74" t="n">
        <v>2034</v>
      </c>
      <c r="C245" t="s">
        <v>203</v>
      </c>
      <c r="D245" s="75" t="s">
        <v>346</v>
      </c>
      <c r="E245" s="76" t="s">
        <v>347</v>
      </c>
      <c r="F245" s="77" t="s">
        <v>209</v>
      </c>
      <c r="G245" s="78" t="s">
        <v>337</v>
      </c>
      <c r="H245" s="79" t="s">
        <v>339</v>
      </c>
      <c r="I245" s="80" t="n">
        <v>1</v>
      </c>
      <c r="J245" s="81" t="n">
        <v>1</v>
      </c>
      <c r="K245" s="82" t="n">
        <v>0.004</v>
      </c>
      <c r="L245" s="83" t="n">
        <v>305527186.929355</v>
      </c>
      <c r="M245" s="84" t="n">
        <v>305377998.093319</v>
      </c>
      <c r="N245" s="85" t="str">
        <f>MIN(MAX((B245-'Calculation_Assumptions'!$B$5+1)/'Calculation_Assumptions'!$B$7,0),1)</f>
      </c>
      <c r="O245" s="86" t="str">
        <f>L245*I245</f>
      </c>
      <c r="P245" s="87" t="str">
        <f>M245*I245</f>
      </c>
      <c r="Q245" s="88" t="str">
        <f>P245*'Calculation_Assumptions'!$B$14*J245*K245</f>
      </c>
      <c r="R245" s="89" t="str">
        <f>O245*N245*J245*K245</f>
      </c>
      <c r="S245" s="90" t="str">
        <f>R245-Q245</f>
      </c>
      <c r="T245" s="91" t="str">
        <f>1/(1+'Calculation_Assumptions'!$B$8)^(B245-'Calculation_Assumptions'!$B$2)</f>
      </c>
      <c r="U245" s="92" t="str">
        <f>Q245*T245</f>
      </c>
      <c r="V245" s="93" t="str">
        <f>R245*T245</f>
      </c>
      <c r="W245" s="94" t="str">
        <f>S245*T245</f>
      </c>
      <c r="X245" t="n">
        <v>0</v>
      </c>
      <c r="Y245" s="95" t="n">
        <v>2017</v>
      </c>
      <c r="Z245" t="s">
        <v>266</v>
      </c>
      <c r="AA245" s="96" t="str">
        <f>IF(G245="shared-count-once",COUNTIFS($A$2:$A$313,A245,$B$2:$B$313,B245,$D$2:$D$313,D245),1)</f>
      </c>
    </row>
    <row r="246">
      <c r="A246" t="s">
        <v>76</v>
      </c>
      <c r="B246" s="74" t="n">
        <v>2035</v>
      </c>
      <c r="C246" t="s">
        <v>203</v>
      </c>
      <c r="D246" s="75" t="s">
        <v>346</v>
      </c>
      <c r="E246" s="76" t="s">
        <v>347</v>
      </c>
      <c r="F246" s="77" t="s">
        <v>209</v>
      </c>
      <c r="G246" s="78" t="s">
        <v>337</v>
      </c>
      <c r="H246" s="79" t="s">
        <v>339</v>
      </c>
      <c r="I246" s="80" t="n">
        <v>1</v>
      </c>
      <c r="J246" s="81" t="n">
        <v>1</v>
      </c>
      <c r="K246" s="82" t="n">
        <v>0.004</v>
      </c>
      <c r="L246" s="83" t="n">
        <v>307204550.865101</v>
      </c>
      <c r="M246" s="84" t="n">
        <v>306989258.29407</v>
      </c>
      <c r="N246" s="85" t="str">
        <f>MIN(MAX((B246-'Calculation_Assumptions'!$B$5+1)/'Calculation_Assumptions'!$B$7,0),1)</f>
      </c>
      <c r="O246" s="86" t="str">
        <f>L246*I246</f>
      </c>
      <c r="P246" s="87" t="str">
        <f>M246*I246</f>
      </c>
      <c r="Q246" s="88" t="str">
        <f>P246*'Calculation_Assumptions'!$B$14*J246*K246</f>
      </c>
      <c r="R246" s="89" t="str">
        <f>O246*N246*J246*K246</f>
      </c>
      <c r="S246" s="90" t="str">
        <f>R246-Q246</f>
      </c>
      <c r="T246" s="91" t="str">
        <f>1/(1+'Calculation_Assumptions'!$B$8)^(B246-'Calculation_Assumptions'!$B$2)</f>
      </c>
      <c r="U246" s="92" t="str">
        <f>Q246*T246</f>
      </c>
      <c r="V246" s="93" t="str">
        <f>R246*T246</f>
      </c>
      <c r="W246" s="94" t="str">
        <f>S246*T246</f>
      </c>
      <c r="X246" t="n">
        <v>0</v>
      </c>
      <c r="Y246" s="95" t="n">
        <v>2017</v>
      </c>
      <c r="Z246" t="s">
        <v>266</v>
      </c>
      <c r="AA246" s="96" t="str">
        <f>IF(G246="shared-count-once",COUNTIFS($A$2:$A$313,A246,$B$2:$B$313,B246,$D$2:$D$313,D246),1)</f>
      </c>
    </row>
    <row r="247">
      <c r="A247" t="s">
        <v>76</v>
      </c>
      <c r="B247" s="74" t="n">
        <v>2036</v>
      </c>
      <c r="C247" t="s">
        <v>203</v>
      </c>
      <c r="D247" s="75" t="s">
        <v>346</v>
      </c>
      <c r="E247" s="76" t="s">
        <v>347</v>
      </c>
      <c r="F247" s="77" t="s">
        <v>209</v>
      </c>
      <c r="G247" s="78" t="s">
        <v>337</v>
      </c>
      <c r="H247" s="79" t="s">
        <v>339</v>
      </c>
      <c r="I247" s="80" t="n">
        <v>1</v>
      </c>
      <c r="J247" s="81" t="n">
        <v>1</v>
      </c>
      <c r="K247" s="82" t="n">
        <v>0.004</v>
      </c>
      <c r="L247" s="83" t="n">
        <v>308826793.60125</v>
      </c>
      <c r="M247" s="84" t="n">
        <v>308537399.672094</v>
      </c>
      <c r="N247" s="85" t="str">
        <f>MIN(MAX((B247-'Calculation_Assumptions'!$B$5+1)/'Calculation_Assumptions'!$B$7,0),1)</f>
      </c>
      <c r="O247" s="86" t="str">
        <f>L247*I247</f>
      </c>
      <c r="P247" s="87" t="str">
        <f>M247*I247</f>
      </c>
      <c r="Q247" s="88" t="str">
        <f>P247*'Calculation_Assumptions'!$B$14*J247*K247</f>
      </c>
      <c r="R247" s="89" t="str">
        <f>O247*N247*J247*K247</f>
      </c>
      <c r="S247" s="90" t="str">
        <f>R247-Q247</f>
      </c>
      <c r="T247" s="91" t="str">
        <f>1/(1+'Calculation_Assumptions'!$B$8)^(B247-'Calculation_Assumptions'!$B$2)</f>
      </c>
      <c r="U247" s="92" t="str">
        <f>Q247*T247</f>
      </c>
      <c r="V247" s="93" t="str">
        <f>R247*T247</f>
      </c>
      <c r="W247" s="94" t="str">
        <f>S247*T247</f>
      </c>
      <c r="X247" t="n">
        <v>0</v>
      </c>
      <c r="Y247" s="95" t="n">
        <v>2017</v>
      </c>
      <c r="Z247" t="s">
        <v>266</v>
      </c>
      <c r="AA247" s="96" t="str">
        <f>IF(G247="shared-count-once",COUNTIFS($A$2:$A$313,A247,$B$2:$B$313,B247,$D$2:$D$313,D247),1)</f>
      </c>
    </row>
    <row r="248">
      <c r="A248" t="s">
        <v>76</v>
      </c>
      <c r="B248" s="74" t="n">
        <v>2037</v>
      </c>
      <c r="C248" t="s">
        <v>203</v>
      </c>
      <c r="D248" s="75" t="s">
        <v>346</v>
      </c>
      <c r="E248" s="76" t="s">
        <v>347</v>
      </c>
      <c r="F248" s="77" t="s">
        <v>209</v>
      </c>
      <c r="G248" s="78" t="s">
        <v>337</v>
      </c>
      <c r="H248" s="79" t="s">
        <v>339</v>
      </c>
      <c r="I248" s="80" t="n">
        <v>1</v>
      </c>
      <c r="J248" s="81" t="n">
        <v>1</v>
      </c>
      <c r="K248" s="82" t="n">
        <v>0.004</v>
      </c>
      <c r="L248" s="83" t="n">
        <v>310394148.511485</v>
      </c>
      <c r="M248" s="84" t="n">
        <v>310023120.393472</v>
      </c>
      <c r="N248" s="85" t="str">
        <f>MIN(MAX((B248-'Calculation_Assumptions'!$B$5+1)/'Calculation_Assumptions'!$B$7,0),1)</f>
      </c>
      <c r="O248" s="86" t="str">
        <f>L248*I248</f>
      </c>
      <c r="P248" s="87" t="str">
        <f>M248*I248</f>
      </c>
      <c r="Q248" s="88" t="str">
        <f>P248*'Calculation_Assumptions'!$B$14*J248*K248</f>
      </c>
      <c r="R248" s="89" t="str">
        <f>O248*N248*J248*K248</f>
      </c>
      <c r="S248" s="90" t="str">
        <f>R248-Q248</f>
      </c>
      <c r="T248" s="91" t="str">
        <f>1/(1+'Calculation_Assumptions'!$B$8)^(B248-'Calculation_Assumptions'!$B$2)</f>
      </c>
      <c r="U248" s="92" t="str">
        <f>Q248*T248</f>
      </c>
      <c r="V248" s="93" t="str">
        <f>R248*T248</f>
      </c>
      <c r="W248" s="94" t="str">
        <f>S248*T248</f>
      </c>
      <c r="X248" t="n">
        <v>0</v>
      </c>
      <c r="Y248" s="95" t="n">
        <v>2017</v>
      </c>
      <c r="Z248" t="s">
        <v>266</v>
      </c>
      <c r="AA248" s="96" t="str">
        <f>IF(G248="shared-count-once",COUNTIFS($A$2:$A$313,A248,$B$2:$B$313,B248,$D$2:$D$313,D248),1)</f>
      </c>
    </row>
    <row r="249">
      <c r="A249" t="s">
        <v>76</v>
      </c>
      <c r="B249" s="74" t="n">
        <v>2038</v>
      </c>
      <c r="C249" t="s">
        <v>203</v>
      </c>
      <c r="D249" s="75" t="s">
        <v>346</v>
      </c>
      <c r="E249" s="76" t="s">
        <v>347</v>
      </c>
      <c r="F249" s="77" t="s">
        <v>209</v>
      </c>
      <c r="G249" s="78" t="s">
        <v>337</v>
      </c>
      <c r="H249" s="79" t="s">
        <v>339</v>
      </c>
      <c r="I249" s="80" t="n">
        <v>1</v>
      </c>
      <c r="J249" s="81" t="n">
        <v>1</v>
      </c>
      <c r="K249" s="82" t="n">
        <v>0.004</v>
      </c>
      <c r="L249" s="83" t="n">
        <v>311906222.578398</v>
      </c>
      <c r="M249" s="84" t="n">
        <v>311445837.134625</v>
      </c>
      <c r="N249" s="85" t="str">
        <f>MIN(MAX((B249-'Calculation_Assumptions'!$B$5+1)/'Calculation_Assumptions'!$B$7,0),1)</f>
      </c>
      <c r="O249" s="86" t="str">
        <f>L249*I249</f>
      </c>
      <c r="P249" s="87" t="str">
        <f>M249*I249</f>
      </c>
      <c r="Q249" s="88" t="str">
        <f>P249*'Calculation_Assumptions'!$B$14*J249*K249</f>
      </c>
      <c r="R249" s="89" t="str">
        <f>O249*N249*J249*K249</f>
      </c>
      <c r="S249" s="90" t="str">
        <f>R249-Q249</f>
      </c>
      <c r="T249" s="91" t="str">
        <f>1/(1+'Calculation_Assumptions'!$B$8)^(B249-'Calculation_Assumptions'!$B$2)</f>
      </c>
      <c r="U249" s="92" t="str">
        <f>Q249*T249</f>
      </c>
      <c r="V249" s="93" t="str">
        <f>R249*T249</f>
      </c>
      <c r="W249" s="94" t="str">
        <f>S249*T249</f>
      </c>
      <c r="X249" t="n">
        <v>0</v>
      </c>
      <c r="Y249" s="95" t="n">
        <v>2017</v>
      </c>
      <c r="Z249" t="s">
        <v>266</v>
      </c>
      <c r="AA249" s="96" t="str">
        <f>IF(G249="shared-count-once",COUNTIFS($A$2:$A$313,A249,$B$2:$B$313,B249,$D$2:$D$313,D249),1)</f>
      </c>
    </row>
    <row r="250">
      <c r="A250" t="s">
        <v>76</v>
      </c>
      <c r="B250" s="74" t="n">
        <v>2039</v>
      </c>
      <c r="C250" t="s">
        <v>203</v>
      </c>
      <c r="D250" s="75" t="s">
        <v>346</v>
      </c>
      <c r="E250" s="76" t="s">
        <v>347</v>
      </c>
      <c r="F250" s="77" t="s">
        <v>209</v>
      </c>
      <c r="G250" s="78" t="s">
        <v>337</v>
      </c>
      <c r="H250" s="79" t="s">
        <v>339</v>
      </c>
      <c r="I250" s="80" t="n">
        <v>1</v>
      </c>
      <c r="J250" s="81" t="n">
        <v>1</v>
      </c>
      <c r="K250" s="82" t="n">
        <v>0.004</v>
      </c>
      <c r="L250" s="83" t="n">
        <v>313363821.520615</v>
      </c>
      <c r="M250" s="84" t="n">
        <v>312806989.715685</v>
      </c>
      <c r="N250" s="85" t="str">
        <f>MIN(MAX((B250-'Calculation_Assumptions'!$B$5+1)/'Calculation_Assumptions'!$B$7,0),1)</f>
      </c>
      <c r="O250" s="86" t="str">
        <f>L250*I250</f>
      </c>
      <c r="P250" s="87" t="str">
        <f>M250*I250</f>
      </c>
      <c r="Q250" s="88" t="str">
        <f>P250*'Calculation_Assumptions'!$B$14*J250*K250</f>
      </c>
      <c r="R250" s="89" t="str">
        <f>O250*N250*J250*K250</f>
      </c>
      <c r="S250" s="90" t="str">
        <f>R250-Q250</f>
      </c>
      <c r="T250" s="91" t="str">
        <f>1/(1+'Calculation_Assumptions'!$B$8)^(B250-'Calculation_Assumptions'!$B$2)</f>
      </c>
      <c r="U250" s="92" t="str">
        <f>Q250*T250</f>
      </c>
      <c r="V250" s="93" t="str">
        <f>R250*T250</f>
      </c>
      <c r="W250" s="94" t="str">
        <f>S250*T250</f>
      </c>
      <c r="X250" t="n">
        <v>0</v>
      </c>
      <c r="Y250" s="95" t="n">
        <v>2017</v>
      </c>
      <c r="Z250" t="s">
        <v>266</v>
      </c>
      <c r="AA250" s="96" t="str">
        <f>IF(G250="shared-count-once",COUNTIFS($A$2:$A$313,A250,$B$2:$B$313,B250,$D$2:$D$313,D250),1)</f>
      </c>
    </row>
    <row r="251">
      <c r="A251" t="s">
        <v>76</v>
      </c>
      <c r="B251" s="74" t="n">
        <v>2040</v>
      </c>
      <c r="C251" t="s">
        <v>203</v>
      </c>
      <c r="D251" s="75" t="s">
        <v>346</v>
      </c>
      <c r="E251" s="76" t="s">
        <v>347</v>
      </c>
      <c r="F251" s="77" t="s">
        <v>209</v>
      </c>
      <c r="G251" s="78" t="s">
        <v>337</v>
      </c>
      <c r="H251" s="79" t="s">
        <v>339</v>
      </c>
      <c r="I251" s="80" t="n">
        <v>1</v>
      </c>
      <c r="J251" s="81" t="n">
        <v>1</v>
      </c>
      <c r="K251" s="82" t="n">
        <v>0.004</v>
      </c>
      <c r="L251" s="83" t="n">
        <v>314768783.154633</v>
      </c>
      <c r="M251" s="84" t="n">
        <v>314109251.582649</v>
      </c>
      <c r="N251" s="85" t="str">
        <f>MIN(MAX((B251-'Calculation_Assumptions'!$B$5+1)/'Calculation_Assumptions'!$B$7,0),1)</f>
      </c>
      <c r="O251" s="86" t="str">
        <f>L251*I251</f>
      </c>
      <c r="P251" s="87" t="str">
        <f>M251*I251</f>
      </c>
      <c r="Q251" s="88" t="str">
        <f>P251*'Calculation_Assumptions'!$B$14*J251*K251</f>
      </c>
      <c r="R251" s="89" t="str">
        <f>O251*N251*J251*K251</f>
      </c>
      <c r="S251" s="90" t="str">
        <f>R251-Q251</f>
      </c>
      <c r="T251" s="91" t="str">
        <f>1/(1+'Calculation_Assumptions'!$B$8)^(B251-'Calculation_Assumptions'!$B$2)</f>
      </c>
      <c r="U251" s="92" t="str">
        <f>Q251*T251</f>
      </c>
      <c r="V251" s="93" t="str">
        <f>R251*T251</f>
      </c>
      <c r="W251" s="94" t="str">
        <f>S251*T251</f>
      </c>
      <c r="X251" t="n">
        <v>0</v>
      </c>
      <c r="Y251" s="95" t="n">
        <v>2017</v>
      </c>
      <c r="Z251" t="s">
        <v>266</v>
      </c>
      <c r="AA251" s="96" t="str">
        <f>IF(G251="shared-count-once",COUNTIFS($A$2:$A$313,A251,$B$2:$B$313,B251,$D$2:$D$313,D251),1)</f>
      </c>
    </row>
    <row r="252">
      <c r="A252" t="s">
        <v>76</v>
      </c>
      <c r="B252" s="74" t="n">
        <v>2041</v>
      </c>
      <c r="C252" t="s">
        <v>203</v>
      </c>
      <c r="D252" s="75" t="s">
        <v>346</v>
      </c>
      <c r="E252" s="76" t="s">
        <v>347</v>
      </c>
      <c r="F252" s="77" t="s">
        <v>209</v>
      </c>
      <c r="G252" s="78" t="s">
        <v>337</v>
      </c>
      <c r="H252" s="79" t="s">
        <v>339</v>
      </c>
      <c r="I252" s="80" t="n">
        <v>1</v>
      </c>
      <c r="J252" s="81" t="n">
        <v>1</v>
      </c>
      <c r="K252" s="82" t="n">
        <v>0.004</v>
      </c>
      <c r="L252" s="83" t="n">
        <v>316119789.295805</v>
      </c>
      <c r="M252" s="84" t="n">
        <v>315352079.812423</v>
      </c>
      <c r="N252" s="85" t="str">
        <f>MIN(MAX((B252-'Calculation_Assumptions'!$B$5+1)/'Calculation_Assumptions'!$B$7,0),1)</f>
      </c>
      <c r="O252" s="86" t="str">
        <f>L252*I252</f>
      </c>
      <c r="P252" s="87" t="str">
        <f>M252*I252</f>
      </c>
      <c r="Q252" s="88" t="str">
        <f>P252*'Calculation_Assumptions'!$B$14*J252*K252</f>
      </c>
      <c r="R252" s="89" t="str">
        <f>O252*N252*J252*K252</f>
      </c>
      <c r="S252" s="90" t="str">
        <f>R252-Q252</f>
      </c>
      <c r="T252" s="91" t="str">
        <f>1/(1+'Calculation_Assumptions'!$B$8)^(B252-'Calculation_Assumptions'!$B$2)</f>
      </c>
      <c r="U252" s="92" t="str">
        <f>Q252*T252</f>
      </c>
      <c r="V252" s="93" t="str">
        <f>R252*T252</f>
      </c>
      <c r="W252" s="94" t="str">
        <f>S252*T252</f>
      </c>
      <c r="X252" t="n">
        <v>0</v>
      </c>
      <c r="Y252" s="95" t="n">
        <v>2017</v>
      </c>
      <c r="Z252" t="s">
        <v>266</v>
      </c>
      <c r="AA252" s="96" t="str">
        <f>IF(G252="shared-count-once",COUNTIFS($A$2:$A$313,A252,$B$2:$B$313,B252,$D$2:$D$313,D252),1)</f>
      </c>
    </row>
    <row r="253">
      <c r="A253" t="s">
        <v>76</v>
      </c>
      <c r="B253" s="74" t="n">
        <v>2042</v>
      </c>
      <c r="C253" t="s">
        <v>203</v>
      </c>
      <c r="D253" s="75" t="s">
        <v>346</v>
      </c>
      <c r="E253" s="76" t="s">
        <v>347</v>
      </c>
      <c r="F253" s="77" t="s">
        <v>209</v>
      </c>
      <c r="G253" s="78" t="s">
        <v>337</v>
      </c>
      <c r="H253" s="79" t="s">
        <v>339</v>
      </c>
      <c r="I253" s="80" t="n">
        <v>1</v>
      </c>
      <c r="J253" s="81" t="n">
        <v>1</v>
      </c>
      <c r="K253" s="82" t="n">
        <v>0.004</v>
      </c>
      <c r="L253" s="83" t="n">
        <v>317417240.496476</v>
      </c>
      <c r="M253" s="84" t="n">
        <v>316395286.312016</v>
      </c>
      <c r="N253" s="85" t="str">
        <f>MIN(MAX((B253-'Calculation_Assumptions'!$B$5+1)/'Calculation_Assumptions'!$B$7,0),1)</f>
      </c>
      <c r="O253" s="86" t="str">
        <f>L253*I253</f>
      </c>
      <c r="P253" s="87" t="str">
        <f>M253*I253</f>
      </c>
      <c r="Q253" s="88" t="str">
        <f>P253*'Calculation_Assumptions'!$B$14*J253*K253</f>
      </c>
      <c r="R253" s="89" t="str">
        <f>O253*N253*J253*K253</f>
      </c>
      <c r="S253" s="90" t="str">
        <f>R253-Q253</f>
      </c>
      <c r="T253" s="91" t="str">
        <f>1/(1+'Calculation_Assumptions'!$B$8)^(B253-'Calculation_Assumptions'!$B$2)</f>
      </c>
      <c r="U253" s="92" t="str">
        <f>Q253*T253</f>
      </c>
      <c r="V253" s="93" t="str">
        <f>R253*T253</f>
      </c>
      <c r="W253" s="94" t="str">
        <f>S253*T253</f>
      </c>
      <c r="X253" t="n">
        <v>0</v>
      </c>
      <c r="Y253" s="95" t="n">
        <v>2017</v>
      </c>
      <c r="Z253" t="s">
        <v>266</v>
      </c>
      <c r="AA253" s="96" t="str">
        <f>IF(G253="shared-count-once",COUNTIFS($A$2:$A$313,A253,$B$2:$B$313,B253,$D$2:$D$313,D253),1)</f>
      </c>
    </row>
    <row r="254">
      <c r="A254" t="s">
        <v>76</v>
      </c>
      <c r="B254" s="74" t="n">
        <v>2043</v>
      </c>
      <c r="C254" t="s">
        <v>203</v>
      </c>
      <c r="D254" s="75" t="s">
        <v>346</v>
      </c>
      <c r="E254" s="76" t="s">
        <v>347</v>
      </c>
      <c r="F254" s="77" t="s">
        <v>209</v>
      </c>
      <c r="G254" s="78" t="s">
        <v>337</v>
      </c>
      <c r="H254" s="79" t="s">
        <v>339</v>
      </c>
      <c r="I254" s="80" t="n">
        <v>1</v>
      </c>
      <c r="J254" s="81" t="n">
        <v>1</v>
      </c>
      <c r="K254" s="82" t="n">
        <v>0.004</v>
      </c>
      <c r="L254" s="83" t="n">
        <v>318779591.219905</v>
      </c>
      <c r="M254" s="84" t="n">
        <v>317619735.688289</v>
      </c>
      <c r="N254" s="85" t="str">
        <f>MIN(MAX((B254-'Calculation_Assumptions'!$B$5+1)/'Calculation_Assumptions'!$B$7,0),1)</f>
      </c>
      <c r="O254" s="86" t="str">
        <f>L254*I254</f>
      </c>
      <c r="P254" s="87" t="str">
        <f>M254*I254</f>
      </c>
      <c r="Q254" s="88" t="str">
        <f>P254*'Calculation_Assumptions'!$B$14*J254*K254</f>
      </c>
      <c r="R254" s="89" t="str">
        <f>O254*N254*J254*K254</f>
      </c>
      <c r="S254" s="90" t="str">
        <f>R254-Q254</f>
      </c>
      <c r="T254" s="91" t="str">
        <f>1/(1+'Calculation_Assumptions'!$B$8)^(B254-'Calculation_Assumptions'!$B$2)</f>
      </c>
      <c r="U254" s="92" t="str">
        <f>Q254*T254</f>
      </c>
      <c r="V254" s="93" t="str">
        <f>R254*T254</f>
      </c>
      <c r="W254" s="94" t="str">
        <f>S254*T254</f>
      </c>
      <c r="X254" t="n">
        <v>0</v>
      </c>
      <c r="Y254" s="95" t="n">
        <v>2017</v>
      </c>
      <c r="Z254" t="s">
        <v>266</v>
      </c>
      <c r="AA254" s="96" t="str">
        <f>IF(G254="shared-count-once",COUNTIFS($A$2:$A$313,A254,$B$2:$B$313,B254,$D$2:$D$313,D254),1)</f>
      </c>
    </row>
    <row r="255">
      <c r="A255" t="s">
        <v>76</v>
      </c>
      <c r="B255" s="74" t="n">
        <v>2044</v>
      </c>
      <c r="C255" t="s">
        <v>203</v>
      </c>
      <c r="D255" s="75" t="s">
        <v>346</v>
      </c>
      <c r="E255" s="76" t="s">
        <v>347</v>
      </c>
      <c r="F255" s="77" t="s">
        <v>209</v>
      </c>
      <c r="G255" s="78" t="s">
        <v>337</v>
      </c>
      <c r="H255" s="79" t="s">
        <v>339</v>
      </c>
      <c r="I255" s="80" t="n">
        <v>1</v>
      </c>
      <c r="J255" s="81" t="n">
        <v>1</v>
      </c>
      <c r="K255" s="82" t="n">
        <v>0.004</v>
      </c>
      <c r="L255" s="83" t="n">
        <v>319985562.367227</v>
      </c>
      <c r="M255" s="84" t="n">
        <v>318697135.863652</v>
      </c>
      <c r="N255" s="85" t="str">
        <f>MIN(MAX((B255-'Calculation_Assumptions'!$B$5+1)/'Calculation_Assumptions'!$B$7,0),1)</f>
      </c>
      <c r="O255" s="86" t="str">
        <f>L255*I255</f>
      </c>
      <c r="P255" s="87" t="str">
        <f>M255*I255</f>
      </c>
      <c r="Q255" s="88" t="str">
        <f>P255*'Calculation_Assumptions'!$B$14*J255*K255</f>
      </c>
      <c r="R255" s="89" t="str">
        <f>O255*N255*J255*K255</f>
      </c>
      <c r="S255" s="90" t="str">
        <f>R255-Q255</f>
      </c>
      <c r="T255" s="91" t="str">
        <f>1/(1+'Calculation_Assumptions'!$B$8)^(B255-'Calculation_Assumptions'!$B$2)</f>
      </c>
      <c r="U255" s="92" t="str">
        <f>Q255*T255</f>
      </c>
      <c r="V255" s="93" t="str">
        <f>R255*T255</f>
      </c>
      <c r="W255" s="94" t="str">
        <f>S255*T255</f>
      </c>
      <c r="X255" t="n">
        <v>0</v>
      </c>
      <c r="Y255" s="95" t="n">
        <v>2017</v>
      </c>
      <c r="Z255" t="s">
        <v>266</v>
      </c>
      <c r="AA255" s="96" t="str">
        <f>IF(G255="shared-count-once",COUNTIFS($A$2:$A$313,A255,$B$2:$B$313,B255,$D$2:$D$313,D255),1)</f>
      </c>
    </row>
    <row r="256">
      <c r="A256" t="s">
        <v>76</v>
      </c>
      <c r="B256" s="74" t="n">
        <v>2045</v>
      </c>
      <c r="C256" t="s">
        <v>203</v>
      </c>
      <c r="D256" s="75" t="s">
        <v>346</v>
      </c>
      <c r="E256" s="76" t="s">
        <v>347</v>
      </c>
      <c r="F256" s="77" t="s">
        <v>209</v>
      </c>
      <c r="G256" s="78" t="s">
        <v>337</v>
      </c>
      <c r="H256" s="79" t="s">
        <v>339</v>
      </c>
      <c r="I256" s="80" t="n">
        <v>1</v>
      </c>
      <c r="J256" s="81" t="n">
        <v>1</v>
      </c>
      <c r="K256" s="82" t="n">
        <v>0.004</v>
      </c>
      <c r="L256" s="83" t="n">
        <v>320960972.3861</v>
      </c>
      <c r="M256" s="84" t="n">
        <v>319717840.85179</v>
      </c>
      <c r="N256" s="85" t="str">
        <f>MIN(MAX((B256-'Calculation_Assumptions'!$B$5+1)/'Calculation_Assumptions'!$B$7,0),1)</f>
      </c>
      <c r="O256" s="86" t="str">
        <f>L256*I256</f>
      </c>
      <c r="P256" s="87" t="str">
        <f>M256*I256</f>
      </c>
      <c r="Q256" s="88" t="str">
        <f>P256*'Calculation_Assumptions'!$B$14*J256*K256</f>
      </c>
      <c r="R256" s="89" t="str">
        <f>O256*N256*J256*K256</f>
      </c>
      <c r="S256" s="90" t="str">
        <f>R256-Q256</f>
      </c>
      <c r="T256" s="91" t="str">
        <f>1/(1+'Calculation_Assumptions'!$B$8)^(B256-'Calculation_Assumptions'!$B$2)</f>
      </c>
      <c r="U256" s="92" t="str">
        <f>Q256*T256</f>
      </c>
      <c r="V256" s="93" t="str">
        <f>R256*T256</f>
      </c>
      <c r="W256" s="94" t="str">
        <f>S256*T256</f>
      </c>
      <c r="X256" t="n">
        <v>0</v>
      </c>
      <c r="Y256" s="95" t="n">
        <v>2017</v>
      </c>
      <c r="Z256" t="s">
        <v>266</v>
      </c>
      <c r="AA256" s="96" t="str">
        <f>IF(G256="shared-count-once",COUNTIFS($A$2:$A$313,A256,$B$2:$B$313,B256,$D$2:$D$313,D256),1)</f>
      </c>
    </row>
    <row r="257">
      <c r="A257" t="s">
        <v>76</v>
      </c>
      <c r="B257" s="74" t="n">
        <v>2046</v>
      </c>
      <c r="C257" t="s">
        <v>203</v>
      </c>
      <c r="D257" s="75" t="s">
        <v>346</v>
      </c>
      <c r="E257" s="76" t="s">
        <v>347</v>
      </c>
      <c r="F257" s="77" t="s">
        <v>209</v>
      </c>
      <c r="G257" s="78" t="s">
        <v>337</v>
      </c>
      <c r="H257" s="79" t="s">
        <v>339</v>
      </c>
      <c r="I257" s="80" t="n">
        <v>1</v>
      </c>
      <c r="J257" s="81" t="n">
        <v>1</v>
      </c>
      <c r="K257" s="82" t="n">
        <v>0.004</v>
      </c>
      <c r="L257" s="83" t="n">
        <v>322053582.24951</v>
      </c>
      <c r="M257" s="84" t="n">
        <v>320683879.806276</v>
      </c>
      <c r="N257" s="85" t="str">
        <f>MIN(MAX((B257-'Calculation_Assumptions'!$B$5+1)/'Calculation_Assumptions'!$B$7,0),1)</f>
      </c>
      <c r="O257" s="86" t="str">
        <f>L257*I257</f>
      </c>
      <c r="P257" s="87" t="str">
        <f>M257*I257</f>
      </c>
      <c r="Q257" s="88" t="str">
        <f>P257*'Calculation_Assumptions'!$B$14*J257*K257</f>
      </c>
      <c r="R257" s="89" t="str">
        <f>O257*N257*J257*K257</f>
      </c>
      <c r="S257" s="90" t="str">
        <f>R257-Q257</f>
      </c>
      <c r="T257" s="91" t="str">
        <f>1/(1+'Calculation_Assumptions'!$B$8)^(B257-'Calculation_Assumptions'!$B$2)</f>
      </c>
      <c r="U257" s="92" t="str">
        <f>Q257*T257</f>
      </c>
      <c r="V257" s="93" t="str">
        <f>R257*T257</f>
      </c>
      <c r="W257" s="94" t="str">
        <f>S257*T257</f>
      </c>
      <c r="X257" t="n">
        <v>0</v>
      </c>
      <c r="Y257" s="95" t="n">
        <v>2017</v>
      </c>
      <c r="Z257" t="s">
        <v>266</v>
      </c>
      <c r="AA257" s="96" t="str">
        <f>IF(G257="shared-count-once",COUNTIFS($A$2:$A$313,A257,$B$2:$B$313,B257,$D$2:$D$313,D257),1)</f>
      </c>
    </row>
    <row r="258">
      <c r="A258" t="s">
        <v>76</v>
      </c>
      <c r="B258" s="74" t="n">
        <v>2047</v>
      </c>
      <c r="C258" t="s">
        <v>203</v>
      </c>
      <c r="D258" s="75" t="s">
        <v>346</v>
      </c>
      <c r="E258" s="76" t="s">
        <v>347</v>
      </c>
      <c r="F258" s="77" t="s">
        <v>209</v>
      </c>
      <c r="G258" s="78" t="s">
        <v>337</v>
      </c>
      <c r="H258" s="79" t="s">
        <v>339</v>
      </c>
      <c r="I258" s="80" t="n">
        <v>1</v>
      </c>
      <c r="J258" s="81" t="n">
        <v>1</v>
      </c>
      <c r="K258" s="82" t="n">
        <v>0.004</v>
      </c>
      <c r="L258" s="83" t="n">
        <v>323093320.95173</v>
      </c>
      <c r="M258" s="84" t="n">
        <v>321595541.389526</v>
      </c>
      <c r="N258" s="85" t="str">
        <f>MIN(MAX((B258-'Calculation_Assumptions'!$B$5+1)/'Calculation_Assumptions'!$B$7,0),1)</f>
      </c>
      <c r="O258" s="86" t="str">
        <f>L258*I258</f>
      </c>
      <c r="P258" s="87" t="str">
        <f>M258*I258</f>
      </c>
      <c r="Q258" s="88" t="str">
        <f>P258*'Calculation_Assumptions'!$B$14*J258*K258</f>
      </c>
      <c r="R258" s="89" t="str">
        <f>O258*N258*J258*K258</f>
      </c>
      <c r="S258" s="90" t="str">
        <f>R258-Q258</f>
      </c>
      <c r="T258" s="91" t="str">
        <f>1/(1+'Calculation_Assumptions'!$B$8)^(B258-'Calculation_Assumptions'!$B$2)</f>
      </c>
      <c r="U258" s="92" t="str">
        <f>Q258*T258</f>
      </c>
      <c r="V258" s="93" t="str">
        <f>R258*T258</f>
      </c>
      <c r="W258" s="94" t="str">
        <f>S258*T258</f>
      </c>
      <c r="X258" t="n">
        <v>0</v>
      </c>
      <c r="Y258" s="95" t="n">
        <v>2017</v>
      </c>
      <c r="Z258" t="s">
        <v>266</v>
      </c>
      <c r="AA258" s="96" t="str">
        <f>IF(G258="shared-count-once",COUNTIFS($A$2:$A$313,A258,$B$2:$B$313,B258,$D$2:$D$313,D258),1)</f>
      </c>
    </row>
    <row r="259">
      <c r="A259" t="s">
        <v>76</v>
      </c>
      <c r="B259" s="74" t="n">
        <v>2048</v>
      </c>
      <c r="C259" t="s">
        <v>203</v>
      </c>
      <c r="D259" s="75" t="s">
        <v>346</v>
      </c>
      <c r="E259" s="76" t="s">
        <v>347</v>
      </c>
      <c r="F259" s="77" t="s">
        <v>209</v>
      </c>
      <c r="G259" s="78" t="s">
        <v>337</v>
      </c>
      <c r="H259" s="79" t="s">
        <v>339</v>
      </c>
      <c r="I259" s="80" t="n">
        <v>1</v>
      </c>
      <c r="J259" s="81" t="n">
        <v>1</v>
      </c>
      <c r="K259" s="82" t="n">
        <v>0.004</v>
      </c>
      <c r="L259" s="83" t="n">
        <v>324080784.775173</v>
      </c>
      <c r="M259" s="84" t="n">
        <v>322453622.669464</v>
      </c>
      <c r="N259" s="85" t="str">
        <f>MIN(MAX((B259-'Calculation_Assumptions'!$B$5+1)/'Calculation_Assumptions'!$B$7,0),1)</f>
      </c>
      <c r="O259" s="86" t="str">
        <f>L259*I259</f>
      </c>
      <c r="P259" s="87" t="str">
        <f>M259*I259</f>
      </c>
      <c r="Q259" s="88" t="str">
        <f>P259*'Calculation_Assumptions'!$B$14*J259*K259</f>
      </c>
      <c r="R259" s="89" t="str">
        <f>O259*N259*J259*K259</f>
      </c>
      <c r="S259" s="90" t="str">
        <f>R259-Q259</f>
      </c>
      <c r="T259" s="91" t="str">
        <f>1/(1+'Calculation_Assumptions'!$B$8)^(B259-'Calculation_Assumptions'!$B$2)</f>
      </c>
      <c r="U259" s="92" t="str">
        <f>Q259*T259</f>
      </c>
      <c r="V259" s="93" t="str">
        <f>R259*T259</f>
      </c>
      <c r="W259" s="94" t="str">
        <f>S259*T259</f>
      </c>
      <c r="X259" t="n">
        <v>0</v>
      </c>
      <c r="Y259" s="95" t="n">
        <v>2017</v>
      </c>
      <c r="Z259" t="s">
        <v>266</v>
      </c>
      <c r="AA259" s="96" t="str">
        <f>IF(G259="shared-count-once",COUNTIFS($A$2:$A$313,A259,$B$2:$B$313,B259,$D$2:$D$313,D259),1)</f>
      </c>
    </row>
    <row r="260">
      <c r="A260" t="s">
        <v>76</v>
      </c>
      <c r="B260" s="74" t="n">
        <v>2049</v>
      </c>
      <c r="C260" t="s">
        <v>203</v>
      </c>
      <c r="D260" s="75" t="s">
        <v>346</v>
      </c>
      <c r="E260" s="76" t="s">
        <v>347</v>
      </c>
      <c r="F260" s="77" t="s">
        <v>209</v>
      </c>
      <c r="G260" s="78" t="s">
        <v>337</v>
      </c>
      <c r="H260" s="79" t="s">
        <v>339</v>
      </c>
      <c r="I260" s="80" t="n">
        <v>1</v>
      </c>
      <c r="J260" s="81" t="n">
        <v>1</v>
      </c>
      <c r="K260" s="82" t="n">
        <v>0.004</v>
      </c>
      <c r="L260" s="83" t="n">
        <v>325016726.583355</v>
      </c>
      <c r="M260" s="84" t="n">
        <v>323259246.716719</v>
      </c>
      <c r="N260" s="85" t="str">
        <f>MIN(MAX((B260-'Calculation_Assumptions'!$B$5+1)/'Calculation_Assumptions'!$B$7,0),1)</f>
      </c>
      <c r="O260" s="86" t="str">
        <f>L260*I260</f>
      </c>
      <c r="P260" s="87" t="str">
        <f>M260*I260</f>
      </c>
      <c r="Q260" s="88" t="str">
        <f>P260*'Calculation_Assumptions'!$B$14*J260*K260</f>
      </c>
      <c r="R260" s="89" t="str">
        <f>O260*N260*J260*K260</f>
      </c>
      <c r="S260" s="90" t="str">
        <f>R260-Q260</f>
      </c>
      <c r="T260" s="91" t="str">
        <f>1/(1+'Calculation_Assumptions'!$B$8)^(B260-'Calculation_Assumptions'!$B$2)</f>
      </c>
      <c r="U260" s="92" t="str">
        <f>Q260*T260</f>
      </c>
      <c r="V260" s="93" t="str">
        <f>R260*T260</f>
      </c>
      <c r="W260" s="94" t="str">
        <f>S260*T260</f>
      </c>
      <c r="X260" t="n">
        <v>0</v>
      </c>
      <c r="Y260" s="95" t="n">
        <v>2017</v>
      </c>
      <c r="Z260" t="s">
        <v>266</v>
      </c>
      <c r="AA260" s="96" t="str">
        <f>IF(G260="shared-count-once",COUNTIFS($A$2:$A$313,A260,$B$2:$B$313,B260,$D$2:$D$313,D260),1)</f>
      </c>
    </row>
    <row r="261">
      <c r="A261" t="s">
        <v>76</v>
      </c>
      <c r="B261" s="74" t="n">
        <v>2050</v>
      </c>
      <c r="C261" t="s">
        <v>203</v>
      </c>
      <c r="D261" s="75" t="s">
        <v>346</v>
      </c>
      <c r="E261" s="76" t="s">
        <v>347</v>
      </c>
      <c r="F261" s="77" t="s">
        <v>209</v>
      </c>
      <c r="G261" s="78" t="s">
        <v>337</v>
      </c>
      <c r="H261" s="79" t="s">
        <v>339</v>
      </c>
      <c r="I261" s="80" t="n">
        <v>1</v>
      </c>
      <c r="J261" s="81" t="n">
        <v>1</v>
      </c>
      <c r="K261" s="82" t="n">
        <v>0.004</v>
      </c>
      <c r="L261" s="83" t="n">
        <v>325902090.730916</v>
      </c>
      <c r="M261" s="84" t="n">
        <v>324013738.182479</v>
      </c>
      <c r="N261" s="85" t="str">
        <f>MIN(MAX((B261-'Calculation_Assumptions'!$B$5+1)/'Calculation_Assumptions'!$B$7,0),1)</f>
      </c>
      <c r="O261" s="86" t="str">
        <f>L261*I261</f>
      </c>
      <c r="P261" s="87" t="str">
        <f>M261*I261</f>
      </c>
      <c r="Q261" s="88" t="str">
        <f>P261*'Calculation_Assumptions'!$B$14*J261*K261</f>
      </c>
      <c r="R261" s="89" t="str">
        <f>O261*N261*J261*K261</f>
      </c>
      <c r="S261" s="90" t="str">
        <f>R261-Q261</f>
      </c>
      <c r="T261" s="91" t="str">
        <f>1/(1+'Calculation_Assumptions'!$B$8)^(B261-'Calculation_Assumptions'!$B$2)</f>
      </c>
      <c r="U261" s="92" t="str">
        <f>Q261*T261</f>
      </c>
      <c r="V261" s="93" t="str">
        <f>R261*T261</f>
      </c>
      <c r="W261" s="94" t="str">
        <f>S261*T261</f>
      </c>
      <c r="X261" t="n">
        <v>0</v>
      </c>
      <c r="Y261" s="95" t="n">
        <v>2017</v>
      </c>
      <c r="Z261" t="s">
        <v>266</v>
      </c>
      <c r="AA261" s="96" t="str">
        <f>IF(G261="shared-count-once",COUNTIFS($A$2:$A$313,A261,$B$2:$B$313,B261,$D$2:$D$313,D261),1)</f>
      </c>
    </row>
    <row r="262">
      <c r="A262" t="s">
        <v>76</v>
      </c>
      <c r="B262" s="74" t="n">
        <v>2025</v>
      </c>
      <c r="C262" t="s">
        <v>214</v>
      </c>
      <c r="D262" s="75" t="s">
        <v>353</v>
      </c>
      <c r="E262" s="76" t="s">
        <v>354</v>
      </c>
      <c r="F262" s="77" t="s">
        <v>220</v>
      </c>
      <c r="G262" s="78" t="s">
        <v>337</v>
      </c>
      <c r="H262" s="79" t="s">
        <v>339</v>
      </c>
      <c r="I262" s="80" t="n">
        <v>1</v>
      </c>
      <c r="J262" s="81" t="n">
        <v>1</v>
      </c>
      <c r="K262" s="82" t="n">
        <v>0.0231</v>
      </c>
      <c r="L262" s="83" t="n">
        <v>288000821.106462</v>
      </c>
      <c r="M262" s="84" t="n">
        <v>288000821.106462</v>
      </c>
      <c r="N262" s="85" t="str">
        <f>MIN(MAX((B262-'Calculation_Assumptions'!$B$5+1)/'Calculation_Assumptions'!$B$7,0),1)</f>
      </c>
      <c r="O262" s="86" t="str">
        <f>L262*I262</f>
      </c>
      <c r="P262" s="87" t="str">
        <f>M262*I262</f>
      </c>
      <c r="Q262" s="88" t="str">
        <f>P262*'Calculation_Assumptions'!$B$14*J262*K262</f>
      </c>
      <c r="R262" s="89" t="str">
        <f>O262*N262*J262*K262</f>
      </c>
      <c r="S262" s="90" t="str">
        <f>R262-Q262</f>
      </c>
      <c r="T262" s="91" t="str">
        <f>1/(1+'Calculation_Assumptions'!$B$8)^(B262-'Calculation_Assumptions'!$B$2)</f>
      </c>
      <c r="U262" s="92" t="str">
        <f>Q262*T262</f>
      </c>
      <c r="V262" s="93" t="str">
        <f>R262*T262</f>
      </c>
      <c r="W262" s="94" t="str">
        <f>S262*T262</f>
      </c>
      <c r="X262" t="n">
        <v>0</v>
      </c>
      <c r="Y262" s="95" t="n">
        <v>2017</v>
      </c>
      <c r="Z262" t="s">
        <v>266</v>
      </c>
      <c r="AA262" s="96" t="str">
        <f>IF(G262="shared-count-once",COUNTIFS($A$2:$A$313,A262,$B$2:$B$313,B262,$D$2:$D$313,D262),1)</f>
      </c>
    </row>
    <row r="263">
      <c r="A263" t="s">
        <v>76</v>
      </c>
      <c r="B263" s="74" t="n">
        <v>2026</v>
      </c>
      <c r="C263" t="s">
        <v>214</v>
      </c>
      <c r="D263" s="75" t="s">
        <v>353</v>
      </c>
      <c r="E263" s="76" t="s">
        <v>354</v>
      </c>
      <c r="F263" s="77" t="s">
        <v>220</v>
      </c>
      <c r="G263" s="78" t="s">
        <v>337</v>
      </c>
      <c r="H263" s="79" t="s">
        <v>339</v>
      </c>
      <c r="I263" s="80" t="n">
        <v>1</v>
      </c>
      <c r="J263" s="81" t="n">
        <v>1</v>
      </c>
      <c r="K263" s="82" t="n">
        <v>0.0231</v>
      </c>
      <c r="L263" s="83" t="n">
        <v>290123496.103219</v>
      </c>
      <c r="M263" s="84" t="n">
        <v>290123496.103219</v>
      </c>
      <c r="N263" s="85" t="str">
        <f>MIN(MAX((B263-'Calculation_Assumptions'!$B$5+1)/'Calculation_Assumptions'!$B$7,0),1)</f>
      </c>
      <c r="O263" s="86" t="str">
        <f>L263*I263</f>
      </c>
      <c r="P263" s="87" t="str">
        <f>M263*I263</f>
      </c>
      <c r="Q263" s="88" t="str">
        <f>P263*'Calculation_Assumptions'!$B$14*J263*K263</f>
      </c>
      <c r="R263" s="89" t="str">
        <f>O263*N263*J263*K263</f>
      </c>
      <c r="S263" s="90" t="str">
        <f>R263-Q263</f>
      </c>
      <c r="T263" s="91" t="str">
        <f>1/(1+'Calculation_Assumptions'!$B$8)^(B263-'Calculation_Assumptions'!$B$2)</f>
      </c>
      <c r="U263" s="92" t="str">
        <f>Q263*T263</f>
      </c>
      <c r="V263" s="93" t="str">
        <f>R263*T263</f>
      </c>
      <c r="W263" s="94" t="str">
        <f>S263*T263</f>
      </c>
      <c r="X263" t="n">
        <v>0</v>
      </c>
      <c r="Y263" s="95" t="n">
        <v>2017</v>
      </c>
      <c r="Z263" t="s">
        <v>266</v>
      </c>
      <c r="AA263" s="96" t="str">
        <f>IF(G263="shared-count-once",COUNTIFS($A$2:$A$313,A263,$B$2:$B$313,B263,$D$2:$D$313,D263),1)</f>
      </c>
    </row>
    <row r="264">
      <c r="A264" t="s">
        <v>76</v>
      </c>
      <c r="B264" s="74" t="n">
        <v>2027</v>
      </c>
      <c r="C264" t="s">
        <v>214</v>
      </c>
      <c r="D264" s="75" t="s">
        <v>353</v>
      </c>
      <c r="E264" s="76" t="s">
        <v>354</v>
      </c>
      <c r="F264" s="77" t="s">
        <v>220</v>
      </c>
      <c r="G264" s="78" t="s">
        <v>337</v>
      </c>
      <c r="H264" s="79" t="s">
        <v>339</v>
      </c>
      <c r="I264" s="80" t="n">
        <v>1</v>
      </c>
      <c r="J264" s="81" t="n">
        <v>1</v>
      </c>
      <c r="K264" s="82" t="n">
        <v>0.0231</v>
      </c>
      <c r="L264" s="83" t="n">
        <v>292252895.096956</v>
      </c>
      <c r="M264" s="84" t="n">
        <v>292252895.096956</v>
      </c>
      <c r="N264" s="85" t="str">
        <f>MIN(MAX((B264-'Calculation_Assumptions'!$B$5+1)/'Calculation_Assumptions'!$B$7,0),1)</f>
      </c>
      <c r="O264" s="86" t="str">
        <f>L264*I264</f>
      </c>
      <c r="P264" s="87" t="str">
        <f>M264*I264</f>
      </c>
      <c r="Q264" s="88" t="str">
        <f>P264*'Calculation_Assumptions'!$B$14*J264*K264</f>
      </c>
      <c r="R264" s="89" t="str">
        <f>O264*N264*J264*K264</f>
      </c>
      <c r="S264" s="90" t="str">
        <f>R264-Q264</f>
      </c>
      <c r="T264" s="91" t="str">
        <f>1/(1+'Calculation_Assumptions'!$B$8)^(B264-'Calculation_Assumptions'!$B$2)</f>
      </c>
      <c r="U264" s="92" t="str">
        <f>Q264*T264</f>
      </c>
      <c r="V264" s="93" t="str">
        <f>R264*T264</f>
      </c>
      <c r="W264" s="94" t="str">
        <f>S264*T264</f>
      </c>
      <c r="X264" t="n">
        <v>0</v>
      </c>
      <c r="Y264" s="95" t="n">
        <v>2017</v>
      </c>
      <c r="Z264" t="s">
        <v>266</v>
      </c>
      <c r="AA264" s="96" t="str">
        <f>IF(G264="shared-count-once",COUNTIFS($A$2:$A$313,A264,$B$2:$B$313,B264,$D$2:$D$313,D264),1)</f>
      </c>
    </row>
    <row r="265">
      <c r="A265" t="s">
        <v>76</v>
      </c>
      <c r="B265" s="74" t="n">
        <v>2028</v>
      </c>
      <c r="C265" t="s">
        <v>214</v>
      </c>
      <c r="D265" s="75" t="s">
        <v>353</v>
      </c>
      <c r="E265" s="76" t="s">
        <v>354</v>
      </c>
      <c r="F265" s="77" t="s">
        <v>220</v>
      </c>
      <c r="G265" s="78" t="s">
        <v>337</v>
      </c>
      <c r="H265" s="79" t="s">
        <v>339</v>
      </c>
      <c r="I265" s="80" t="n">
        <v>1</v>
      </c>
      <c r="J265" s="81" t="n">
        <v>1</v>
      </c>
      <c r="K265" s="82" t="n">
        <v>0.0231</v>
      </c>
      <c r="L265" s="83" t="n">
        <v>294318750.706066</v>
      </c>
      <c r="M265" s="84" t="n">
        <v>294314895.305465</v>
      </c>
      <c r="N265" s="85" t="str">
        <f>MIN(MAX((B265-'Calculation_Assumptions'!$B$5+1)/'Calculation_Assumptions'!$B$7,0),1)</f>
      </c>
      <c r="O265" s="86" t="str">
        <f>L265*I265</f>
      </c>
      <c r="P265" s="87" t="str">
        <f>M265*I265</f>
      </c>
      <c r="Q265" s="88" t="str">
        <f>P265*'Calculation_Assumptions'!$B$14*J265*K265</f>
      </c>
      <c r="R265" s="89" t="str">
        <f>O265*N265*J265*K265</f>
      </c>
      <c r="S265" s="90" t="str">
        <f>R265-Q265</f>
      </c>
      <c r="T265" s="91" t="str">
        <f>1/(1+'Calculation_Assumptions'!$B$8)^(B265-'Calculation_Assumptions'!$B$2)</f>
      </c>
      <c r="U265" s="92" t="str">
        <f>Q265*T265</f>
      </c>
      <c r="V265" s="93" t="str">
        <f>R265*T265</f>
      </c>
      <c r="W265" s="94" t="str">
        <f>S265*T265</f>
      </c>
      <c r="X265" t="n">
        <v>0</v>
      </c>
      <c r="Y265" s="95" t="n">
        <v>2017</v>
      </c>
      <c r="Z265" t="s">
        <v>266</v>
      </c>
      <c r="AA265" s="96" t="str">
        <f>IF(G265="shared-count-once",COUNTIFS($A$2:$A$313,A265,$B$2:$B$313,B265,$D$2:$D$313,D265),1)</f>
      </c>
    </row>
    <row r="266">
      <c r="A266" t="s">
        <v>76</v>
      </c>
      <c r="B266" s="74" t="n">
        <v>2029</v>
      </c>
      <c r="C266" t="s">
        <v>214</v>
      </c>
      <c r="D266" s="75" t="s">
        <v>353</v>
      </c>
      <c r="E266" s="76" t="s">
        <v>354</v>
      </c>
      <c r="F266" s="77" t="s">
        <v>220</v>
      </c>
      <c r="G266" s="78" t="s">
        <v>337</v>
      </c>
      <c r="H266" s="79" t="s">
        <v>339</v>
      </c>
      <c r="I266" s="80" t="n">
        <v>1</v>
      </c>
      <c r="J266" s="81" t="n">
        <v>1</v>
      </c>
      <c r="K266" s="82" t="n">
        <v>0.0231</v>
      </c>
      <c r="L266" s="83" t="n">
        <v>296356322.266156</v>
      </c>
      <c r="M266" s="84" t="n">
        <v>296341062.542853</v>
      </c>
      <c r="N266" s="85" t="str">
        <f>MIN(MAX((B266-'Calculation_Assumptions'!$B$5+1)/'Calculation_Assumptions'!$B$7,0),1)</f>
      </c>
      <c r="O266" s="86" t="str">
        <f>L266*I266</f>
      </c>
      <c r="P266" s="87" t="str">
        <f>M266*I266</f>
      </c>
      <c r="Q266" s="88" t="str">
        <f>P266*'Calculation_Assumptions'!$B$14*J266*K266</f>
      </c>
      <c r="R266" s="89" t="str">
        <f>O266*N266*J266*K266</f>
      </c>
      <c r="S266" s="90" t="str">
        <f>R266-Q266</f>
      </c>
      <c r="T266" s="91" t="str">
        <f>1/(1+'Calculation_Assumptions'!$B$8)^(B266-'Calculation_Assumptions'!$B$2)</f>
      </c>
      <c r="U266" s="92" t="str">
        <f>Q266*T266</f>
      </c>
      <c r="V266" s="93" t="str">
        <f>R266*T266</f>
      </c>
      <c r="W266" s="94" t="str">
        <f>S266*T266</f>
      </c>
      <c r="X266" t="n">
        <v>0</v>
      </c>
      <c r="Y266" s="95" t="n">
        <v>2017</v>
      </c>
      <c r="Z266" t="s">
        <v>266</v>
      </c>
      <c r="AA266" s="96" t="str">
        <f>IF(G266="shared-count-once",COUNTIFS($A$2:$A$313,A266,$B$2:$B$313,B266,$D$2:$D$313,D266),1)</f>
      </c>
    </row>
    <row r="267">
      <c r="A267" t="s">
        <v>76</v>
      </c>
      <c r="B267" s="74" t="n">
        <v>2030</v>
      </c>
      <c r="C267" t="s">
        <v>214</v>
      </c>
      <c r="D267" s="75" t="s">
        <v>353</v>
      </c>
      <c r="E267" s="76" t="s">
        <v>354</v>
      </c>
      <c r="F267" s="77" t="s">
        <v>220</v>
      </c>
      <c r="G267" s="78" t="s">
        <v>337</v>
      </c>
      <c r="H267" s="79" t="s">
        <v>339</v>
      </c>
      <c r="I267" s="80" t="n">
        <v>1</v>
      </c>
      <c r="J267" s="81" t="n">
        <v>1</v>
      </c>
      <c r="K267" s="82" t="n">
        <v>0.0231</v>
      </c>
      <c r="L267" s="83" t="n">
        <v>298317004.678736</v>
      </c>
      <c r="M267" s="84" t="n">
        <v>298280286.057263</v>
      </c>
      <c r="N267" s="85" t="str">
        <f>MIN(MAX((B267-'Calculation_Assumptions'!$B$5+1)/'Calculation_Assumptions'!$B$7,0),1)</f>
      </c>
      <c r="O267" s="86" t="str">
        <f>L267*I267</f>
      </c>
      <c r="P267" s="87" t="str">
        <f>M267*I267</f>
      </c>
      <c r="Q267" s="88" t="str">
        <f>P267*'Calculation_Assumptions'!$B$14*J267*K267</f>
      </c>
      <c r="R267" s="89" t="str">
        <f>O267*N267*J267*K267</f>
      </c>
      <c r="S267" s="90" t="str">
        <f>R267-Q267</f>
      </c>
      <c r="T267" s="91" t="str">
        <f>1/(1+'Calculation_Assumptions'!$B$8)^(B267-'Calculation_Assumptions'!$B$2)</f>
      </c>
      <c r="U267" s="92" t="str">
        <f>Q267*T267</f>
      </c>
      <c r="V267" s="93" t="str">
        <f>R267*T267</f>
      </c>
      <c r="W267" s="94" t="str">
        <f>S267*T267</f>
      </c>
      <c r="X267" t="n">
        <v>0</v>
      </c>
      <c r="Y267" s="95" t="n">
        <v>2017</v>
      </c>
      <c r="Z267" t="s">
        <v>266</v>
      </c>
      <c r="AA267" s="96" t="str">
        <f>IF(G267="shared-count-once",COUNTIFS($A$2:$A$313,A267,$B$2:$B$313,B267,$D$2:$D$313,D267),1)</f>
      </c>
    </row>
    <row r="268">
      <c r="A268" t="s">
        <v>76</v>
      </c>
      <c r="B268" s="74" t="n">
        <v>2031</v>
      </c>
      <c r="C268" t="s">
        <v>214</v>
      </c>
      <c r="D268" s="75" t="s">
        <v>353</v>
      </c>
      <c r="E268" s="76" t="s">
        <v>354</v>
      </c>
      <c r="F268" s="77" t="s">
        <v>220</v>
      </c>
      <c r="G268" s="78" t="s">
        <v>337</v>
      </c>
      <c r="H268" s="79" t="s">
        <v>339</v>
      </c>
      <c r="I268" s="80" t="n">
        <v>1</v>
      </c>
      <c r="J268" s="81" t="n">
        <v>1</v>
      </c>
      <c r="K268" s="82" t="n">
        <v>0.0231</v>
      </c>
      <c r="L268" s="83" t="n">
        <v>300222863.165616</v>
      </c>
      <c r="M268" s="84" t="n">
        <v>300152603.254782</v>
      </c>
      <c r="N268" s="85" t="str">
        <f>MIN(MAX((B268-'Calculation_Assumptions'!$B$5+1)/'Calculation_Assumptions'!$B$7,0),1)</f>
      </c>
      <c r="O268" s="86" t="str">
        <f>L268*I268</f>
      </c>
      <c r="P268" s="87" t="str">
        <f>M268*I268</f>
      </c>
      <c r="Q268" s="88" t="str">
        <f>P268*'Calculation_Assumptions'!$B$14*J268*K268</f>
      </c>
      <c r="R268" s="89" t="str">
        <f>O268*N268*J268*K268</f>
      </c>
      <c r="S268" s="90" t="str">
        <f>R268-Q268</f>
      </c>
      <c r="T268" s="91" t="str">
        <f>1/(1+'Calculation_Assumptions'!$B$8)^(B268-'Calculation_Assumptions'!$B$2)</f>
      </c>
      <c r="U268" s="92" t="str">
        <f>Q268*T268</f>
      </c>
      <c r="V268" s="93" t="str">
        <f>R268*T268</f>
      </c>
      <c r="W268" s="94" t="str">
        <f>S268*T268</f>
      </c>
      <c r="X268" t="n">
        <v>0</v>
      </c>
      <c r="Y268" s="95" t="n">
        <v>2017</v>
      </c>
      <c r="Z268" t="s">
        <v>266</v>
      </c>
      <c r="AA268" s="96" t="str">
        <f>IF(G268="shared-count-once",COUNTIFS($A$2:$A$313,A268,$B$2:$B$313,B268,$D$2:$D$313,D268),1)</f>
      </c>
    </row>
    <row r="269">
      <c r="A269" t="s">
        <v>76</v>
      </c>
      <c r="B269" s="74" t="n">
        <v>2032</v>
      </c>
      <c r="C269" t="s">
        <v>214</v>
      </c>
      <c r="D269" s="75" t="s">
        <v>353</v>
      </c>
      <c r="E269" s="76" t="s">
        <v>354</v>
      </c>
      <c r="F269" s="77" t="s">
        <v>220</v>
      </c>
      <c r="G269" s="78" t="s">
        <v>337</v>
      </c>
      <c r="H269" s="79" t="s">
        <v>339</v>
      </c>
      <c r="I269" s="80" t="n">
        <v>1</v>
      </c>
      <c r="J269" s="81" t="n">
        <v>1</v>
      </c>
      <c r="K269" s="82" t="n">
        <v>0.0231</v>
      </c>
      <c r="L269" s="83" t="n">
        <v>302002258.96739</v>
      </c>
      <c r="M269" s="84" t="n">
        <v>301959399.633888</v>
      </c>
      <c r="N269" s="85" t="str">
        <f>MIN(MAX((B269-'Calculation_Assumptions'!$B$5+1)/'Calculation_Assumptions'!$B$7,0),1)</f>
      </c>
      <c r="O269" s="86" t="str">
        <f>L269*I269</f>
      </c>
      <c r="P269" s="87" t="str">
        <f>M269*I269</f>
      </c>
      <c r="Q269" s="88" t="str">
        <f>P269*'Calculation_Assumptions'!$B$14*J269*K269</f>
      </c>
      <c r="R269" s="89" t="str">
        <f>O269*N269*J269*K269</f>
      </c>
      <c r="S269" s="90" t="str">
        <f>R269-Q269</f>
      </c>
      <c r="T269" s="91" t="str">
        <f>1/(1+'Calculation_Assumptions'!$B$8)^(B269-'Calculation_Assumptions'!$B$2)</f>
      </c>
      <c r="U269" s="92" t="str">
        <f>Q269*T269</f>
      </c>
      <c r="V269" s="93" t="str">
        <f>R269*T269</f>
      </c>
      <c r="W269" s="94" t="str">
        <f>S269*T269</f>
      </c>
      <c r="X269" t="n">
        <v>0</v>
      </c>
      <c r="Y269" s="95" t="n">
        <v>2017</v>
      </c>
      <c r="Z269" t="s">
        <v>266</v>
      </c>
      <c r="AA269" s="96" t="str">
        <f>IF(G269="shared-count-once",COUNTIFS($A$2:$A$313,A269,$B$2:$B$313,B269,$D$2:$D$313,D269),1)</f>
      </c>
    </row>
    <row r="270">
      <c r="A270" t="s">
        <v>76</v>
      </c>
      <c r="B270" s="74" t="n">
        <v>2033</v>
      </c>
      <c r="C270" t="s">
        <v>214</v>
      </c>
      <c r="D270" s="75" t="s">
        <v>353</v>
      </c>
      <c r="E270" s="76" t="s">
        <v>354</v>
      </c>
      <c r="F270" s="77" t="s">
        <v>220</v>
      </c>
      <c r="G270" s="78" t="s">
        <v>337</v>
      </c>
      <c r="H270" s="79" t="s">
        <v>339</v>
      </c>
      <c r="I270" s="80" t="n">
        <v>1</v>
      </c>
      <c r="J270" s="81" t="n">
        <v>1</v>
      </c>
      <c r="K270" s="82" t="n">
        <v>0.0231</v>
      </c>
      <c r="L270" s="83" t="n">
        <v>303792531.133499</v>
      </c>
      <c r="M270" s="84" t="n">
        <v>303701035.202051</v>
      </c>
      <c r="N270" s="85" t="str">
        <f>MIN(MAX((B270-'Calculation_Assumptions'!$B$5+1)/'Calculation_Assumptions'!$B$7,0),1)</f>
      </c>
      <c r="O270" s="86" t="str">
        <f>L270*I270</f>
      </c>
      <c r="P270" s="87" t="str">
        <f>M270*I270</f>
      </c>
      <c r="Q270" s="88" t="str">
        <f>P270*'Calculation_Assumptions'!$B$14*J270*K270</f>
      </c>
      <c r="R270" s="89" t="str">
        <f>O270*N270*J270*K270</f>
      </c>
      <c r="S270" s="90" t="str">
        <f>R270-Q270</f>
      </c>
      <c r="T270" s="91" t="str">
        <f>1/(1+'Calculation_Assumptions'!$B$8)^(B270-'Calculation_Assumptions'!$B$2)</f>
      </c>
      <c r="U270" s="92" t="str">
        <f>Q270*T270</f>
      </c>
      <c r="V270" s="93" t="str">
        <f>R270*T270</f>
      </c>
      <c r="W270" s="94" t="str">
        <f>S270*T270</f>
      </c>
      <c r="X270" t="n">
        <v>0</v>
      </c>
      <c r="Y270" s="95" t="n">
        <v>2017</v>
      </c>
      <c r="Z270" t="s">
        <v>266</v>
      </c>
      <c r="AA270" s="96" t="str">
        <f>IF(G270="shared-count-once",COUNTIFS($A$2:$A$313,A270,$B$2:$B$313,B270,$D$2:$D$313,D270),1)</f>
      </c>
    </row>
    <row r="271">
      <c r="A271" t="s">
        <v>76</v>
      </c>
      <c r="B271" s="74" t="n">
        <v>2034</v>
      </c>
      <c r="C271" t="s">
        <v>214</v>
      </c>
      <c r="D271" s="75" t="s">
        <v>353</v>
      </c>
      <c r="E271" s="76" t="s">
        <v>354</v>
      </c>
      <c r="F271" s="77" t="s">
        <v>220</v>
      </c>
      <c r="G271" s="78" t="s">
        <v>337</v>
      </c>
      <c r="H271" s="79" t="s">
        <v>339</v>
      </c>
      <c r="I271" s="80" t="n">
        <v>1</v>
      </c>
      <c r="J271" s="81" t="n">
        <v>1</v>
      </c>
      <c r="K271" s="82" t="n">
        <v>0.0231</v>
      </c>
      <c r="L271" s="83" t="n">
        <v>305527186.929355</v>
      </c>
      <c r="M271" s="84" t="n">
        <v>305377998.093319</v>
      </c>
      <c r="N271" s="85" t="str">
        <f>MIN(MAX((B271-'Calculation_Assumptions'!$B$5+1)/'Calculation_Assumptions'!$B$7,0),1)</f>
      </c>
      <c r="O271" s="86" t="str">
        <f>L271*I271</f>
      </c>
      <c r="P271" s="87" t="str">
        <f>M271*I271</f>
      </c>
      <c r="Q271" s="88" t="str">
        <f>P271*'Calculation_Assumptions'!$B$14*J271*K271</f>
      </c>
      <c r="R271" s="89" t="str">
        <f>O271*N271*J271*K271</f>
      </c>
      <c r="S271" s="90" t="str">
        <f>R271-Q271</f>
      </c>
      <c r="T271" s="91" t="str">
        <f>1/(1+'Calculation_Assumptions'!$B$8)^(B271-'Calculation_Assumptions'!$B$2)</f>
      </c>
      <c r="U271" s="92" t="str">
        <f>Q271*T271</f>
      </c>
      <c r="V271" s="93" t="str">
        <f>R271*T271</f>
      </c>
      <c r="W271" s="94" t="str">
        <f>S271*T271</f>
      </c>
      <c r="X271" t="n">
        <v>0</v>
      </c>
      <c r="Y271" s="95" t="n">
        <v>2017</v>
      </c>
      <c r="Z271" t="s">
        <v>266</v>
      </c>
      <c r="AA271" s="96" t="str">
        <f>IF(G271="shared-count-once",COUNTIFS($A$2:$A$313,A271,$B$2:$B$313,B271,$D$2:$D$313,D271),1)</f>
      </c>
    </row>
    <row r="272">
      <c r="A272" t="s">
        <v>76</v>
      </c>
      <c r="B272" s="74" t="n">
        <v>2035</v>
      </c>
      <c r="C272" t="s">
        <v>214</v>
      </c>
      <c r="D272" s="75" t="s">
        <v>353</v>
      </c>
      <c r="E272" s="76" t="s">
        <v>354</v>
      </c>
      <c r="F272" s="77" t="s">
        <v>220</v>
      </c>
      <c r="G272" s="78" t="s">
        <v>337</v>
      </c>
      <c r="H272" s="79" t="s">
        <v>339</v>
      </c>
      <c r="I272" s="80" t="n">
        <v>1</v>
      </c>
      <c r="J272" s="81" t="n">
        <v>1</v>
      </c>
      <c r="K272" s="82" t="n">
        <v>0.0231</v>
      </c>
      <c r="L272" s="83" t="n">
        <v>307204550.865101</v>
      </c>
      <c r="M272" s="84" t="n">
        <v>306989258.29407</v>
      </c>
      <c r="N272" s="85" t="str">
        <f>MIN(MAX((B272-'Calculation_Assumptions'!$B$5+1)/'Calculation_Assumptions'!$B$7,0),1)</f>
      </c>
      <c r="O272" s="86" t="str">
        <f>L272*I272</f>
      </c>
      <c r="P272" s="87" t="str">
        <f>M272*I272</f>
      </c>
      <c r="Q272" s="88" t="str">
        <f>P272*'Calculation_Assumptions'!$B$14*J272*K272</f>
      </c>
      <c r="R272" s="89" t="str">
        <f>O272*N272*J272*K272</f>
      </c>
      <c r="S272" s="90" t="str">
        <f>R272-Q272</f>
      </c>
      <c r="T272" s="91" t="str">
        <f>1/(1+'Calculation_Assumptions'!$B$8)^(B272-'Calculation_Assumptions'!$B$2)</f>
      </c>
      <c r="U272" s="92" t="str">
        <f>Q272*T272</f>
      </c>
      <c r="V272" s="93" t="str">
        <f>R272*T272</f>
      </c>
      <c r="W272" s="94" t="str">
        <f>S272*T272</f>
      </c>
      <c r="X272" t="n">
        <v>0</v>
      </c>
      <c r="Y272" s="95" t="n">
        <v>2017</v>
      </c>
      <c r="Z272" t="s">
        <v>266</v>
      </c>
      <c r="AA272" s="96" t="str">
        <f>IF(G272="shared-count-once",COUNTIFS($A$2:$A$313,A272,$B$2:$B$313,B272,$D$2:$D$313,D272),1)</f>
      </c>
    </row>
    <row r="273">
      <c r="A273" t="s">
        <v>76</v>
      </c>
      <c r="B273" s="74" t="n">
        <v>2036</v>
      </c>
      <c r="C273" t="s">
        <v>214</v>
      </c>
      <c r="D273" s="75" t="s">
        <v>353</v>
      </c>
      <c r="E273" s="76" t="s">
        <v>354</v>
      </c>
      <c r="F273" s="77" t="s">
        <v>220</v>
      </c>
      <c r="G273" s="78" t="s">
        <v>337</v>
      </c>
      <c r="H273" s="79" t="s">
        <v>339</v>
      </c>
      <c r="I273" s="80" t="n">
        <v>1</v>
      </c>
      <c r="J273" s="81" t="n">
        <v>1</v>
      </c>
      <c r="K273" s="82" t="n">
        <v>0.0231</v>
      </c>
      <c r="L273" s="83" t="n">
        <v>308826793.60125</v>
      </c>
      <c r="M273" s="84" t="n">
        <v>308537399.672094</v>
      </c>
      <c r="N273" s="85" t="str">
        <f>MIN(MAX((B273-'Calculation_Assumptions'!$B$5+1)/'Calculation_Assumptions'!$B$7,0),1)</f>
      </c>
      <c r="O273" s="86" t="str">
        <f>L273*I273</f>
      </c>
      <c r="P273" s="87" t="str">
        <f>M273*I273</f>
      </c>
      <c r="Q273" s="88" t="str">
        <f>P273*'Calculation_Assumptions'!$B$14*J273*K273</f>
      </c>
      <c r="R273" s="89" t="str">
        <f>O273*N273*J273*K273</f>
      </c>
      <c r="S273" s="90" t="str">
        <f>R273-Q273</f>
      </c>
      <c r="T273" s="91" t="str">
        <f>1/(1+'Calculation_Assumptions'!$B$8)^(B273-'Calculation_Assumptions'!$B$2)</f>
      </c>
      <c r="U273" s="92" t="str">
        <f>Q273*T273</f>
      </c>
      <c r="V273" s="93" t="str">
        <f>R273*T273</f>
      </c>
      <c r="W273" s="94" t="str">
        <f>S273*T273</f>
      </c>
      <c r="X273" t="n">
        <v>0</v>
      </c>
      <c r="Y273" s="95" t="n">
        <v>2017</v>
      </c>
      <c r="Z273" t="s">
        <v>266</v>
      </c>
      <c r="AA273" s="96" t="str">
        <f>IF(G273="shared-count-once",COUNTIFS($A$2:$A$313,A273,$B$2:$B$313,B273,$D$2:$D$313,D273),1)</f>
      </c>
    </row>
    <row r="274">
      <c r="A274" t="s">
        <v>76</v>
      </c>
      <c r="B274" s="74" t="n">
        <v>2037</v>
      </c>
      <c r="C274" t="s">
        <v>214</v>
      </c>
      <c r="D274" s="75" t="s">
        <v>353</v>
      </c>
      <c r="E274" s="76" t="s">
        <v>354</v>
      </c>
      <c r="F274" s="77" t="s">
        <v>220</v>
      </c>
      <c r="G274" s="78" t="s">
        <v>337</v>
      </c>
      <c r="H274" s="79" t="s">
        <v>339</v>
      </c>
      <c r="I274" s="80" t="n">
        <v>1</v>
      </c>
      <c r="J274" s="81" t="n">
        <v>1</v>
      </c>
      <c r="K274" s="82" t="n">
        <v>0.0231</v>
      </c>
      <c r="L274" s="83" t="n">
        <v>310394148.511485</v>
      </c>
      <c r="M274" s="84" t="n">
        <v>310023120.393472</v>
      </c>
      <c r="N274" s="85" t="str">
        <f>MIN(MAX((B274-'Calculation_Assumptions'!$B$5+1)/'Calculation_Assumptions'!$B$7,0),1)</f>
      </c>
      <c r="O274" s="86" t="str">
        <f>L274*I274</f>
      </c>
      <c r="P274" s="87" t="str">
        <f>M274*I274</f>
      </c>
      <c r="Q274" s="88" t="str">
        <f>P274*'Calculation_Assumptions'!$B$14*J274*K274</f>
      </c>
      <c r="R274" s="89" t="str">
        <f>O274*N274*J274*K274</f>
      </c>
      <c r="S274" s="90" t="str">
        <f>R274-Q274</f>
      </c>
      <c r="T274" s="91" t="str">
        <f>1/(1+'Calculation_Assumptions'!$B$8)^(B274-'Calculation_Assumptions'!$B$2)</f>
      </c>
      <c r="U274" s="92" t="str">
        <f>Q274*T274</f>
      </c>
      <c r="V274" s="93" t="str">
        <f>R274*T274</f>
      </c>
      <c r="W274" s="94" t="str">
        <f>S274*T274</f>
      </c>
      <c r="X274" t="n">
        <v>0</v>
      </c>
      <c r="Y274" s="95" t="n">
        <v>2017</v>
      </c>
      <c r="Z274" t="s">
        <v>266</v>
      </c>
      <c r="AA274" s="96" t="str">
        <f>IF(G274="shared-count-once",COUNTIFS($A$2:$A$313,A274,$B$2:$B$313,B274,$D$2:$D$313,D274),1)</f>
      </c>
    </row>
    <row r="275">
      <c r="A275" t="s">
        <v>76</v>
      </c>
      <c r="B275" s="74" t="n">
        <v>2038</v>
      </c>
      <c r="C275" t="s">
        <v>214</v>
      </c>
      <c r="D275" s="75" t="s">
        <v>353</v>
      </c>
      <c r="E275" s="76" t="s">
        <v>354</v>
      </c>
      <c r="F275" s="77" t="s">
        <v>220</v>
      </c>
      <c r="G275" s="78" t="s">
        <v>337</v>
      </c>
      <c r="H275" s="79" t="s">
        <v>339</v>
      </c>
      <c r="I275" s="80" t="n">
        <v>1</v>
      </c>
      <c r="J275" s="81" t="n">
        <v>1</v>
      </c>
      <c r="K275" s="82" t="n">
        <v>0.0231</v>
      </c>
      <c r="L275" s="83" t="n">
        <v>311906222.578398</v>
      </c>
      <c r="M275" s="84" t="n">
        <v>311445837.134625</v>
      </c>
      <c r="N275" s="85" t="str">
        <f>MIN(MAX((B275-'Calculation_Assumptions'!$B$5+1)/'Calculation_Assumptions'!$B$7,0),1)</f>
      </c>
      <c r="O275" s="86" t="str">
        <f>L275*I275</f>
      </c>
      <c r="P275" s="87" t="str">
        <f>M275*I275</f>
      </c>
      <c r="Q275" s="88" t="str">
        <f>P275*'Calculation_Assumptions'!$B$14*J275*K275</f>
      </c>
      <c r="R275" s="89" t="str">
        <f>O275*N275*J275*K275</f>
      </c>
      <c r="S275" s="90" t="str">
        <f>R275-Q275</f>
      </c>
      <c r="T275" s="91" t="str">
        <f>1/(1+'Calculation_Assumptions'!$B$8)^(B275-'Calculation_Assumptions'!$B$2)</f>
      </c>
      <c r="U275" s="92" t="str">
        <f>Q275*T275</f>
      </c>
      <c r="V275" s="93" t="str">
        <f>R275*T275</f>
      </c>
      <c r="W275" s="94" t="str">
        <f>S275*T275</f>
      </c>
      <c r="X275" t="n">
        <v>0</v>
      </c>
      <c r="Y275" s="95" t="n">
        <v>2017</v>
      </c>
      <c r="Z275" t="s">
        <v>266</v>
      </c>
      <c r="AA275" s="96" t="str">
        <f>IF(G275="shared-count-once",COUNTIFS($A$2:$A$313,A275,$B$2:$B$313,B275,$D$2:$D$313,D275),1)</f>
      </c>
    </row>
    <row r="276">
      <c r="A276" t="s">
        <v>76</v>
      </c>
      <c r="B276" s="74" t="n">
        <v>2039</v>
      </c>
      <c r="C276" t="s">
        <v>214</v>
      </c>
      <c r="D276" s="75" t="s">
        <v>353</v>
      </c>
      <c r="E276" s="76" t="s">
        <v>354</v>
      </c>
      <c r="F276" s="77" t="s">
        <v>220</v>
      </c>
      <c r="G276" s="78" t="s">
        <v>337</v>
      </c>
      <c r="H276" s="79" t="s">
        <v>339</v>
      </c>
      <c r="I276" s="80" t="n">
        <v>1</v>
      </c>
      <c r="J276" s="81" t="n">
        <v>1</v>
      </c>
      <c r="K276" s="82" t="n">
        <v>0.0231</v>
      </c>
      <c r="L276" s="83" t="n">
        <v>313363821.520615</v>
      </c>
      <c r="M276" s="84" t="n">
        <v>312806989.715685</v>
      </c>
      <c r="N276" s="85" t="str">
        <f>MIN(MAX((B276-'Calculation_Assumptions'!$B$5+1)/'Calculation_Assumptions'!$B$7,0),1)</f>
      </c>
      <c r="O276" s="86" t="str">
        <f>L276*I276</f>
      </c>
      <c r="P276" s="87" t="str">
        <f>M276*I276</f>
      </c>
      <c r="Q276" s="88" t="str">
        <f>P276*'Calculation_Assumptions'!$B$14*J276*K276</f>
      </c>
      <c r="R276" s="89" t="str">
        <f>O276*N276*J276*K276</f>
      </c>
      <c r="S276" s="90" t="str">
        <f>R276-Q276</f>
      </c>
      <c r="T276" s="91" t="str">
        <f>1/(1+'Calculation_Assumptions'!$B$8)^(B276-'Calculation_Assumptions'!$B$2)</f>
      </c>
      <c r="U276" s="92" t="str">
        <f>Q276*T276</f>
      </c>
      <c r="V276" s="93" t="str">
        <f>R276*T276</f>
      </c>
      <c r="W276" s="94" t="str">
        <f>S276*T276</f>
      </c>
      <c r="X276" t="n">
        <v>0</v>
      </c>
      <c r="Y276" s="95" t="n">
        <v>2017</v>
      </c>
      <c r="Z276" t="s">
        <v>266</v>
      </c>
      <c r="AA276" s="96" t="str">
        <f>IF(G276="shared-count-once",COUNTIFS($A$2:$A$313,A276,$B$2:$B$313,B276,$D$2:$D$313,D276),1)</f>
      </c>
    </row>
    <row r="277">
      <c r="A277" t="s">
        <v>76</v>
      </c>
      <c r="B277" s="74" t="n">
        <v>2040</v>
      </c>
      <c r="C277" t="s">
        <v>214</v>
      </c>
      <c r="D277" s="75" t="s">
        <v>353</v>
      </c>
      <c r="E277" s="76" t="s">
        <v>354</v>
      </c>
      <c r="F277" s="77" t="s">
        <v>220</v>
      </c>
      <c r="G277" s="78" t="s">
        <v>337</v>
      </c>
      <c r="H277" s="79" t="s">
        <v>339</v>
      </c>
      <c r="I277" s="80" t="n">
        <v>1</v>
      </c>
      <c r="J277" s="81" t="n">
        <v>1</v>
      </c>
      <c r="K277" s="82" t="n">
        <v>0.0231</v>
      </c>
      <c r="L277" s="83" t="n">
        <v>314768783.154633</v>
      </c>
      <c r="M277" s="84" t="n">
        <v>314109251.582649</v>
      </c>
      <c r="N277" s="85" t="str">
        <f>MIN(MAX((B277-'Calculation_Assumptions'!$B$5+1)/'Calculation_Assumptions'!$B$7,0),1)</f>
      </c>
      <c r="O277" s="86" t="str">
        <f>L277*I277</f>
      </c>
      <c r="P277" s="87" t="str">
        <f>M277*I277</f>
      </c>
      <c r="Q277" s="88" t="str">
        <f>P277*'Calculation_Assumptions'!$B$14*J277*K277</f>
      </c>
      <c r="R277" s="89" t="str">
        <f>O277*N277*J277*K277</f>
      </c>
      <c r="S277" s="90" t="str">
        <f>R277-Q277</f>
      </c>
      <c r="T277" s="91" t="str">
        <f>1/(1+'Calculation_Assumptions'!$B$8)^(B277-'Calculation_Assumptions'!$B$2)</f>
      </c>
      <c r="U277" s="92" t="str">
        <f>Q277*T277</f>
      </c>
      <c r="V277" s="93" t="str">
        <f>R277*T277</f>
      </c>
      <c r="W277" s="94" t="str">
        <f>S277*T277</f>
      </c>
      <c r="X277" t="n">
        <v>0</v>
      </c>
      <c r="Y277" s="95" t="n">
        <v>2017</v>
      </c>
      <c r="Z277" t="s">
        <v>266</v>
      </c>
      <c r="AA277" s="96" t="str">
        <f>IF(G277="shared-count-once",COUNTIFS($A$2:$A$313,A277,$B$2:$B$313,B277,$D$2:$D$313,D277),1)</f>
      </c>
    </row>
    <row r="278">
      <c r="A278" t="s">
        <v>76</v>
      </c>
      <c r="B278" s="74" t="n">
        <v>2041</v>
      </c>
      <c r="C278" t="s">
        <v>214</v>
      </c>
      <c r="D278" s="75" t="s">
        <v>353</v>
      </c>
      <c r="E278" s="76" t="s">
        <v>354</v>
      </c>
      <c r="F278" s="77" t="s">
        <v>220</v>
      </c>
      <c r="G278" s="78" t="s">
        <v>337</v>
      </c>
      <c r="H278" s="79" t="s">
        <v>339</v>
      </c>
      <c r="I278" s="80" t="n">
        <v>1</v>
      </c>
      <c r="J278" s="81" t="n">
        <v>1</v>
      </c>
      <c r="K278" s="82" t="n">
        <v>0.0231</v>
      </c>
      <c r="L278" s="83" t="n">
        <v>316119789.295805</v>
      </c>
      <c r="M278" s="84" t="n">
        <v>315352079.812423</v>
      </c>
      <c r="N278" s="85" t="str">
        <f>MIN(MAX((B278-'Calculation_Assumptions'!$B$5+1)/'Calculation_Assumptions'!$B$7,0),1)</f>
      </c>
      <c r="O278" s="86" t="str">
        <f>L278*I278</f>
      </c>
      <c r="P278" s="87" t="str">
        <f>M278*I278</f>
      </c>
      <c r="Q278" s="88" t="str">
        <f>P278*'Calculation_Assumptions'!$B$14*J278*K278</f>
      </c>
      <c r="R278" s="89" t="str">
        <f>O278*N278*J278*K278</f>
      </c>
      <c r="S278" s="90" t="str">
        <f>R278-Q278</f>
      </c>
      <c r="T278" s="91" t="str">
        <f>1/(1+'Calculation_Assumptions'!$B$8)^(B278-'Calculation_Assumptions'!$B$2)</f>
      </c>
      <c r="U278" s="92" t="str">
        <f>Q278*T278</f>
      </c>
      <c r="V278" s="93" t="str">
        <f>R278*T278</f>
      </c>
      <c r="W278" s="94" t="str">
        <f>S278*T278</f>
      </c>
      <c r="X278" t="n">
        <v>0</v>
      </c>
      <c r="Y278" s="95" t="n">
        <v>2017</v>
      </c>
      <c r="Z278" t="s">
        <v>266</v>
      </c>
      <c r="AA278" s="96" t="str">
        <f>IF(G278="shared-count-once",COUNTIFS($A$2:$A$313,A278,$B$2:$B$313,B278,$D$2:$D$313,D278),1)</f>
      </c>
    </row>
    <row r="279">
      <c r="A279" t="s">
        <v>76</v>
      </c>
      <c r="B279" s="74" t="n">
        <v>2042</v>
      </c>
      <c r="C279" t="s">
        <v>214</v>
      </c>
      <c r="D279" s="75" t="s">
        <v>353</v>
      </c>
      <c r="E279" s="76" t="s">
        <v>354</v>
      </c>
      <c r="F279" s="77" t="s">
        <v>220</v>
      </c>
      <c r="G279" s="78" t="s">
        <v>337</v>
      </c>
      <c r="H279" s="79" t="s">
        <v>339</v>
      </c>
      <c r="I279" s="80" t="n">
        <v>1</v>
      </c>
      <c r="J279" s="81" t="n">
        <v>1</v>
      </c>
      <c r="K279" s="82" t="n">
        <v>0.0231</v>
      </c>
      <c r="L279" s="83" t="n">
        <v>317417240.496476</v>
      </c>
      <c r="M279" s="84" t="n">
        <v>316395286.312016</v>
      </c>
      <c r="N279" s="85" t="str">
        <f>MIN(MAX((B279-'Calculation_Assumptions'!$B$5+1)/'Calculation_Assumptions'!$B$7,0),1)</f>
      </c>
      <c r="O279" s="86" t="str">
        <f>L279*I279</f>
      </c>
      <c r="P279" s="87" t="str">
        <f>M279*I279</f>
      </c>
      <c r="Q279" s="88" t="str">
        <f>P279*'Calculation_Assumptions'!$B$14*J279*K279</f>
      </c>
      <c r="R279" s="89" t="str">
        <f>O279*N279*J279*K279</f>
      </c>
      <c r="S279" s="90" t="str">
        <f>R279-Q279</f>
      </c>
      <c r="T279" s="91" t="str">
        <f>1/(1+'Calculation_Assumptions'!$B$8)^(B279-'Calculation_Assumptions'!$B$2)</f>
      </c>
      <c r="U279" s="92" t="str">
        <f>Q279*T279</f>
      </c>
      <c r="V279" s="93" t="str">
        <f>R279*T279</f>
      </c>
      <c r="W279" s="94" t="str">
        <f>S279*T279</f>
      </c>
      <c r="X279" t="n">
        <v>0</v>
      </c>
      <c r="Y279" s="95" t="n">
        <v>2017</v>
      </c>
      <c r="Z279" t="s">
        <v>266</v>
      </c>
      <c r="AA279" s="96" t="str">
        <f>IF(G279="shared-count-once",COUNTIFS($A$2:$A$313,A279,$B$2:$B$313,B279,$D$2:$D$313,D279),1)</f>
      </c>
    </row>
    <row r="280">
      <c r="A280" t="s">
        <v>76</v>
      </c>
      <c r="B280" s="74" t="n">
        <v>2043</v>
      </c>
      <c r="C280" t="s">
        <v>214</v>
      </c>
      <c r="D280" s="75" t="s">
        <v>353</v>
      </c>
      <c r="E280" s="76" t="s">
        <v>354</v>
      </c>
      <c r="F280" s="77" t="s">
        <v>220</v>
      </c>
      <c r="G280" s="78" t="s">
        <v>337</v>
      </c>
      <c r="H280" s="79" t="s">
        <v>339</v>
      </c>
      <c r="I280" s="80" t="n">
        <v>1</v>
      </c>
      <c r="J280" s="81" t="n">
        <v>1</v>
      </c>
      <c r="K280" s="82" t="n">
        <v>0.0231</v>
      </c>
      <c r="L280" s="83" t="n">
        <v>318779591.219905</v>
      </c>
      <c r="M280" s="84" t="n">
        <v>317619735.688289</v>
      </c>
      <c r="N280" s="85" t="str">
        <f>MIN(MAX((B280-'Calculation_Assumptions'!$B$5+1)/'Calculation_Assumptions'!$B$7,0),1)</f>
      </c>
      <c r="O280" s="86" t="str">
        <f>L280*I280</f>
      </c>
      <c r="P280" s="87" t="str">
        <f>M280*I280</f>
      </c>
      <c r="Q280" s="88" t="str">
        <f>P280*'Calculation_Assumptions'!$B$14*J280*K280</f>
      </c>
      <c r="R280" s="89" t="str">
        <f>O280*N280*J280*K280</f>
      </c>
      <c r="S280" s="90" t="str">
        <f>R280-Q280</f>
      </c>
      <c r="T280" s="91" t="str">
        <f>1/(1+'Calculation_Assumptions'!$B$8)^(B280-'Calculation_Assumptions'!$B$2)</f>
      </c>
      <c r="U280" s="92" t="str">
        <f>Q280*T280</f>
      </c>
      <c r="V280" s="93" t="str">
        <f>R280*T280</f>
      </c>
      <c r="W280" s="94" t="str">
        <f>S280*T280</f>
      </c>
      <c r="X280" t="n">
        <v>0</v>
      </c>
      <c r="Y280" s="95" t="n">
        <v>2017</v>
      </c>
      <c r="Z280" t="s">
        <v>266</v>
      </c>
      <c r="AA280" s="96" t="str">
        <f>IF(G280="shared-count-once",COUNTIFS($A$2:$A$313,A280,$B$2:$B$313,B280,$D$2:$D$313,D280),1)</f>
      </c>
    </row>
    <row r="281">
      <c r="A281" t="s">
        <v>76</v>
      </c>
      <c r="B281" s="74" t="n">
        <v>2044</v>
      </c>
      <c r="C281" t="s">
        <v>214</v>
      </c>
      <c r="D281" s="75" t="s">
        <v>353</v>
      </c>
      <c r="E281" s="76" t="s">
        <v>354</v>
      </c>
      <c r="F281" s="77" t="s">
        <v>220</v>
      </c>
      <c r="G281" s="78" t="s">
        <v>337</v>
      </c>
      <c r="H281" s="79" t="s">
        <v>339</v>
      </c>
      <c r="I281" s="80" t="n">
        <v>1</v>
      </c>
      <c r="J281" s="81" t="n">
        <v>1</v>
      </c>
      <c r="K281" s="82" t="n">
        <v>0.0231</v>
      </c>
      <c r="L281" s="83" t="n">
        <v>319985562.367227</v>
      </c>
      <c r="M281" s="84" t="n">
        <v>318697135.863652</v>
      </c>
      <c r="N281" s="85" t="str">
        <f>MIN(MAX((B281-'Calculation_Assumptions'!$B$5+1)/'Calculation_Assumptions'!$B$7,0),1)</f>
      </c>
      <c r="O281" s="86" t="str">
        <f>L281*I281</f>
      </c>
      <c r="P281" s="87" t="str">
        <f>M281*I281</f>
      </c>
      <c r="Q281" s="88" t="str">
        <f>P281*'Calculation_Assumptions'!$B$14*J281*K281</f>
      </c>
      <c r="R281" s="89" t="str">
        <f>O281*N281*J281*K281</f>
      </c>
      <c r="S281" s="90" t="str">
        <f>R281-Q281</f>
      </c>
      <c r="T281" s="91" t="str">
        <f>1/(1+'Calculation_Assumptions'!$B$8)^(B281-'Calculation_Assumptions'!$B$2)</f>
      </c>
      <c r="U281" s="92" t="str">
        <f>Q281*T281</f>
      </c>
      <c r="V281" s="93" t="str">
        <f>R281*T281</f>
      </c>
      <c r="W281" s="94" t="str">
        <f>S281*T281</f>
      </c>
      <c r="X281" t="n">
        <v>0</v>
      </c>
      <c r="Y281" s="95" t="n">
        <v>2017</v>
      </c>
      <c r="Z281" t="s">
        <v>266</v>
      </c>
      <c r="AA281" s="96" t="str">
        <f>IF(G281="shared-count-once",COUNTIFS($A$2:$A$313,A281,$B$2:$B$313,B281,$D$2:$D$313,D281),1)</f>
      </c>
    </row>
    <row r="282">
      <c r="A282" t="s">
        <v>76</v>
      </c>
      <c r="B282" s="74" t="n">
        <v>2045</v>
      </c>
      <c r="C282" t="s">
        <v>214</v>
      </c>
      <c r="D282" s="75" t="s">
        <v>353</v>
      </c>
      <c r="E282" s="76" t="s">
        <v>354</v>
      </c>
      <c r="F282" s="77" t="s">
        <v>220</v>
      </c>
      <c r="G282" s="78" t="s">
        <v>337</v>
      </c>
      <c r="H282" s="79" t="s">
        <v>339</v>
      </c>
      <c r="I282" s="80" t="n">
        <v>1</v>
      </c>
      <c r="J282" s="81" t="n">
        <v>1</v>
      </c>
      <c r="K282" s="82" t="n">
        <v>0.0231</v>
      </c>
      <c r="L282" s="83" t="n">
        <v>320960972.3861</v>
      </c>
      <c r="M282" s="84" t="n">
        <v>319717840.85179</v>
      </c>
      <c r="N282" s="85" t="str">
        <f>MIN(MAX((B282-'Calculation_Assumptions'!$B$5+1)/'Calculation_Assumptions'!$B$7,0),1)</f>
      </c>
      <c r="O282" s="86" t="str">
        <f>L282*I282</f>
      </c>
      <c r="P282" s="87" t="str">
        <f>M282*I282</f>
      </c>
      <c r="Q282" s="88" t="str">
        <f>P282*'Calculation_Assumptions'!$B$14*J282*K282</f>
      </c>
      <c r="R282" s="89" t="str">
        <f>O282*N282*J282*K282</f>
      </c>
      <c r="S282" s="90" t="str">
        <f>R282-Q282</f>
      </c>
      <c r="T282" s="91" t="str">
        <f>1/(1+'Calculation_Assumptions'!$B$8)^(B282-'Calculation_Assumptions'!$B$2)</f>
      </c>
      <c r="U282" s="92" t="str">
        <f>Q282*T282</f>
      </c>
      <c r="V282" s="93" t="str">
        <f>R282*T282</f>
      </c>
      <c r="W282" s="94" t="str">
        <f>S282*T282</f>
      </c>
      <c r="X282" t="n">
        <v>0</v>
      </c>
      <c r="Y282" s="95" t="n">
        <v>2017</v>
      </c>
      <c r="Z282" t="s">
        <v>266</v>
      </c>
      <c r="AA282" s="96" t="str">
        <f>IF(G282="shared-count-once",COUNTIFS($A$2:$A$313,A282,$B$2:$B$313,B282,$D$2:$D$313,D282),1)</f>
      </c>
    </row>
    <row r="283">
      <c r="A283" t="s">
        <v>76</v>
      </c>
      <c r="B283" s="74" t="n">
        <v>2046</v>
      </c>
      <c r="C283" t="s">
        <v>214</v>
      </c>
      <c r="D283" s="75" t="s">
        <v>353</v>
      </c>
      <c r="E283" s="76" t="s">
        <v>354</v>
      </c>
      <c r="F283" s="77" t="s">
        <v>220</v>
      </c>
      <c r="G283" s="78" t="s">
        <v>337</v>
      </c>
      <c r="H283" s="79" t="s">
        <v>339</v>
      </c>
      <c r="I283" s="80" t="n">
        <v>1</v>
      </c>
      <c r="J283" s="81" t="n">
        <v>1</v>
      </c>
      <c r="K283" s="82" t="n">
        <v>0.0231</v>
      </c>
      <c r="L283" s="83" t="n">
        <v>322053582.24951</v>
      </c>
      <c r="M283" s="84" t="n">
        <v>320683879.806276</v>
      </c>
      <c r="N283" s="85" t="str">
        <f>MIN(MAX((B283-'Calculation_Assumptions'!$B$5+1)/'Calculation_Assumptions'!$B$7,0),1)</f>
      </c>
      <c r="O283" s="86" t="str">
        <f>L283*I283</f>
      </c>
      <c r="P283" s="87" t="str">
        <f>M283*I283</f>
      </c>
      <c r="Q283" s="88" t="str">
        <f>P283*'Calculation_Assumptions'!$B$14*J283*K283</f>
      </c>
      <c r="R283" s="89" t="str">
        <f>O283*N283*J283*K283</f>
      </c>
      <c r="S283" s="90" t="str">
        <f>R283-Q283</f>
      </c>
      <c r="T283" s="91" t="str">
        <f>1/(1+'Calculation_Assumptions'!$B$8)^(B283-'Calculation_Assumptions'!$B$2)</f>
      </c>
      <c r="U283" s="92" t="str">
        <f>Q283*T283</f>
      </c>
      <c r="V283" s="93" t="str">
        <f>R283*T283</f>
      </c>
      <c r="W283" s="94" t="str">
        <f>S283*T283</f>
      </c>
      <c r="X283" t="n">
        <v>0</v>
      </c>
      <c r="Y283" s="95" t="n">
        <v>2017</v>
      </c>
      <c r="Z283" t="s">
        <v>266</v>
      </c>
      <c r="AA283" s="96" t="str">
        <f>IF(G283="shared-count-once",COUNTIFS($A$2:$A$313,A283,$B$2:$B$313,B283,$D$2:$D$313,D283),1)</f>
      </c>
    </row>
    <row r="284">
      <c r="A284" t="s">
        <v>76</v>
      </c>
      <c r="B284" s="74" t="n">
        <v>2047</v>
      </c>
      <c r="C284" t="s">
        <v>214</v>
      </c>
      <c r="D284" s="75" t="s">
        <v>353</v>
      </c>
      <c r="E284" s="76" t="s">
        <v>354</v>
      </c>
      <c r="F284" s="77" t="s">
        <v>220</v>
      </c>
      <c r="G284" s="78" t="s">
        <v>337</v>
      </c>
      <c r="H284" s="79" t="s">
        <v>339</v>
      </c>
      <c r="I284" s="80" t="n">
        <v>1</v>
      </c>
      <c r="J284" s="81" t="n">
        <v>1</v>
      </c>
      <c r="K284" s="82" t="n">
        <v>0.0231</v>
      </c>
      <c r="L284" s="83" t="n">
        <v>323093320.95173</v>
      </c>
      <c r="M284" s="84" t="n">
        <v>321595541.389526</v>
      </c>
      <c r="N284" s="85" t="str">
        <f>MIN(MAX((B284-'Calculation_Assumptions'!$B$5+1)/'Calculation_Assumptions'!$B$7,0),1)</f>
      </c>
      <c r="O284" s="86" t="str">
        <f>L284*I284</f>
      </c>
      <c r="P284" s="87" t="str">
        <f>M284*I284</f>
      </c>
      <c r="Q284" s="88" t="str">
        <f>P284*'Calculation_Assumptions'!$B$14*J284*K284</f>
      </c>
      <c r="R284" s="89" t="str">
        <f>O284*N284*J284*K284</f>
      </c>
      <c r="S284" s="90" t="str">
        <f>R284-Q284</f>
      </c>
      <c r="T284" s="91" t="str">
        <f>1/(1+'Calculation_Assumptions'!$B$8)^(B284-'Calculation_Assumptions'!$B$2)</f>
      </c>
      <c r="U284" s="92" t="str">
        <f>Q284*T284</f>
      </c>
      <c r="V284" s="93" t="str">
        <f>R284*T284</f>
      </c>
      <c r="W284" s="94" t="str">
        <f>S284*T284</f>
      </c>
      <c r="X284" t="n">
        <v>0</v>
      </c>
      <c r="Y284" s="95" t="n">
        <v>2017</v>
      </c>
      <c r="Z284" t="s">
        <v>266</v>
      </c>
      <c r="AA284" s="96" t="str">
        <f>IF(G284="shared-count-once",COUNTIFS($A$2:$A$313,A284,$B$2:$B$313,B284,$D$2:$D$313,D284),1)</f>
      </c>
    </row>
    <row r="285">
      <c r="A285" t="s">
        <v>76</v>
      </c>
      <c r="B285" s="74" t="n">
        <v>2048</v>
      </c>
      <c r="C285" t="s">
        <v>214</v>
      </c>
      <c r="D285" s="75" t="s">
        <v>353</v>
      </c>
      <c r="E285" s="76" t="s">
        <v>354</v>
      </c>
      <c r="F285" s="77" t="s">
        <v>220</v>
      </c>
      <c r="G285" s="78" t="s">
        <v>337</v>
      </c>
      <c r="H285" s="79" t="s">
        <v>339</v>
      </c>
      <c r="I285" s="80" t="n">
        <v>1</v>
      </c>
      <c r="J285" s="81" t="n">
        <v>1</v>
      </c>
      <c r="K285" s="82" t="n">
        <v>0.0231</v>
      </c>
      <c r="L285" s="83" t="n">
        <v>324080784.775173</v>
      </c>
      <c r="M285" s="84" t="n">
        <v>322453622.669464</v>
      </c>
      <c r="N285" s="85" t="str">
        <f>MIN(MAX((B285-'Calculation_Assumptions'!$B$5+1)/'Calculation_Assumptions'!$B$7,0),1)</f>
      </c>
      <c r="O285" s="86" t="str">
        <f>L285*I285</f>
      </c>
      <c r="P285" s="87" t="str">
        <f>M285*I285</f>
      </c>
      <c r="Q285" s="88" t="str">
        <f>P285*'Calculation_Assumptions'!$B$14*J285*K285</f>
      </c>
      <c r="R285" s="89" t="str">
        <f>O285*N285*J285*K285</f>
      </c>
      <c r="S285" s="90" t="str">
        <f>R285-Q285</f>
      </c>
      <c r="T285" s="91" t="str">
        <f>1/(1+'Calculation_Assumptions'!$B$8)^(B285-'Calculation_Assumptions'!$B$2)</f>
      </c>
      <c r="U285" s="92" t="str">
        <f>Q285*T285</f>
      </c>
      <c r="V285" s="93" t="str">
        <f>R285*T285</f>
      </c>
      <c r="W285" s="94" t="str">
        <f>S285*T285</f>
      </c>
      <c r="X285" t="n">
        <v>0</v>
      </c>
      <c r="Y285" s="95" t="n">
        <v>2017</v>
      </c>
      <c r="Z285" t="s">
        <v>266</v>
      </c>
      <c r="AA285" s="96" t="str">
        <f>IF(G285="shared-count-once",COUNTIFS($A$2:$A$313,A285,$B$2:$B$313,B285,$D$2:$D$313,D285),1)</f>
      </c>
    </row>
    <row r="286">
      <c r="A286" t="s">
        <v>76</v>
      </c>
      <c r="B286" s="74" t="n">
        <v>2049</v>
      </c>
      <c r="C286" t="s">
        <v>214</v>
      </c>
      <c r="D286" s="75" t="s">
        <v>353</v>
      </c>
      <c r="E286" s="76" t="s">
        <v>354</v>
      </c>
      <c r="F286" s="77" t="s">
        <v>220</v>
      </c>
      <c r="G286" s="78" t="s">
        <v>337</v>
      </c>
      <c r="H286" s="79" t="s">
        <v>339</v>
      </c>
      <c r="I286" s="80" t="n">
        <v>1</v>
      </c>
      <c r="J286" s="81" t="n">
        <v>1</v>
      </c>
      <c r="K286" s="82" t="n">
        <v>0.0231</v>
      </c>
      <c r="L286" s="83" t="n">
        <v>325016726.583355</v>
      </c>
      <c r="M286" s="84" t="n">
        <v>323259246.716719</v>
      </c>
      <c r="N286" s="85" t="str">
        <f>MIN(MAX((B286-'Calculation_Assumptions'!$B$5+1)/'Calculation_Assumptions'!$B$7,0),1)</f>
      </c>
      <c r="O286" s="86" t="str">
        <f>L286*I286</f>
      </c>
      <c r="P286" s="87" t="str">
        <f>M286*I286</f>
      </c>
      <c r="Q286" s="88" t="str">
        <f>P286*'Calculation_Assumptions'!$B$14*J286*K286</f>
      </c>
      <c r="R286" s="89" t="str">
        <f>O286*N286*J286*K286</f>
      </c>
      <c r="S286" s="90" t="str">
        <f>R286-Q286</f>
      </c>
      <c r="T286" s="91" t="str">
        <f>1/(1+'Calculation_Assumptions'!$B$8)^(B286-'Calculation_Assumptions'!$B$2)</f>
      </c>
      <c r="U286" s="92" t="str">
        <f>Q286*T286</f>
      </c>
      <c r="V286" s="93" t="str">
        <f>R286*T286</f>
      </c>
      <c r="W286" s="94" t="str">
        <f>S286*T286</f>
      </c>
      <c r="X286" t="n">
        <v>0</v>
      </c>
      <c r="Y286" s="95" t="n">
        <v>2017</v>
      </c>
      <c r="Z286" t="s">
        <v>266</v>
      </c>
      <c r="AA286" s="96" t="str">
        <f>IF(G286="shared-count-once",COUNTIFS($A$2:$A$313,A286,$B$2:$B$313,B286,$D$2:$D$313,D286),1)</f>
      </c>
    </row>
    <row r="287">
      <c r="A287" t="s">
        <v>76</v>
      </c>
      <c r="B287" s="74" t="n">
        <v>2050</v>
      </c>
      <c r="C287" t="s">
        <v>214</v>
      </c>
      <c r="D287" s="75" t="s">
        <v>353</v>
      </c>
      <c r="E287" s="76" t="s">
        <v>354</v>
      </c>
      <c r="F287" s="77" t="s">
        <v>220</v>
      </c>
      <c r="G287" s="78" t="s">
        <v>337</v>
      </c>
      <c r="H287" s="79" t="s">
        <v>339</v>
      </c>
      <c r="I287" s="80" t="n">
        <v>1</v>
      </c>
      <c r="J287" s="81" t="n">
        <v>1</v>
      </c>
      <c r="K287" s="82" t="n">
        <v>0.0231</v>
      </c>
      <c r="L287" s="83" t="n">
        <v>325902090.730916</v>
      </c>
      <c r="M287" s="84" t="n">
        <v>324013738.182479</v>
      </c>
      <c r="N287" s="85" t="str">
        <f>MIN(MAX((B287-'Calculation_Assumptions'!$B$5+1)/'Calculation_Assumptions'!$B$7,0),1)</f>
      </c>
      <c r="O287" s="86" t="str">
        <f>L287*I287</f>
      </c>
      <c r="P287" s="87" t="str">
        <f>M287*I287</f>
      </c>
      <c r="Q287" s="88" t="str">
        <f>P287*'Calculation_Assumptions'!$B$14*J287*K287</f>
      </c>
      <c r="R287" s="89" t="str">
        <f>O287*N287*J287*K287</f>
      </c>
      <c r="S287" s="90" t="str">
        <f>R287-Q287</f>
      </c>
      <c r="T287" s="91" t="str">
        <f>1/(1+'Calculation_Assumptions'!$B$8)^(B287-'Calculation_Assumptions'!$B$2)</f>
      </c>
      <c r="U287" s="92" t="str">
        <f>Q287*T287</f>
      </c>
      <c r="V287" s="93" t="str">
        <f>R287*T287</f>
      </c>
      <c r="W287" s="94" t="str">
        <f>S287*T287</f>
      </c>
      <c r="X287" t="n">
        <v>0</v>
      </c>
      <c r="Y287" s="95" t="n">
        <v>2017</v>
      </c>
      <c r="Z287" t="s">
        <v>266</v>
      </c>
      <c r="AA287" s="96" t="str">
        <f>IF(G287="shared-count-once",COUNTIFS($A$2:$A$313,A287,$B$2:$B$313,B287,$D$2:$D$313,D287),1)</f>
      </c>
    </row>
    <row r="288">
      <c r="A288" t="s">
        <v>76</v>
      </c>
      <c r="B288" s="74" t="n">
        <v>2025</v>
      </c>
      <c r="C288" t="s">
        <v>225</v>
      </c>
      <c r="D288" s="75" t="s">
        <v>355</v>
      </c>
      <c r="E288" s="76" t="s">
        <v>356</v>
      </c>
      <c r="F288" s="77" t="s">
        <v>228</v>
      </c>
      <c r="G288" s="78" t="s">
        <v>337</v>
      </c>
      <c r="H288" s="79" t="s">
        <v>339</v>
      </c>
      <c r="I288" s="80" t="n">
        <v>1</v>
      </c>
      <c r="J288" s="81" t="n">
        <v>1</v>
      </c>
      <c r="K288" s="82" t="n">
        <v>0.004</v>
      </c>
      <c r="L288" s="83" t="n">
        <v>288000821.106462</v>
      </c>
      <c r="M288" s="84" t="n">
        <v>288000821.106462</v>
      </c>
      <c r="N288" s="85" t="str">
        <f>MIN(MAX((B288-'Calculation_Assumptions'!$B$5+1)/'Calculation_Assumptions'!$B$7,0),1)</f>
      </c>
      <c r="O288" s="86" t="str">
        <f>L288*I288</f>
      </c>
      <c r="P288" s="87" t="str">
        <f>M288*I288</f>
      </c>
      <c r="Q288" s="88" t="str">
        <f>P288*'Calculation_Assumptions'!$B$14*J288*K288</f>
      </c>
      <c r="R288" s="89" t="str">
        <f>O288*N288*J288*K288</f>
      </c>
      <c r="S288" s="90" t="str">
        <f>R288-Q288</f>
      </c>
      <c r="T288" s="91" t="str">
        <f>1/(1+'Calculation_Assumptions'!$B$8)^(B288-'Calculation_Assumptions'!$B$2)</f>
      </c>
      <c r="U288" s="92" t="str">
        <f>Q288*T288</f>
      </c>
      <c r="V288" s="93" t="str">
        <f>R288*T288</f>
      </c>
      <c r="W288" s="94" t="str">
        <f>S288*T288</f>
      </c>
      <c r="X288" t="n">
        <v>0</v>
      </c>
      <c r="Y288" s="95" t="n">
        <v>2017</v>
      </c>
      <c r="Z288" t="s">
        <v>266</v>
      </c>
      <c r="AA288" s="96" t="str">
        <f>IF(G288="shared-count-once",COUNTIFS($A$2:$A$313,A288,$B$2:$B$313,B288,$D$2:$D$313,D288),1)</f>
      </c>
    </row>
    <row r="289">
      <c r="A289" t="s">
        <v>76</v>
      </c>
      <c r="B289" s="74" t="n">
        <v>2026</v>
      </c>
      <c r="C289" t="s">
        <v>225</v>
      </c>
      <c r="D289" s="75" t="s">
        <v>355</v>
      </c>
      <c r="E289" s="76" t="s">
        <v>356</v>
      </c>
      <c r="F289" s="77" t="s">
        <v>228</v>
      </c>
      <c r="G289" s="78" t="s">
        <v>337</v>
      </c>
      <c r="H289" s="79" t="s">
        <v>339</v>
      </c>
      <c r="I289" s="80" t="n">
        <v>1</v>
      </c>
      <c r="J289" s="81" t="n">
        <v>1</v>
      </c>
      <c r="K289" s="82" t="n">
        <v>0.004</v>
      </c>
      <c r="L289" s="83" t="n">
        <v>290123496.103219</v>
      </c>
      <c r="M289" s="84" t="n">
        <v>290123496.103219</v>
      </c>
      <c r="N289" s="85" t="str">
        <f>MIN(MAX((B289-'Calculation_Assumptions'!$B$5+1)/'Calculation_Assumptions'!$B$7,0),1)</f>
      </c>
      <c r="O289" s="86" t="str">
        <f>L289*I289</f>
      </c>
      <c r="P289" s="87" t="str">
        <f>M289*I289</f>
      </c>
      <c r="Q289" s="88" t="str">
        <f>P289*'Calculation_Assumptions'!$B$14*J289*K289</f>
      </c>
      <c r="R289" s="89" t="str">
        <f>O289*N289*J289*K289</f>
      </c>
      <c r="S289" s="90" t="str">
        <f>R289-Q289</f>
      </c>
      <c r="T289" s="91" t="str">
        <f>1/(1+'Calculation_Assumptions'!$B$8)^(B289-'Calculation_Assumptions'!$B$2)</f>
      </c>
      <c r="U289" s="92" t="str">
        <f>Q289*T289</f>
      </c>
      <c r="V289" s="93" t="str">
        <f>R289*T289</f>
      </c>
      <c r="W289" s="94" t="str">
        <f>S289*T289</f>
      </c>
      <c r="X289" t="n">
        <v>0</v>
      </c>
      <c r="Y289" s="95" t="n">
        <v>2017</v>
      </c>
      <c r="Z289" t="s">
        <v>266</v>
      </c>
      <c r="AA289" s="96" t="str">
        <f>IF(G289="shared-count-once",COUNTIFS($A$2:$A$313,A289,$B$2:$B$313,B289,$D$2:$D$313,D289),1)</f>
      </c>
    </row>
    <row r="290">
      <c r="A290" t="s">
        <v>76</v>
      </c>
      <c r="B290" s="74" t="n">
        <v>2027</v>
      </c>
      <c r="C290" t="s">
        <v>225</v>
      </c>
      <c r="D290" s="75" t="s">
        <v>355</v>
      </c>
      <c r="E290" s="76" t="s">
        <v>356</v>
      </c>
      <c r="F290" s="77" t="s">
        <v>228</v>
      </c>
      <c r="G290" s="78" t="s">
        <v>337</v>
      </c>
      <c r="H290" s="79" t="s">
        <v>339</v>
      </c>
      <c r="I290" s="80" t="n">
        <v>1</v>
      </c>
      <c r="J290" s="81" t="n">
        <v>1</v>
      </c>
      <c r="K290" s="82" t="n">
        <v>0.004</v>
      </c>
      <c r="L290" s="83" t="n">
        <v>292252895.096956</v>
      </c>
      <c r="M290" s="84" t="n">
        <v>292252895.096956</v>
      </c>
      <c r="N290" s="85" t="str">
        <f>MIN(MAX((B290-'Calculation_Assumptions'!$B$5+1)/'Calculation_Assumptions'!$B$7,0),1)</f>
      </c>
      <c r="O290" s="86" t="str">
        <f>L290*I290</f>
      </c>
      <c r="P290" s="87" t="str">
        <f>M290*I290</f>
      </c>
      <c r="Q290" s="88" t="str">
        <f>P290*'Calculation_Assumptions'!$B$14*J290*K290</f>
      </c>
      <c r="R290" s="89" t="str">
        <f>O290*N290*J290*K290</f>
      </c>
      <c r="S290" s="90" t="str">
        <f>R290-Q290</f>
      </c>
      <c r="T290" s="91" t="str">
        <f>1/(1+'Calculation_Assumptions'!$B$8)^(B290-'Calculation_Assumptions'!$B$2)</f>
      </c>
      <c r="U290" s="92" t="str">
        <f>Q290*T290</f>
      </c>
      <c r="V290" s="93" t="str">
        <f>R290*T290</f>
      </c>
      <c r="W290" s="94" t="str">
        <f>S290*T290</f>
      </c>
      <c r="X290" t="n">
        <v>0</v>
      </c>
      <c r="Y290" s="95" t="n">
        <v>2017</v>
      </c>
      <c r="Z290" t="s">
        <v>266</v>
      </c>
      <c r="AA290" s="96" t="str">
        <f>IF(G290="shared-count-once",COUNTIFS($A$2:$A$313,A290,$B$2:$B$313,B290,$D$2:$D$313,D290),1)</f>
      </c>
    </row>
    <row r="291">
      <c r="A291" t="s">
        <v>76</v>
      </c>
      <c r="B291" s="74" t="n">
        <v>2028</v>
      </c>
      <c r="C291" t="s">
        <v>225</v>
      </c>
      <c r="D291" s="75" t="s">
        <v>355</v>
      </c>
      <c r="E291" s="76" t="s">
        <v>356</v>
      </c>
      <c r="F291" s="77" t="s">
        <v>228</v>
      </c>
      <c r="G291" s="78" t="s">
        <v>337</v>
      </c>
      <c r="H291" s="79" t="s">
        <v>339</v>
      </c>
      <c r="I291" s="80" t="n">
        <v>1</v>
      </c>
      <c r="J291" s="81" t="n">
        <v>1</v>
      </c>
      <c r="K291" s="82" t="n">
        <v>0.004</v>
      </c>
      <c r="L291" s="83" t="n">
        <v>294318750.706066</v>
      </c>
      <c r="M291" s="84" t="n">
        <v>294314895.305465</v>
      </c>
      <c r="N291" s="85" t="str">
        <f>MIN(MAX((B291-'Calculation_Assumptions'!$B$5+1)/'Calculation_Assumptions'!$B$7,0),1)</f>
      </c>
      <c r="O291" s="86" t="str">
        <f>L291*I291</f>
      </c>
      <c r="P291" s="87" t="str">
        <f>M291*I291</f>
      </c>
      <c r="Q291" s="88" t="str">
        <f>P291*'Calculation_Assumptions'!$B$14*J291*K291</f>
      </c>
      <c r="R291" s="89" t="str">
        <f>O291*N291*J291*K291</f>
      </c>
      <c r="S291" s="90" t="str">
        <f>R291-Q291</f>
      </c>
      <c r="T291" s="91" t="str">
        <f>1/(1+'Calculation_Assumptions'!$B$8)^(B291-'Calculation_Assumptions'!$B$2)</f>
      </c>
      <c r="U291" s="92" t="str">
        <f>Q291*T291</f>
      </c>
      <c r="V291" s="93" t="str">
        <f>R291*T291</f>
      </c>
      <c r="W291" s="94" t="str">
        <f>S291*T291</f>
      </c>
      <c r="X291" t="n">
        <v>0</v>
      </c>
      <c r="Y291" s="95" t="n">
        <v>2017</v>
      </c>
      <c r="Z291" t="s">
        <v>266</v>
      </c>
      <c r="AA291" s="96" t="str">
        <f>IF(G291="shared-count-once",COUNTIFS($A$2:$A$313,A291,$B$2:$B$313,B291,$D$2:$D$313,D291),1)</f>
      </c>
    </row>
    <row r="292">
      <c r="A292" t="s">
        <v>76</v>
      </c>
      <c r="B292" s="74" t="n">
        <v>2029</v>
      </c>
      <c r="C292" t="s">
        <v>225</v>
      </c>
      <c r="D292" s="75" t="s">
        <v>355</v>
      </c>
      <c r="E292" s="76" t="s">
        <v>356</v>
      </c>
      <c r="F292" s="77" t="s">
        <v>228</v>
      </c>
      <c r="G292" s="78" t="s">
        <v>337</v>
      </c>
      <c r="H292" s="79" t="s">
        <v>339</v>
      </c>
      <c r="I292" s="80" t="n">
        <v>1</v>
      </c>
      <c r="J292" s="81" t="n">
        <v>1</v>
      </c>
      <c r="K292" s="82" t="n">
        <v>0.004</v>
      </c>
      <c r="L292" s="83" t="n">
        <v>296356322.266156</v>
      </c>
      <c r="M292" s="84" t="n">
        <v>296341062.542853</v>
      </c>
      <c r="N292" s="85" t="str">
        <f>MIN(MAX((B292-'Calculation_Assumptions'!$B$5+1)/'Calculation_Assumptions'!$B$7,0),1)</f>
      </c>
      <c r="O292" s="86" t="str">
        <f>L292*I292</f>
      </c>
      <c r="P292" s="87" t="str">
        <f>M292*I292</f>
      </c>
      <c r="Q292" s="88" t="str">
        <f>P292*'Calculation_Assumptions'!$B$14*J292*K292</f>
      </c>
      <c r="R292" s="89" t="str">
        <f>O292*N292*J292*K292</f>
      </c>
      <c r="S292" s="90" t="str">
        <f>R292-Q292</f>
      </c>
      <c r="T292" s="91" t="str">
        <f>1/(1+'Calculation_Assumptions'!$B$8)^(B292-'Calculation_Assumptions'!$B$2)</f>
      </c>
      <c r="U292" s="92" t="str">
        <f>Q292*T292</f>
      </c>
      <c r="V292" s="93" t="str">
        <f>R292*T292</f>
      </c>
      <c r="W292" s="94" t="str">
        <f>S292*T292</f>
      </c>
      <c r="X292" t="n">
        <v>0</v>
      </c>
      <c r="Y292" s="95" t="n">
        <v>2017</v>
      </c>
      <c r="Z292" t="s">
        <v>266</v>
      </c>
      <c r="AA292" s="96" t="str">
        <f>IF(G292="shared-count-once",COUNTIFS($A$2:$A$313,A292,$B$2:$B$313,B292,$D$2:$D$313,D292),1)</f>
      </c>
    </row>
    <row r="293">
      <c r="A293" t="s">
        <v>76</v>
      </c>
      <c r="B293" s="74" t="n">
        <v>2030</v>
      </c>
      <c r="C293" t="s">
        <v>225</v>
      </c>
      <c r="D293" s="75" t="s">
        <v>355</v>
      </c>
      <c r="E293" s="76" t="s">
        <v>356</v>
      </c>
      <c r="F293" s="77" t="s">
        <v>228</v>
      </c>
      <c r="G293" s="78" t="s">
        <v>337</v>
      </c>
      <c r="H293" s="79" t="s">
        <v>339</v>
      </c>
      <c r="I293" s="80" t="n">
        <v>1</v>
      </c>
      <c r="J293" s="81" t="n">
        <v>1</v>
      </c>
      <c r="K293" s="82" t="n">
        <v>0.004</v>
      </c>
      <c r="L293" s="83" t="n">
        <v>298317004.678736</v>
      </c>
      <c r="M293" s="84" t="n">
        <v>298280286.057263</v>
      </c>
      <c r="N293" s="85" t="str">
        <f>MIN(MAX((B293-'Calculation_Assumptions'!$B$5+1)/'Calculation_Assumptions'!$B$7,0),1)</f>
      </c>
      <c r="O293" s="86" t="str">
        <f>L293*I293</f>
      </c>
      <c r="P293" s="87" t="str">
        <f>M293*I293</f>
      </c>
      <c r="Q293" s="88" t="str">
        <f>P293*'Calculation_Assumptions'!$B$14*J293*K293</f>
      </c>
      <c r="R293" s="89" t="str">
        <f>O293*N293*J293*K293</f>
      </c>
      <c r="S293" s="90" t="str">
        <f>R293-Q293</f>
      </c>
      <c r="T293" s="91" t="str">
        <f>1/(1+'Calculation_Assumptions'!$B$8)^(B293-'Calculation_Assumptions'!$B$2)</f>
      </c>
      <c r="U293" s="92" t="str">
        <f>Q293*T293</f>
      </c>
      <c r="V293" s="93" t="str">
        <f>R293*T293</f>
      </c>
      <c r="W293" s="94" t="str">
        <f>S293*T293</f>
      </c>
      <c r="X293" t="n">
        <v>0</v>
      </c>
      <c r="Y293" s="95" t="n">
        <v>2017</v>
      </c>
      <c r="Z293" t="s">
        <v>266</v>
      </c>
      <c r="AA293" s="96" t="str">
        <f>IF(G293="shared-count-once",COUNTIFS($A$2:$A$313,A293,$B$2:$B$313,B293,$D$2:$D$313,D293),1)</f>
      </c>
    </row>
    <row r="294">
      <c r="A294" t="s">
        <v>76</v>
      </c>
      <c r="B294" s="74" t="n">
        <v>2031</v>
      </c>
      <c r="C294" t="s">
        <v>225</v>
      </c>
      <c r="D294" s="75" t="s">
        <v>355</v>
      </c>
      <c r="E294" s="76" t="s">
        <v>356</v>
      </c>
      <c r="F294" s="77" t="s">
        <v>228</v>
      </c>
      <c r="G294" s="78" t="s">
        <v>337</v>
      </c>
      <c r="H294" s="79" t="s">
        <v>339</v>
      </c>
      <c r="I294" s="80" t="n">
        <v>1</v>
      </c>
      <c r="J294" s="81" t="n">
        <v>1</v>
      </c>
      <c r="K294" s="82" t="n">
        <v>0.004</v>
      </c>
      <c r="L294" s="83" t="n">
        <v>300222863.165616</v>
      </c>
      <c r="M294" s="84" t="n">
        <v>300152603.254782</v>
      </c>
      <c r="N294" s="85" t="str">
        <f>MIN(MAX((B294-'Calculation_Assumptions'!$B$5+1)/'Calculation_Assumptions'!$B$7,0),1)</f>
      </c>
      <c r="O294" s="86" t="str">
        <f>L294*I294</f>
      </c>
      <c r="P294" s="87" t="str">
        <f>M294*I294</f>
      </c>
      <c r="Q294" s="88" t="str">
        <f>P294*'Calculation_Assumptions'!$B$14*J294*K294</f>
      </c>
      <c r="R294" s="89" t="str">
        <f>O294*N294*J294*K294</f>
      </c>
      <c r="S294" s="90" t="str">
        <f>R294-Q294</f>
      </c>
      <c r="T294" s="91" t="str">
        <f>1/(1+'Calculation_Assumptions'!$B$8)^(B294-'Calculation_Assumptions'!$B$2)</f>
      </c>
      <c r="U294" s="92" t="str">
        <f>Q294*T294</f>
      </c>
      <c r="V294" s="93" t="str">
        <f>R294*T294</f>
      </c>
      <c r="W294" s="94" t="str">
        <f>S294*T294</f>
      </c>
      <c r="X294" t="n">
        <v>0</v>
      </c>
      <c r="Y294" s="95" t="n">
        <v>2017</v>
      </c>
      <c r="Z294" t="s">
        <v>266</v>
      </c>
      <c r="AA294" s="96" t="str">
        <f>IF(G294="shared-count-once",COUNTIFS($A$2:$A$313,A294,$B$2:$B$313,B294,$D$2:$D$313,D294),1)</f>
      </c>
    </row>
    <row r="295">
      <c r="A295" t="s">
        <v>76</v>
      </c>
      <c r="B295" s="74" t="n">
        <v>2032</v>
      </c>
      <c r="C295" t="s">
        <v>225</v>
      </c>
      <c r="D295" s="75" t="s">
        <v>355</v>
      </c>
      <c r="E295" s="76" t="s">
        <v>356</v>
      </c>
      <c r="F295" s="77" t="s">
        <v>228</v>
      </c>
      <c r="G295" s="78" t="s">
        <v>337</v>
      </c>
      <c r="H295" s="79" t="s">
        <v>339</v>
      </c>
      <c r="I295" s="80" t="n">
        <v>1</v>
      </c>
      <c r="J295" s="81" t="n">
        <v>1</v>
      </c>
      <c r="K295" s="82" t="n">
        <v>0.004</v>
      </c>
      <c r="L295" s="83" t="n">
        <v>302002258.96739</v>
      </c>
      <c r="M295" s="84" t="n">
        <v>301959399.633888</v>
      </c>
      <c r="N295" s="85" t="str">
        <f>MIN(MAX((B295-'Calculation_Assumptions'!$B$5+1)/'Calculation_Assumptions'!$B$7,0),1)</f>
      </c>
      <c r="O295" s="86" t="str">
        <f>L295*I295</f>
      </c>
      <c r="P295" s="87" t="str">
        <f>M295*I295</f>
      </c>
      <c r="Q295" s="88" t="str">
        <f>P295*'Calculation_Assumptions'!$B$14*J295*K295</f>
      </c>
      <c r="R295" s="89" t="str">
        <f>O295*N295*J295*K295</f>
      </c>
      <c r="S295" s="90" t="str">
        <f>R295-Q295</f>
      </c>
      <c r="T295" s="91" t="str">
        <f>1/(1+'Calculation_Assumptions'!$B$8)^(B295-'Calculation_Assumptions'!$B$2)</f>
      </c>
      <c r="U295" s="92" t="str">
        <f>Q295*T295</f>
      </c>
      <c r="V295" s="93" t="str">
        <f>R295*T295</f>
      </c>
      <c r="W295" s="94" t="str">
        <f>S295*T295</f>
      </c>
      <c r="X295" t="n">
        <v>0</v>
      </c>
      <c r="Y295" s="95" t="n">
        <v>2017</v>
      </c>
      <c r="Z295" t="s">
        <v>266</v>
      </c>
      <c r="AA295" s="96" t="str">
        <f>IF(G295="shared-count-once",COUNTIFS($A$2:$A$313,A295,$B$2:$B$313,B295,$D$2:$D$313,D295),1)</f>
      </c>
    </row>
    <row r="296">
      <c r="A296" t="s">
        <v>76</v>
      </c>
      <c r="B296" s="74" t="n">
        <v>2033</v>
      </c>
      <c r="C296" t="s">
        <v>225</v>
      </c>
      <c r="D296" s="75" t="s">
        <v>355</v>
      </c>
      <c r="E296" s="76" t="s">
        <v>356</v>
      </c>
      <c r="F296" s="77" t="s">
        <v>228</v>
      </c>
      <c r="G296" s="78" t="s">
        <v>337</v>
      </c>
      <c r="H296" s="79" t="s">
        <v>339</v>
      </c>
      <c r="I296" s="80" t="n">
        <v>1</v>
      </c>
      <c r="J296" s="81" t="n">
        <v>1</v>
      </c>
      <c r="K296" s="82" t="n">
        <v>0.004</v>
      </c>
      <c r="L296" s="83" t="n">
        <v>303792531.133499</v>
      </c>
      <c r="M296" s="84" t="n">
        <v>303701035.202051</v>
      </c>
      <c r="N296" s="85" t="str">
        <f>MIN(MAX((B296-'Calculation_Assumptions'!$B$5+1)/'Calculation_Assumptions'!$B$7,0),1)</f>
      </c>
      <c r="O296" s="86" t="str">
        <f>L296*I296</f>
      </c>
      <c r="P296" s="87" t="str">
        <f>M296*I296</f>
      </c>
      <c r="Q296" s="88" t="str">
        <f>P296*'Calculation_Assumptions'!$B$14*J296*K296</f>
      </c>
      <c r="R296" s="89" t="str">
        <f>O296*N296*J296*K296</f>
      </c>
      <c r="S296" s="90" t="str">
        <f>R296-Q296</f>
      </c>
      <c r="T296" s="91" t="str">
        <f>1/(1+'Calculation_Assumptions'!$B$8)^(B296-'Calculation_Assumptions'!$B$2)</f>
      </c>
      <c r="U296" s="92" t="str">
        <f>Q296*T296</f>
      </c>
      <c r="V296" s="93" t="str">
        <f>R296*T296</f>
      </c>
      <c r="W296" s="94" t="str">
        <f>S296*T296</f>
      </c>
      <c r="X296" t="n">
        <v>0</v>
      </c>
      <c r="Y296" s="95" t="n">
        <v>2017</v>
      </c>
      <c r="Z296" t="s">
        <v>266</v>
      </c>
      <c r="AA296" s="96" t="str">
        <f>IF(G296="shared-count-once",COUNTIFS($A$2:$A$313,A296,$B$2:$B$313,B296,$D$2:$D$313,D296),1)</f>
      </c>
    </row>
    <row r="297">
      <c r="A297" t="s">
        <v>76</v>
      </c>
      <c r="B297" s="74" t="n">
        <v>2034</v>
      </c>
      <c r="C297" t="s">
        <v>225</v>
      </c>
      <c r="D297" s="75" t="s">
        <v>355</v>
      </c>
      <c r="E297" s="76" t="s">
        <v>356</v>
      </c>
      <c r="F297" s="77" t="s">
        <v>228</v>
      </c>
      <c r="G297" s="78" t="s">
        <v>337</v>
      </c>
      <c r="H297" s="79" t="s">
        <v>339</v>
      </c>
      <c r="I297" s="80" t="n">
        <v>1</v>
      </c>
      <c r="J297" s="81" t="n">
        <v>1</v>
      </c>
      <c r="K297" s="82" t="n">
        <v>0.004</v>
      </c>
      <c r="L297" s="83" t="n">
        <v>305527186.929355</v>
      </c>
      <c r="M297" s="84" t="n">
        <v>305377998.093319</v>
      </c>
      <c r="N297" s="85" t="str">
        <f>MIN(MAX((B297-'Calculation_Assumptions'!$B$5+1)/'Calculation_Assumptions'!$B$7,0),1)</f>
      </c>
      <c r="O297" s="86" t="str">
        <f>L297*I297</f>
      </c>
      <c r="P297" s="87" t="str">
        <f>M297*I297</f>
      </c>
      <c r="Q297" s="88" t="str">
        <f>P297*'Calculation_Assumptions'!$B$14*J297*K297</f>
      </c>
      <c r="R297" s="89" t="str">
        <f>O297*N297*J297*K297</f>
      </c>
      <c r="S297" s="90" t="str">
        <f>R297-Q297</f>
      </c>
      <c r="T297" s="91" t="str">
        <f>1/(1+'Calculation_Assumptions'!$B$8)^(B297-'Calculation_Assumptions'!$B$2)</f>
      </c>
      <c r="U297" s="92" t="str">
        <f>Q297*T297</f>
      </c>
      <c r="V297" s="93" t="str">
        <f>R297*T297</f>
      </c>
      <c r="W297" s="94" t="str">
        <f>S297*T297</f>
      </c>
      <c r="X297" t="n">
        <v>0</v>
      </c>
      <c r="Y297" s="95" t="n">
        <v>2017</v>
      </c>
      <c r="Z297" t="s">
        <v>266</v>
      </c>
      <c r="AA297" s="96" t="str">
        <f>IF(G297="shared-count-once",COUNTIFS($A$2:$A$313,A297,$B$2:$B$313,B297,$D$2:$D$313,D297),1)</f>
      </c>
    </row>
    <row r="298">
      <c r="A298" t="s">
        <v>76</v>
      </c>
      <c r="B298" s="74" t="n">
        <v>2035</v>
      </c>
      <c r="C298" t="s">
        <v>225</v>
      </c>
      <c r="D298" s="75" t="s">
        <v>355</v>
      </c>
      <c r="E298" s="76" t="s">
        <v>356</v>
      </c>
      <c r="F298" s="77" t="s">
        <v>228</v>
      </c>
      <c r="G298" s="78" t="s">
        <v>337</v>
      </c>
      <c r="H298" s="79" t="s">
        <v>339</v>
      </c>
      <c r="I298" s="80" t="n">
        <v>1</v>
      </c>
      <c r="J298" s="81" t="n">
        <v>1</v>
      </c>
      <c r="K298" s="82" t="n">
        <v>0.004</v>
      </c>
      <c r="L298" s="83" t="n">
        <v>307204550.865101</v>
      </c>
      <c r="M298" s="84" t="n">
        <v>306989258.29407</v>
      </c>
      <c r="N298" s="85" t="str">
        <f>MIN(MAX((B298-'Calculation_Assumptions'!$B$5+1)/'Calculation_Assumptions'!$B$7,0),1)</f>
      </c>
      <c r="O298" s="86" t="str">
        <f>L298*I298</f>
      </c>
      <c r="P298" s="87" t="str">
        <f>M298*I298</f>
      </c>
      <c r="Q298" s="88" t="str">
        <f>P298*'Calculation_Assumptions'!$B$14*J298*K298</f>
      </c>
      <c r="R298" s="89" t="str">
        <f>O298*N298*J298*K298</f>
      </c>
      <c r="S298" s="90" t="str">
        <f>R298-Q298</f>
      </c>
      <c r="T298" s="91" t="str">
        <f>1/(1+'Calculation_Assumptions'!$B$8)^(B298-'Calculation_Assumptions'!$B$2)</f>
      </c>
      <c r="U298" s="92" t="str">
        <f>Q298*T298</f>
      </c>
      <c r="V298" s="93" t="str">
        <f>R298*T298</f>
      </c>
      <c r="W298" s="94" t="str">
        <f>S298*T298</f>
      </c>
      <c r="X298" t="n">
        <v>0</v>
      </c>
      <c r="Y298" s="95" t="n">
        <v>2017</v>
      </c>
      <c r="Z298" t="s">
        <v>266</v>
      </c>
      <c r="AA298" s="96" t="str">
        <f>IF(G298="shared-count-once",COUNTIFS($A$2:$A$313,A298,$B$2:$B$313,B298,$D$2:$D$313,D298),1)</f>
      </c>
    </row>
    <row r="299">
      <c r="A299" t="s">
        <v>76</v>
      </c>
      <c r="B299" s="74" t="n">
        <v>2036</v>
      </c>
      <c r="C299" t="s">
        <v>225</v>
      </c>
      <c r="D299" s="75" t="s">
        <v>355</v>
      </c>
      <c r="E299" s="76" t="s">
        <v>356</v>
      </c>
      <c r="F299" s="77" t="s">
        <v>228</v>
      </c>
      <c r="G299" s="78" t="s">
        <v>337</v>
      </c>
      <c r="H299" s="79" t="s">
        <v>339</v>
      </c>
      <c r="I299" s="80" t="n">
        <v>1</v>
      </c>
      <c r="J299" s="81" t="n">
        <v>1</v>
      </c>
      <c r="K299" s="82" t="n">
        <v>0.004</v>
      </c>
      <c r="L299" s="83" t="n">
        <v>308826793.60125</v>
      </c>
      <c r="M299" s="84" t="n">
        <v>308537399.672094</v>
      </c>
      <c r="N299" s="85" t="str">
        <f>MIN(MAX((B299-'Calculation_Assumptions'!$B$5+1)/'Calculation_Assumptions'!$B$7,0),1)</f>
      </c>
      <c r="O299" s="86" t="str">
        <f>L299*I299</f>
      </c>
      <c r="P299" s="87" t="str">
        <f>M299*I299</f>
      </c>
      <c r="Q299" s="88" t="str">
        <f>P299*'Calculation_Assumptions'!$B$14*J299*K299</f>
      </c>
      <c r="R299" s="89" t="str">
        <f>O299*N299*J299*K299</f>
      </c>
      <c r="S299" s="90" t="str">
        <f>R299-Q299</f>
      </c>
      <c r="T299" s="91" t="str">
        <f>1/(1+'Calculation_Assumptions'!$B$8)^(B299-'Calculation_Assumptions'!$B$2)</f>
      </c>
      <c r="U299" s="92" t="str">
        <f>Q299*T299</f>
      </c>
      <c r="V299" s="93" t="str">
        <f>R299*T299</f>
      </c>
      <c r="W299" s="94" t="str">
        <f>S299*T299</f>
      </c>
      <c r="X299" t="n">
        <v>0</v>
      </c>
      <c r="Y299" s="95" t="n">
        <v>2017</v>
      </c>
      <c r="Z299" t="s">
        <v>266</v>
      </c>
      <c r="AA299" s="96" t="str">
        <f>IF(G299="shared-count-once",COUNTIFS($A$2:$A$313,A299,$B$2:$B$313,B299,$D$2:$D$313,D299),1)</f>
      </c>
    </row>
    <row r="300">
      <c r="A300" t="s">
        <v>76</v>
      </c>
      <c r="B300" s="74" t="n">
        <v>2037</v>
      </c>
      <c r="C300" t="s">
        <v>225</v>
      </c>
      <c r="D300" s="75" t="s">
        <v>355</v>
      </c>
      <c r="E300" s="76" t="s">
        <v>356</v>
      </c>
      <c r="F300" s="77" t="s">
        <v>228</v>
      </c>
      <c r="G300" s="78" t="s">
        <v>337</v>
      </c>
      <c r="H300" s="79" t="s">
        <v>339</v>
      </c>
      <c r="I300" s="80" t="n">
        <v>1</v>
      </c>
      <c r="J300" s="81" t="n">
        <v>1</v>
      </c>
      <c r="K300" s="82" t="n">
        <v>0.004</v>
      </c>
      <c r="L300" s="83" t="n">
        <v>310394148.511485</v>
      </c>
      <c r="M300" s="84" t="n">
        <v>310023120.393472</v>
      </c>
      <c r="N300" s="85" t="str">
        <f>MIN(MAX((B300-'Calculation_Assumptions'!$B$5+1)/'Calculation_Assumptions'!$B$7,0),1)</f>
      </c>
      <c r="O300" s="86" t="str">
        <f>L300*I300</f>
      </c>
      <c r="P300" s="87" t="str">
        <f>M300*I300</f>
      </c>
      <c r="Q300" s="88" t="str">
        <f>P300*'Calculation_Assumptions'!$B$14*J300*K300</f>
      </c>
      <c r="R300" s="89" t="str">
        <f>O300*N300*J300*K300</f>
      </c>
      <c r="S300" s="90" t="str">
        <f>R300-Q300</f>
      </c>
      <c r="T300" s="91" t="str">
        <f>1/(1+'Calculation_Assumptions'!$B$8)^(B300-'Calculation_Assumptions'!$B$2)</f>
      </c>
      <c r="U300" s="92" t="str">
        <f>Q300*T300</f>
      </c>
      <c r="V300" s="93" t="str">
        <f>R300*T300</f>
      </c>
      <c r="W300" s="94" t="str">
        <f>S300*T300</f>
      </c>
      <c r="X300" t="n">
        <v>0</v>
      </c>
      <c r="Y300" s="95" t="n">
        <v>2017</v>
      </c>
      <c r="Z300" t="s">
        <v>266</v>
      </c>
      <c r="AA300" s="96" t="str">
        <f>IF(G300="shared-count-once",COUNTIFS($A$2:$A$313,A300,$B$2:$B$313,B300,$D$2:$D$313,D300),1)</f>
      </c>
    </row>
    <row r="301">
      <c r="A301" t="s">
        <v>76</v>
      </c>
      <c r="B301" s="74" t="n">
        <v>2038</v>
      </c>
      <c r="C301" t="s">
        <v>225</v>
      </c>
      <c r="D301" s="75" t="s">
        <v>355</v>
      </c>
      <c r="E301" s="76" t="s">
        <v>356</v>
      </c>
      <c r="F301" s="77" t="s">
        <v>228</v>
      </c>
      <c r="G301" s="78" t="s">
        <v>337</v>
      </c>
      <c r="H301" s="79" t="s">
        <v>339</v>
      </c>
      <c r="I301" s="80" t="n">
        <v>1</v>
      </c>
      <c r="J301" s="81" t="n">
        <v>1</v>
      </c>
      <c r="K301" s="82" t="n">
        <v>0.004</v>
      </c>
      <c r="L301" s="83" t="n">
        <v>311906222.578398</v>
      </c>
      <c r="M301" s="84" t="n">
        <v>311445837.134625</v>
      </c>
      <c r="N301" s="85" t="str">
        <f>MIN(MAX((B301-'Calculation_Assumptions'!$B$5+1)/'Calculation_Assumptions'!$B$7,0),1)</f>
      </c>
      <c r="O301" s="86" t="str">
        <f>L301*I301</f>
      </c>
      <c r="P301" s="87" t="str">
        <f>M301*I301</f>
      </c>
      <c r="Q301" s="88" t="str">
        <f>P301*'Calculation_Assumptions'!$B$14*J301*K301</f>
      </c>
      <c r="R301" s="89" t="str">
        <f>O301*N301*J301*K301</f>
      </c>
      <c r="S301" s="90" t="str">
        <f>R301-Q301</f>
      </c>
      <c r="T301" s="91" t="str">
        <f>1/(1+'Calculation_Assumptions'!$B$8)^(B301-'Calculation_Assumptions'!$B$2)</f>
      </c>
      <c r="U301" s="92" t="str">
        <f>Q301*T301</f>
      </c>
      <c r="V301" s="93" t="str">
        <f>R301*T301</f>
      </c>
      <c r="W301" s="94" t="str">
        <f>S301*T301</f>
      </c>
      <c r="X301" t="n">
        <v>0</v>
      </c>
      <c r="Y301" s="95" t="n">
        <v>2017</v>
      </c>
      <c r="Z301" t="s">
        <v>266</v>
      </c>
      <c r="AA301" s="96" t="str">
        <f>IF(G301="shared-count-once",COUNTIFS($A$2:$A$313,A301,$B$2:$B$313,B301,$D$2:$D$313,D301),1)</f>
      </c>
    </row>
    <row r="302">
      <c r="A302" t="s">
        <v>76</v>
      </c>
      <c r="B302" s="74" t="n">
        <v>2039</v>
      </c>
      <c r="C302" t="s">
        <v>225</v>
      </c>
      <c r="D302" s="75" t="s">
        <v>355</v>
      </c>
      <c r="E302" s="76" t="s">
        <v>356</v>
      </c>
      <c r="F302" s="77" t="s">
        <v>228</v>
      </c>
      <c r="G302" s="78" t="s">
        <v>337</v>
      </c>
      <c r="H302" s="79" t="s">
        <v>339</v>
      </c>
      <c r="I302" s="80" t="n">
        <v>1</v>
      </c>
      <c r="J302" s="81" t="n">
        <v>1</v>
      </c>
      <c r="K302" s="82" t="n">
        <v>0.004</v>
      </c>
      <c r="L302" s="83" t="n">
        <v>313363821.520615</v>
      </c>
      <c r="M302" s="84" t="n">
        <v>312806989.715685</v>
      </c>
      <c r="N302" s="85" t="str">
        <f>MIN(MAX((B302-'Calculation_Assumptions'!$B$5+1)/'Calculation_Assumptions'!$B$7,0),1)</f>
      </c>
      <c r="O302" s="86" t="str">
        <f>L302*I302</f>
      </c>
      <c r="P302" s="87" t="str">
        <f>M302*I302</f>
      </c>
      <c r="Q302" s="88" t="str">
        <f>P302*'Calculation_Assumptions'!$B$14*J302*K302</f>
      </c>
      <c r="R302" s="89" t="str">
        <f>O302*N302*J302*K302</f>
      </c>
      <c r="S302" s="90" t="str">
        <f>R302-Q302</f>
      </c>
      <c r="T302" s="91" t="str">
        <f>1/(1+'Calculation_Assumptions'!$B$8)^(B302-'Calculation_Assumptions'!$B$2)</f>
      </c>
      <c r="U302" s="92" t="str">
        <f>Q302*T302</f>
      </c>
      <c r="V302" s="93" t="str">
        <f>R302*T302</f>
      </c>
      <c r="W302" s="94" t="str">
        <f>S302*T302</f>
      </c>
      <c r="X302" t="n">
        <v>0</v>
      </c>
      <c r="Y302" s="95" t="n">
        <v>2017</v>
      </c>
      <c r="Z302" t="s">
        <v>266</v>
      </c>
      <c r="AA302" s="96" t="str">
        <f>IF(G302="shared-count-once",COUNTIFS($A$2:$A$313,A302,$B$2:$B$313,B302,$D$2:$D$313,D302),1)</f>
      </c>
    </row>
    <row r="303">
      <c r="A303" t="s">
        <v>76</v>
      </c>
      <c r="B303" s="74" t="n">
        <v>2040</v>
      </c>
      <c r="C303" t="s">
        <v>225</v>
      </c>
      <c r="D303" s="75" t="s">
        <v>355</v>
      </c>
      <c r="E303" s="76" t="s">
        <v>356</v>
      </c>
      <c r="F303" s="77" t="s">
        <v>228</v>
      </c>
      <c r="G303" s="78" t="s">
        <v>337</v>
      </c>
      <c r="H303" s="79" t="s">
        <v>339</v>
      </c>
      <c r="I303" s="80" t="n">
        <v>1</v>
      </c>
      <c r="J303" s="81" t="n">
        <v>1</v>
      </c>
      <c r="K303" s="82" t="n">
        <v>0.004</v>
      </c>
      <c r="L303" s="83" t="n">
        <v>314768783.154633</v>
      </c>
      <c r="M303" s="84" t="n">
        <v>314109251.582649</v>
      </c>
      <c r="N303" s="85" t="str">
        <f>MIN(MAX((B303-'Calculation_Assumptions'!$B$5+1)/'Calculation_Assumptions'!$B$7,0),1)</f>
      </c>
      <c r="O303" s="86" t="str">
        <f>L303*I303</f>
      </c>
      <c r="P303" s="87" t="str">
        <f>M303*I303</f>
      </c>
      <c r="Q303" s="88" t="str">
        <f>P303*'Calculation_Assumptions'!$B$14*J303*K303</f>
      </c>
      <c r="R303" s="89" t="str">
        <f>O303*N303*J303*K303</f>
      </c>
      <c r="S303" s="90" t="str">
        <f>R303-Q303</f>
      </c>
      <c r="T303" s="91" t="str">
        <f>1/(1+'Calculation_Assumptions'!$B$8)^(B303-'Calculation_Assumptions'!$B$2)</f>
      </c>
      <c r="U303" s="92" t="str">
        <f>Q303*T303</f>
      </c>
      <c r="V303" s="93" t="str">
        <f>R303*T303</f>
      </c>
      <c r="W303" s="94" t="str">
        <f>S303*T303</f>
      </c>
      <c r="X303" t="n">
        <v>0</v>
      </c>
      <c r="Y303" s="95" t="n">
        <v>2017</v>
      </c>
      <c r="Z303" t="s">
        <v>266</v>
      </c>
      <c r="AA303" s="96" t="str">
        <f>IF(G303="shared-count-once",COUNTIFS($A$2:$A$313,A303,$B$2:$B$313,B303,$D$2:$D$313,D303),1)</f>
      </c>
    </row>
    <row r="304">
      <c r="A304" t="s">
        <v>76</v>
      </c>
      <c r="B304" s="74" t="n">
        <v>2041</v>
      </c>
      <c r="C304" t="s">
        <v>225</v>
      </c>
      <c r="D304" s="75" t="s">
        <v>355</v>
      </c>
      <c r="E304" s="76" t="s">
        <v>356</v>
      </c>
      <c r="F304" s="77" t="s">
        <v>228</v>
      </c>
      <c r="G304" s="78" t="s">
        <v>337</v>
      </c>
      <c r="H304" s="79" t="s">
        <v>339</v>
      </c>
      <c r="I304" s="80" t="n">
        <v>1</v>
      </c>
      <c r="J304" s="81" t="n">
        <v>1</v>
      </c>
      <c r="K304" s="82" t="n">
        <v>0.004</v>
      </c>
      <c r="L304" s="83" t="n">
        <v>316119789.295805</v>
      </c>
      <c r="M304" s="84" t="n">
        <v>315352079.812423</v>
      </c>
      <c r="N304" s="85" t="str">
        <f>MIN(MAX((B304-'Calculation_Assumptions'!$B$5+1)/'Calculation_Assumptions'!$B$7,0),1)</f>
      </c>
      <c r="O304" s="86" t="str">
        <f>L304*I304</f>
      </c>
      <c r="P304" s="87" t="str">
        <f>M304*I304</f>
      </c>
      <c r="Q304" s="88" t="str">
        <f>P304*'Calculation_Assumptions'!$B$14*J304*K304</f>
      </c>
      <c r="R304" s="89" t="str">
        <f>O304*N304*J304*K304</f>
      </c>
      <c r="S304" s="90" t="str">
        <f>R304-Q304</f>
      </c>
      <c r="T304" s="91" t="str">
        <f>1/(1+'Calculation_Assumptions'!$B$8)^(B304-'Calculation_Assumptions'!$B$2)</f>
      </c>
      <c r="U304" s="92" t="str">
        <f>Q304*T304</f>
      </c>
      <c r="V304" s="93" t="str">
        <f>R304*T304</f>
      </c>
      <c r="W304" s="94" t="str">
        <f>S304*T304</f>
      </c>
      <c r="X304" t="n">
        <v>0</v>
      </c>
      <c r="Y304" s="95" t="n">
        <v>2017</v>
      </c>
      <c r="Z304" t="s">
        <v>266</v>
      </c>
      <c r="AA304" s="96" t="str">
        <f>IF(G304="shared-count-once",COUNTIFS($A$2:$A$313,A304,$B$2:$B$313,B304,$D$2:$D$313,D304),1)</f>
      </c>
    </row>
    <row r="305">
      <c r="A305" t="s">
        <v>76</v>
      </c>
      <c r="B305" s="74" t="n">
        <v>2042</v>
      </c>
      <c r="C305" t="s">
        <v>225</v>
      </c>
      <c r="D305" s="75" t="s">
        <v>355</v>
      </c>
      <c r="E305" s="76" t="s">
        <v>356</v>
      </c>
      <c r="F305" s="77" t="s">
        <v>228</v>
      </c>
      <c r="G305" s="78" t="s">
        <v>337</v>
      </c>
      <c r="H305" s="79" t="s">
        <v>339</v>
      </c>
      <c r="I305" s="80" t="n">
        <v>1</v>
      </c>
      <c r="J305" s="81" t="n">
        <v>1</v>
      </c>
      <c r="K305" s="82" t="n">
        <v>0.004</v>
      </c>
      <c r="L305" s="83" t="n">
        <v>317417240.496476</v>
      </c>
      <c r="M305" s="84" t="n">
        <v>316395286.312016</v>
      </c>
      <c r="N305" s="85" t="str">
        <f>MIN(MAX((B305-'Calculation_Assumptions'!$B$5+1)/'Calculation_Assumptions'!$B$7,0),1)</f>
      </c>
      <c r="O305" s="86" t="str">
        <f>L305*I305</f>
      </c>
      <c r="P305" s="87" t="str">
        <f>M305*I305</f>
      </c>
      <c r="Q305" s="88" t="str">
        <f>P305*'Calculation_Assumptions'!$B$14*J305*K305</f>
      </c>
      <c r="R305" s="89" t="str">
        <f>O305*N305*J305*K305</f>
      </c>
      <c r="S305" s="90" t="str">
        <f>R305-Q305</f>
      </c>
      <c r="T305" s="91" t="str">
        <f>1/(1+'Calculation_Assumptions'!$B$8)^(B305-'Calculation_Assumptions'!$B$2)</f>
      </c>
      <c r="U305" s="92" t="str">
        <f>Q305*T305</f>
      </c>
      <c r="V305" s="93" t="str">
        <f>R305*T305</f>
      </c>
      <c r="W305" s="94" t="str">
        <f>S305*T305</f>
      </c>
      <c r="X305" t="n">
        <v>0</v>
      </c>
      <c r="Y305" s="95" t="n">
        <v>2017</v>
      </c>
      <c r="Z305" t="s">
        <v>266</v>
      </c>
      <c r="AA305" s="96" t="str">
        <f>IF(G305="shared-count-once",COUNTIFS($A$2:$A$313,A305,$B$2:$B$313,B305,$D$2:$D$313,D305),1)</f>
      </c>
    </row>
    <row r="306">
      <c r="A306" t="s">
        <v>76</v>
      </c>
      <c r="B306" s="74" t="n">
        <v>2043</v>
      </c>
      <c r="C306" t="s">
        <v>225</v>
      </c>
      <c r="D306" s="75" t="s">
        <v>355</v>
      </c>
      <c r="E306" s="76" t="s">
        <v>356</v>
      </c>
      <c r="F306" s="77" t="s">
        <v>228</v>
      </c>
      <c r="G306" s="78" t="s">
        <v>337</v>
      </c>
      <c r="H306" s="79" t="s">
        <v>339</v>
      </c>
      <c r="I306" s="80" t="n">
        <v>1</v>
      </c>
      <c r="J306" s="81" t="n">
        <v>1</v>
      </c>
      <c r="K306" s="82" t="n">
        <v>0.004</v>
      </c>
      <c r="L306" s="83" t="n">
        <v>318779591.219905</v>
      </c>
      <c r="M306" s="84" t="n">
        <v>317619735.688289</v>
      </c>
      <c r="N306" s="85" t="str">
        <f>MIN(MAX((B306-'Calculation_Assumptions'!$B$5+1)/'Calculation_Assumptions'!$B$7,0),1)</f>
      </c>
      <c r="O306" s="86" t="str">
        <f>L306*I306</f>
      </c>
      <c r="P306" s="87" t="str">
        <f>M306*I306</f>
      </c>
      <c r="Q306" s="88" t="str">
        <f>P306*'Calculation_Assumptions'!$B$14*J306*K306</f>
      </c>
      <c r="R306" s="89" t="str">
        <f>O306*N306*J306*K306</f>
      </c>
      <c r="S306" s="90" t="str">
        <f>R306-Q306</f>
      </c>
      <c r="T306" s="91" t="str">
        <f>1/(1+'Calculation_Assumptions'!$B$8)^(B306-'Calculation_Assumptions'!$B$2)</f>
      </c>
      <c r="U306" s="92" t="str">
        <f>Q306*T306</f>
      </c>
      <c r="V306" s="93" t="str">
        <f>R306*T306</f>
      </c>
      <c r="W306" s="94" t="str">
        <f>S306*T306</f>
      </c>
      <c r="X306" t="n">
        <v>0</v>
      </c>
      <c r="Y306" s="95" t="n">
        <v>2017</v>
      </c>
      <c r="Z306" t="s">
        <v>266</v>
      </c>
      <c r="AA306" s="96" t="str">
        <f>IF(G306="shared-count-once",COUNTIFS($A$2:$A$313,A306,$B$2:$B$313,B306,$D$2:$D$313,D306),1)</f>
      </c>
    </row>
    <row r="307">
      <c r="A307" t="s">
        <v>76</v>
      </c>
      <c r="B307" s="74" t="n">
        <v>2044</v>
      </c>
      <c r="C307" t="s">
        <v>225</v>
      </c>
      <c r="D307" s="75" t="s">
        <v>355</v>
      </c>
      <c r="E307" s="76" t="s">
        <v>356</v>
      </c>
      <c r="F307" s="77" t="s">
        <v>228</v>
      </c>
      <c r="G307" s="78" t="s">
        <v>337</v>
      </c>
      <c r="H307" s="79" t="s">
        <v>339</v>
      </c>
      <c r="I307" s="80" t="n">
        <v>1</v>
      </c>
      <c r="J307" s="81" t="n">
        <v>1</v>
      </c>
      <c r="K307" s="82" t="n">
        <v>0.004</v>
      </c>
      <c r="L307" s="83" t="n">
        <v>319985562.367227</v>
      </c>
      <c r="M307" s="84" t="n">
        <v>318697135.863652</v>
      </c>
      <c r="N307" s="85" t="str">
        <f>MIN(MAX((B307-'Calculation_Assumptions'!$B$5+1)/'Calculation_Assumptions'!$B$7,0),1)</f>
      </c>
      <c r="O307" s="86" t="str">
        <f>L307*I307</f>
      </c>
      <c r="P307" s="87" t="str">
        <f>M307*I307</f>
      </c>
      <c r="Q307" s="88" t="str">
        <f>P307*'Calculation_Assumptions'!$B$14*J307*K307</f>
      </c>
      <c r="R307" s="89" t="str">
        <f>O307*N307*J307*K307</f>
      </c>
      <c r="S307" s="90" t="str">
        <f>R307-Q307</f>
      </c>
      <c r="T307" s="91" t="str">
        <f>1/(1+'Calculation_Assumptions'!$B$8)^(B307-'Calculation_Assumptions'!$B$2)</f>
      </c>
      <c r="U307" s="92" t="str">
        <f>Q307*T307</f>
      </c>
      <c r="V307" s="93" t="str">
        <f>R307*T307</f>
      </c>
      <c r="W307" s="94" t="str">
        <f>S307*T307</f>
      </c>
      <c r="X307" t="n">
        <v>0</v>
      </c>
      <c r="Y307" s="95" t="n">
        <v>2017</v>
      </c>
      <c r="Z307" t="s">
        <v>266</v>
      </c>
      <c r="AA307" s="96" t="str">
        <f>IF(G307="shared-count-once",COUNTIFS($A$2:$A$313,A307,$B$2:$B$313,B307,$D$2:$D$313,D307),1)</f>
      </c>
    </row>
    <row r="308">
      <c r="A308" t="s">
        <v>76</v>
      </c>
      <c r="B308" s="74" t="n">
        <v>2045</v>
      </c>
      <c r="C308" t="s">
        <v>225</v>
      </c>
      <c r="D308" s="75" t="s">
        <v>355</v>
      </c>
      <c r="E308" s="76" t="s">
        <v>356</v>
      </c>
      <c r="F308" s="77" t="s">
        <v>228</v>
      </c>
      <c r="G308" s="78" t="s">
        <v>337</v>
      </c>
      <c r="H308" s="79" t="s">
        <v>339</v>
      </c>
      <c r="I308" s="80" t="n">
        <v>1</v>
      </c>
      <c r="J308" s="81" t="n">
        <v>1</v>
      </c>
      <c r="K308" s="82" t="n">
        <v>0.004</v>
      </c>
      <c r="L308" s="83" t="n">
        <v>320960972.3861</v>
      </c>
      <c r="M308" s="84" t="n">
        <v>319717840.85179</v>
      </c>
      <c r="N308" s="85" t="str">
        <f>MIN(MAX((B308-'Calculation_Assumptions'!$B$5+1)/'Calculation_Assumptions'!$B$7,0),1)</f>
      </c>
      <c r="O308" s="86" t="str">
        <f>L308*I308</f>
      </c>
      <c r="P308" s="87" t="str">
        <f>M308*I308</f>
      </c>
      <c r="Q308" s="88" t="str">
        <f>P308*'Calculation_Assumptions'!$B$14*J308*K308</f>
      </c>
      <c r="R308" s="89" t="str">
        <f>O308*N308*J308*K308</f>
      </c>
      <c r="S308" s="90" t="str">
        <f>R308-Q308</f>
      </c>
      <c r="T308" s="91" t="str">
        <f>1/(1+'Calculation_Assumptions'!$B$8)^(B308-'Calculation_Assumptions'!$B$2)</f>
      </c>
      <c r="U308" s="92" t="str">
        <f>Q308*T308</f>
      </c>
      <c r="V308" s="93" t="str">
        <f>R308*T308</f>
      </c>
      <c r="W308" s="94" t="str">
        <f>S308*T308</f>
      </c>
      <c r="X308" t="n">
        <v>0</v>
      </c>
      <c r="Y308" s="95" t="n">
        <v>2017</v>
      </c>
      <c r="Z308" t="s">
        <v>266</v>
      </c>
      <c r="AA308" s="96" t="str">
        <f>IF(G308="shared-count-once",COUNTIFS($A$2:$A$313,A308,$B$2:$B$313,B308,$D$2:$D$313,D308),1)</f>
      </c>
    </row>
    <row r="309">
      <c r="A309" t="s">
        <v>76</v>
      </c>
      <c r="B309" s="74" t="n">
        <v>2046</v>
      </c>
      <c r="C309" t="s">
        <v>225</v>
      </c>
      <c r="D309" s="75" t="s">
        <v>355</v>
      </c>
      <c r="E309" s="76" t="s">
        <v>356</v>
      </c>
      <c r="F309" s="77" t="s">
        <v>228</v>
      </c>
      <c r="G309" s="78" t="s">
        <v>337</v>
      </c>
      <c r="H309" s="79" t="s">
        <v>339</v>
      </c>
      <c r="I309" s="80" t="n">
        <v>1</v>
      </c>
      <c r="J309" s="81" t="n">
        <v>1</v>
      </c>
      <c r="K309" s="82" t="n">
        <v>0.004</v>
      </c>
      <c r="L309" s="83" t="n">
        <v>322053582.24951</v>
      </c>
      <c r="M309" s="84" t="n">
        <v>320683879.806276</v>
      </c>
      <c r="N309" s="85" t="str">
        <f>MIN(MAX((B309-'Calculation_Assumptions'!$B$5+1)/'Calculation_Assumptions'!$B$7,0),1)</f>
      </c>
      <c r="O309" s="86" t="str">
        <f>L309*I309</f>
      </c>
      <c r="P309" s="87" t="str">
        <f>M309*I309</f>
      </c>
      <c r="Q309" s="88" t="str">
        <f>P309*'Calculation_Assumptions'!$B$14*J309*K309</f>
      </c>
      <c r="R309" s="89" t="str">
        <f>O309*N309*J309*K309</f>
      </c>
      <c r="S309" s="90" t="str">
        <f>R309-Q309</f>
      </c>
      <c r="T309" s="91" t="str">
        <f>1/(1+'Calculation_Assumptions'!$B$8)^(B309-'Calculation_Assumptions'!$B$2)</f>
      </c>
      <c r="U309" s="92" t="str">
        <f>Q309*T309</f>
      </c>
      <c r="V309" s="93" t="str">
        <f>R309*T309</f>
      </c>
      <c r="W309" s="94" t="str">
        <f>S309*T309</f>
      </c>
      <c r="X309" t="n">
        <v>0</v>
      </c>
      <c r="Y309" s="95" t="n">
        <v>2017</v>
      </c>
      <c r="Z309" t="s">
        <v>266</v>
      </c>
      <c r="AA309" s="96" t="str">
        <f>IF(G309="shared-count-once",COUNTIFS($A$2:$A$313,A309,$B$2:$B$313,B309,$D$2:$D$313,D309),1)</f>
      </c>
    </row>
    <row r="310">
      <c r="A310" t="s">
        <v>76</v>
      </c>
      <c r="B310" s="74" t="n">
        <v>2047</v>
      </c>
      <c r="C310" t="s">
        <v>225</v>
      </c>
      <c r="D310" s="75" t="s">
        <v>355</v>
      </c>
      <c r="E310" s="76" t="s">
        <v>356</v>
      </c>
      <c r="F310" s="77" t="s">
        <v>228</v>
      </c>
      <c r="G310" s="78" t="s">
        <v>337</v>
      </c>
      <c r="H310" s="79" t="s">
        <v>339</v>
      </c>
      <c r="I310" s="80" t="n">
        <v>1</v>
      </c>
      <c r="J310" s="81" t="n">
        <v>1</v>
      </c>
      <c r="K310" s="82" t="n">
        <v>0.004</v>
      </c>
      <c r="L310" s="83" t="n">
        <v>323093320.95173</v>
      </c>
      <c r="M310" s="84" t="n">
        <v>321595541.389526</v>
      </c>
      <c r="N310" s="85" t="str">
        <f>MIN(MAX((B310-'Calculation_Assumptions'!$B$5+1)/'Calculation_Assumptions'!$B$7,0),1)</f>
      </c>
      <c r="O310" s="86" t="str">
        <f>L310*I310</f>
      </c>
      <c r="P310" s="87" t="str">
        <f>M310*I310</f>
      </c>
      <c r="Q310" s="88" t="str">
        <f>P310*'Calculation_Assumptions'!$B$14*J310*K310</f>
      </c>
      <c r="R310" s="89" t="str">
        <f>O310*N310*J310*K310</f>
      </c>
      <c r="S310" s="90" t="str">
        <f>R310-Q310</f>
      </c>
      <c r="T310" s="91" t="str">
        <f>1/(1+'Calculation_Assumptions'!$B$8)^(B310-'Calculation_Assumptions'!$B$2)</f>
      </c>
      <c r="U310" s="92" t="str">
        <f>Q310*T310</f>
      </c>
      <c r="V310" s="93" t="str">
        <f>R310*T310</f>
      </c>
      <c r="W310" s="94" t="str">
        <f>S310*T310</f>
      </c>
      <c r="X310" t="n">
        <v>0</v>
      </c>
      <c r="Y310" s="95" t="n">
        <v>2017</v>
      </c>
      <c r="Z310" t="s">
        <v>266</v>
      </c>
      <c r="AA310" s="96" t="str">
        <f>IF(G310="shared-count-once",COUNTIFS($A$2:$A$313,A310,$B$2:$B$313,B310,$D$2:$D$313,D310),1)</f>
      </c>
    </row>
    <row r="311">
      <c r="A311" t="s">
        <v>76</v>
      </c>
      <c r="B311" s="74" t="n">
        <v>2048</v>
      </c>
      <c r="C311" t="s">
        <v>225</v>
      </c>
      <c r="D311" s="75" t="s">
        <v>355</v>
      </c>
      <c r="E311" s="76" t="s">
        <v>356</v>
      </c>
      <c r="F311" s="77" t="s">
        <v>228</v>
      </c>
      <c r="G311" s="78" t="s">
        <v>337</v>
      </c>
      <c r="H311" s="79" t="s">
        <v>339</v>
      </c>
      <c r="I311" s="80" t="n">
        <v>1</v>
      </c>
      <c r="J311" s="81" t="n">
        <v>1</v>
      </c>
      <c r="K311" s="82" t="n">
        <v>0.004</v>
      </c>
      <c r="L311" s="83" t="n">
        <v>324080784.775173</v>
      </c>
      <c r="M311" s="84" t="n">
        <v>322453622.669464</v>
      </c>
      <c r="N311" s="85" t="str">
        <f>MIN(MAX((B311-'Calculation_Assumptions'!$B$5+1)/'Calculation_Assumptions'!$B$7,0),1)</f>
      </c>
      <c r="O311" s="86" t="str">
        <f>L311*I311</f>
      </c>
      <c r="P311" s="87" t="str">
        <f>M311*I311</f>
      </c>
      <c r="Q311" s="88" t="str">
        <f>P311*'Calculation_Assumptions'!$B$14*J311*K311</f>
      </c>
      <c r="R311" s="89" t="str">
        <f>O311*N311*J311*K311</f>
      </c>
      <c r="S311" s="90" t="str">
        <f>R311-Q311</f>
      </c>
      <c r="T311" s="91" t="str">
        <f>1/(1+'Calculation_Assumptions'!$B$8)^(B311-'Calculation_Assumptions'!$B$2)</f>
      </c>
      <c r="U311" s="92" t="str">
        <f>Q311*T311</f>
      </c>
      <c r="V311" s="93" t="str">
        <f>R311*T311</f>
      </c>
      <c r="W311" s="94" t="str">
        <f>S311*T311</f>
      </c>
      <c r="X311" t="n">
        <v>0</v>
      </c>
      <c r="Y311" s="95" t="n">
        <v>2017</v>
      </c>
      <c r="Z311" t="s">
        <v>266</v>
      </c>
      <c r="AA311" s="96" t="str">
        <f>IF(G311="shared-count-once",COUNTIFS($A$2:$A$313,A311,$B$2:$B$313,B311,$D$2:$D$313,D311),1)</f>
      </c>
    </row>
    <row r="312">
      <c r="A312" t="s">
        <v>76</v>
      </c>
      <c r="B312" s="74" t="n">
        <v>2049</v>
      </c>
      <c r="C312" t="s">
        <v>225</v>
      </c>
      <c r="D312" s="75" t="s">
        <v>355</v>
      </c>
      <c r="E312" s="76" t="s">
        <v>356</v>
      </c>
      <c r="F312" s="77" t="s">
        <v>228</v>
      </c>
      <c r="G312" s="78" t="s">
        <v>337</v>
      </c>
      <c r="H312" s="79" t="s">
        <v>339</v>
      </c>
      <c r="I312" s="80" t="n">
        <v>1</v>
      </c>
      <c r="J312" s="81" t="n">
        <v>1</v>
      </c>
      <c r="K312" s="82" t="n">
        <v>0.004</v>
      </c>
      <c r="L312" s="83" t="n">
        <v>325016726.583355</v>
      </c>
      <c r="M312" s="84" t="n">
        <v>323259246.716719</v>
      </c>
      <c r="N312" s="85" t="str">
        <f>MIN(MAX((B312-'Calculation_Assumptions'!$B$5+1)/'Calculation_Assumptions'!$B$7,0),1)</f>
      </c>
      <c r="O312" s="86" t="str">
        <f>L312*I312</f>
      </c>
      <c r="P312" s="87" t="str">
        <f>M312*I312</f>
      </c>
      <c r="Q312" s="88" t="str">
        <f>P312*'Calculation_Assumptions'!$B$14*J312*K312</f>
      </c>
      <c r="R312" s="89" t="str">
        <f>O312*N312*J312*K312</f>
      </c>
      <c r="S312" s="90" t="str">
        <f>R312-Q312</f>
      </c>
      <c r="T312" s="91" t="str">
        <f>1/(1+'Calculation_Assumptions'!$B$8)^(B312-'Calculation_Assumptions'!$B$2)</f>
      </c>
      <c r="U312" s="92" t="str">
        <f>Q312*T312</f>
      </c>
      <c r="V312" s="93" t="str">
        <f>R312*T312</f>
      </c>
      <c r="W312" s="94" t="str">
        <f>S312*T312</f>
      </c>
      <c r="X312" t="n">
        <v>0</v>
      </c>
      <c r="Y312" s="95" t="n">
        <v>2017</v>
      </c>
      <c r="Z312" t="s">
        <v>266</v>
      </c>
      <c r="AA312" s="96" t="str">
        <f>IF(G312="shared-count-once",COUNTIFS($A$2:$A$313,A312,$B$2:$B$313,B312,$D$2:$D$313,D312),1)</f>
      </c>
    </row>
    <row r="313">
      <c r="A313" t="s">
        <v>76</v>
      </c>
      <c r="B313" s="74" t="n">
        <v>2050</v>
      </c>
      <c r="C313" t="s">
        <v>225</v>
      </c>
      <c r="D313" s="75" t="s">
        <v>355</v>
      </c>
      <c r="E313" s="76" t="s">
        <v>356</v>
      </c>
      <c r="F313" s="77" t="s">
        <v>228</v>
      </c>
      <c r="G313" s="78" t="s">
        <v>337</v>
      </c>
      <c r="H313" s="79" t="s">
        <v>339</v>
      </c>
      <c r="I313" s="80" t="n">
        <v>1</v>
      </c>
      <c r="J313" s="81" t="n">
        <v>1</v>
      </c>
      <c r="K313" s="82" t="n">
        <v>0.004</v>
      </c>
      <c r="L313" s="83" t="n">
        <v>325902090.730916</v>
      </c>
      <c r="M313" s="84" t="n">
        <v>324013738.182479</v>
      </c>
      <c r="N313" s="85" t="str">
        <f>MIN(MAX((B313-'Calculation_Assumptions'!$B$5+1)/'Calculation_Assumptions'!$B$7,0),1)</f>
      </c>
      <c r="O313" s="86" t="str">
        <f>L313*I313</f>
      </c>
      <c r="P313" s="87" t="str">
        <f>M313*I313</f>
      </c>
      <c r="Q313" s="88" t="str">
        <f>P313*'Calculation_Assumptions'!$B$14*J313*K313</f>
      </c>
      <c r="R313" s="89" t="str">
        <f>O313*N313*J313*K313</f>
      </c>
      <c r="S313" s="90" t="str">
        <f>R313-Q313</f>
      </c>
      <c r="T313" s="91" t="str">
        <f>1/(1+'Calculation_Assumptions'!$B$8)^(B313-'Calculation_Assumptions'!$B$2)</f>
      </c>
      <c r="U313" s="92" t="str">
        <f>Q313*T313</f>
      </c>
      <c r="V313" s="93" t="str">
        <f>R313*T313</f>
      </c>
      <c r="W313" s="94" t="str">
        <f>S313*T313</f>
      </c>
      <c r="X313" t="n">
        <v>0</v>
      </c>
      <c r="Y313" s="95" t="n">
        <v>2017</v>
      </c>
      <c r="Z313" t="s">
        <v>266</v>
      </c>
      <c r="AA313" s="96" t="str">
        <f>IF(G313="shared-count-once",COUNTIFS($A$2:$A$313,A313,$B$2:$B$313,B313,$D$2:$D$313,D313),1)</f>
      </c>
    </row>
  </sheetData>
  <autoFilter ref="A1:AA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</cols>
  <sheetData>
    <row r="1" ht="28" customHeight="1">
      <c r="A1" s="1" t="s">
        <v>357</v>
      </c>
      <c r="B1" s="1" t="s">
        <v>28</v>
      </c>
      <c r="C1" s="1" t="s">
        <v>381</v>
      </c>
      <c r="D1" s="1" t="s">
        <v>382</v>
      </c>
      <c r="E1" s="1" t="s">
        <v>383</v>
      </c>
      <c r="F1" s="1" t="s">
        <v>384</v>
      </c>
      <c r="G1" s="1" t="s">
        <v>385</v>
      </c>
      <c r="H1" s="1" t="s">
        <v>386</v>
      </c>
    </row>
    <row r="2">
      <c r="A2" t="s">
        <v>164</v>
      </c>
      <c r="B2" s="97" t="n">
        <v>2025</v>
      </c>
      <c r="C2" s="98" t="str">
        <f>SUMIFS('Annual_Cost'!$Q$2:$Q$313,'Annual_Cost'!$A$2:$A$313,A2,'Annual_Cost'!$B$2:$B$313,B2)</f>
      </c>
      <c r="D2" s="99" t="str">
        <f>SUMIFS('Annual_Cost'!$R$2:$R$313,'Annual_Cost'!$A$2:$A$313,A2,'Annual_Cost'!$B$2:$B$313,B2)</f>
      </c>
      <c r="E2" s="100" t="str">
        <f>SUMIFS('Annual_Cost'!$S$2:$S$313,'Annual_Cost'!$A$2:$A$313,A2,'Annual_Cost'!$B$2:$B$313,B2)</f>
      </c>
      <c r="F2" s="101" t="str">
        <f>SUMIFS('Annual_Cost'!$W$2:$W$313,'Annual_Cost'!$A$2:$A$313,A2,'Annual_Cost'!$B$2:$B$313,B2)</f>
      </c>
      <c r="G2" s="102" t="str">
        <f>SUMIFS($E$2:E2,$A$2:A2,A2)</f>
      </c>
      <c r="H2" s="103" t="str">
        <f>SUMIFS($F$2:F2,$A$2:A2,A2)</f>
      </c>
    </row>
    <row r="3">
      <c r="A3" t="s">
        <v>164</v>
      </c>
      <c r="B3" s="97" t="n">
        <v>2026</v>
      </c>
      <c r="C3" s="98" t="str">
        <f>SUMIFS('Annual_Cost'!$Q$2:$Q$313,'Annual_Cost'!$A$2:$A$313,A3,'Annual_Cost'!$B$2:$B$313,B3)</f>
      </c>
      <c r="D3" s="99" t="str">
        <f>SUMIFS('Annual_Cost'!$R$2:$R$313,'Annual_Cost'!$A$2:$A$313,A3,'Annual_Cost'!$B$2:$B$313,B3)</f>
      </c>
      <c r="E3" s="100" t="str">
        <f>SUMIFS('Annual_Cost'!$S$2:$S$313,'Annual_Cost'!$A$2:$A$313,A3,'Annual_Cost'!$B$2:$B$313,B3)</f>
      </c>
      <c r="F3" s="101" t="str">
        <f>SUMIFS('Annual_Cost'!$W$2:$W$313,'Annual_Cost'!$A$2:$A$313,A3,'Annual_Cost'!$B$2:$B$313,B3)</f>
      </c>
      <c r="G3" s="102" t="str">
        <f>SUMIFS($E$2:E3,$A$2:A3,A3)</f>
      </c>
      <c r="H3" s="103" t="str">
        <f>SUMIFS($F$2:F3,$A$2:A3,A3)</f>
      </c>
    </row>
    <row r="4">
      <c r="A4" t="s">
        <v>164</v>
      </c>
      <c r="B4" s="97" t="n">
        <v>2027</v>
      </c>
      <c r="C4" s="98" t="str">
        <f>SUMIFS('Annual_Cost'!$Q$2:$Q$313,'Annual_Cost'!$A$2:$A$313,A4,'Annual_Cost'!$B$2:$B$313,B4)</f>
      </c>
      <c r="D4" s="99" t="str">
        <f>SUMIFS('Annual_Cost'!$R$2:$R$313,'Annual_Cost'!$A$2:$A$313,A4,'Annual_Cost'!$B$2:$B$313,B4)</f>
      </c>
      <c r="E4" s="100" t="str">
        <f>SUMIFS('Annual_Cost'!$S$2:$S$313,'Annual_Cost'!$A$2:$A$313,A4,'Annual_Cost'!$B$2:$B$313,B4)</f>
      </c>
      <c r="F4" s="101" t="str">
        <f>SUMIFS('Annual_Cost'!$W$2:$W$313,'Annual_Cost'!$A$2:$A$313,A4,'Annual_Cost'!$B$2:$B$313,B4)</f>
      </c>
      <c r="G4" s="102" t="str">
        <f>SUMIFS($E$2:E4,$A$2:A4,A4)</f>
      </c>
      <c r="H4" s="103" t="str">
        <f>SUMIFS($F$2:F4,$A$2:A4,A4)</f>
      </c>
    </row>
    <row r="5">
      <c r="A5" t="s">
        <v>164</v>
      </c>
      <c r="B5" s="97" t="n">
        <v>2028</v>
      </c>
      <c r="C5" s="98" t="str">
        <f>SUMIFS('Annual_Cost'!$Q$2:$Q$313,'Annual_Cost'!$A$2:$A$313,A5,'Annual_Cost'!$B$2:$B$313,B5)</f>
      </c>
      <c r="D5" s="99" t="str">
        <f>SUMIFS('Annual_Cost'!$R$2:$R$313,'Annual_Cost'!$A$2:$A$313,A5,'Annual_Cost'!$B$2:$B$313,B5)</f>
      </c>
      <c r="E5" s="100" t="str">
        <f>SUMIFS('Annual_Cost'!$S$2:$S$313,'Annual_Cost'!$A$2:$A$313,A5,'Annual_Cost'!$B$2:$B$313,B5)</f>
      </c>
      <c r="F5" s="101" t="str">
        <f>SUMIFS('Annual_Cost'!$W$2:$W$313,'Annual_Cost'!$A$2:$A$313,A5,'Annual_Cost'!$B$2:$B$313,B5)</f>
      </c>
      <c r="G5" s="102" t="str">
        <f>SUMIFS($E$2:E5,$A$2:A5,A5)</f>
      </c>
      <c r="H5" s="103" t="str">
        <f>SUMIFS($F$2:F5,$A$2:A5,A5)</f>
      </c>
    </row>
    <row r="6">
      <c r="A6" t="s">
        <v>164</v>
      </c>
      <c r="B6" s="97" t="n">
        <v>2029</v>
      </c>
      <c r="C6" s="98" t="str">
        <f>SUMIFS('Annual_Cost'!$Q$2:$Q$313,'Annual_Cost'!$A$2:$A$313,A6,'Annual_Cost'!$B$2:$B$313,B6)</f>
      </c>
      <c r="D6" s="99" t="str">
        <f>SUMIFS('Annual_Cost'!$R$2:$R$313,'Annual_Cost'!$A$2:$A$313,A6,'Annual_Cost'!$B$2:$B$313,B6)</f>
      </c>
      <c r="E6" s="100" t="str">
        <f>SUMIFS('Annual_Cost'!$S$2:$S$313,'Annual_Cost'!$A$2:$A$313,A6,'Annual_Cost'!$B$2:$B$313,B6)</f>
      </c>
      <c r="F6" s="101" t="str">
        <f>SUMIFS('Annual_Cost'!$W$2:$W$313,'Annual_Cost'!$A$2:$A$313,A6,'Annual_Cost'!$B$2:$B$313,B6)</f>
      </c>
      <c r="G6" s="102" t="str">
        <f>SUMIFS($E$2:E6,$A$2:A6,A6)</f>
      </c>
      <c r="H6" s="103" t="str">
        <f>SUMIFS($F$2:F6,$A$2:A6,A6)</f>
      </c>
    </row>
    <row r="7">
      <c r="A7" t="s">
        <v>164</v>
      </c>
      <c r="B7" s="97" t="n">
        <v>2030</v>
      </c>
      <c r="C7" s="98" t="str">
        <f>SUMIFS('Annual_Cost'!$Q$2:$Q$313,'Annual_Cost'!$A$2:$A$313,A7,'Annual_Cost'!$B$2:$B$313,B7)</f>
      </c>
      <c r="D7" s="99" t="str">
        <f>SUMIFS('Annual_Cost'!$R$2:$R$313,'Annual_Cost'!$A$2:$A$313,A7,'Annual_Cost'!$B$2:$B$313,B7)</f>
      </c>
      <c r="E7" s="100" t="str">
        <f>SUMIFS('Annual_Cost'!$S$2:$S$313,'Annual_Cost'!$A$2:$A$313,A7,'Annual_Cost'!$B$2:$B$313,B7)</f>
      </c>
      <c r="F7" s="101" t="str">
        <f>SUMIFS('Annual_Cost'!$W$2:$W$313,'Annual_Cost'!$A$2:$A$313,A7,'Annual_Cost'!$B$2:$B$313,B7)</f>
      </c>
      <c r="G7" s="102" t="str">
        <f>SUMIFS($E$2:E7,$A$2:A7,A7)</f>
      </c>
      <c r="H7" s="103" t="str">
        <f>SUMIFS($F$2:F7,$A$2:A7,A7)</f>
      </c>
    </row>
    <row r="8">
      <c r="A8" t="s">
        <v>164</v>
      </c>
      <c r="B8" s="97" t="n">
        <v>2031</v>
      </c>
      <c r="C8" s="98" t="str">
        <f>SUMIFS('Annual_Cost'!$Q$2:$Q$313,'Annual_Cost'!$A$2:$A$313,A8,'Annual_Cost'!$B$2:$B$313,B8)</f>
      </c>
      <c r="D8" s="99" t="str">
        <f>SUMIFS('Annual_Cost'!$R$2:$R$313,'Annual_Cost'!$A$2:$A$313,A8,'Annual_Cost'!$B$2:$B$313,B8)</f>
      </c>
      <c r="E8" s="100" t="str">
        <f>SUMIFS('Annual_Cost'!$S$2:$S$313,'Annual_Cost'!$A$2:$A$313,A8,'Annual_Cost'!$B$2:$B$313,B8)</f>
      </c>
      <c r="F8" s="101" t="str">
        <f>SUMIFS('Annual_Cost'!$W$2:$W$313,'Annual_Cost'!$A$2:$A$313,A8,'Annual_Cost'!$B$2:$B$313,B8)</f>
      </c>
      <c r="G8" s="102" t="str">
        <f>SUMIFS($E$2:E8,$A$2:A8,A8)</f>
      </c>
      <c r="H8" s="103" t="str">
        <f>SUMIFS($F$2:F8,$A$2:A8,A8)</f>
      </c>
    </row>
    <row r="9">
      <c r="A9" t="s">
        <v>164</v>
      </c>
      <c r="B9" s="97" t="n">
        <v>2032</v>
      </c>
      <c r="C9" s="98" t="str">
        <f>SUMIFS('Annual_Cost'!$Q$2:$Q$313,'Annual_Cost'!$A$2:$A$313,A9,'Annual_Cost'!$B$2:$B$313,B9)</f>
      </c>
      <c r="D9" s="99" t="str">
        <f>SUMIFS('Annual_Cost'!$R$2:$R$313,'Annual_Cost'!$A$2:$A$313,A9,'Annual_Cost'!$B$2:$B$313,B9)</f>
      </c>
      <c r="E9" s="100" t="str">
        <f>SUMIFS('Annual_Cost'!$S$2:$S$313,'Annual_Cost'!$A$2:$A$313,A9,'Annual_Cost'!$B$2:$B$313,B9)</f>
      </c>
      <c r="F9" s="101" t="str">
        <f>SUMIFS('Annual_Cost'!$W$2:$W$313,'Annual_Cost'!$A$2:$A$313,A9,'Annual_Cost'!$B$2:$B$313,B9)</f>
      </c>
      <c r="G9" s="102" t="str">
        <f>SUMIFS($E$2:E9,$A$2:A9,A9)</f>
      </c>
      <c r="H9" s="103" t="str">
        <f>SUMIFS($F$2:F9,$A$2:A9,A9)</f>
      </c>
    </row>
    <row r="10">
      <c r="A10" t="s">
        <v>164</v>
      </c>
      <c r="B10" s="97" t="n">
        <v>2033</v>
      </c>
      <c r="C10" s="98" t="str">
        <f>SUMIFS('Annual_Cost'!$Q$2:$Q$313,'Annual_Cost'!$A$2:$A$313,A10,'Annual_Cost'!$B$2:$B$313,B10)</f>
      </c>
      <c r="D10" s="99" t="str">
        <f>SUMIFS('Annual_Cost'!$R$2:$R$313,'Annual_Cost'!$A$2:$A$313,A10,'Annual_Cost'!$B$2:$B$313,B10)</f>
      </c>
      <c r="E10" s="100" t="str">
        <f>SUMIFS('Annual_Cost'!$S$2:$S$313,'Annual_Cost'!$A$2:$A$313,A10,'Annual_Cost'!$B$2:$B$313,B10)</f>
      </c>
      <c r="F10" s="101" t="str">
        <f>SUMIFS('Annual_Cost'!$W$2:$W$313,'Annual_Cost'!$A$2:$A$313,A10,'Annual_Cost'!$B$2:$B$313,B10)</f>
      </c>
      <c r="G10" s="102" t="str">
        <f>SUMIFS($E$2:E10,$A$2:A10,A10)</f>
      </c>
      <c r="H10" s="103" t="str">
        <f>SUMIFS($F$2:F10,$A$2:A10,A10)</f>
      </c>
    </row>
    <row r="11">
      <c r="A11" t="s">
        <v>164</v>
      </c>
      <c r="B11" s="97" t="n">
        <v>2034</v>
      </c>
      <c r="C11" s="98" t="str">
        <f>SUMIFS('Annual_Cost'!$Q$2:$Q$313,'Annual_Cost'!$A$2:$A$313,A11,'Annual_Cost'!$B$2:$B$313,B11)</f>
      </c>
      <c r="D11" s="99" t="str">
        <f>SUMIFS('Annual_Cost'!$R$2:$R$313,'Annual_Cost'!$A$2:$A$313,A11,'Annual_Cost'!$B$2:$B$313,B11)</f>
      </c>
      <c r="E11" s="100" t="str">
        <f>SUMIFS('Annual_Cost'!$S$2:$S$313,'Annual_Cost'!$A$2:$A$313,A11,'Annual_Cost'!$B$2:$B$313,B11)</f>
      </c>
      <c r="F11" s="101" t="str">
        <f>SUMIFS('Annual_Cost'!$W$2:$W$313,'Annual_Cost'!$A$2:$A$313,A11,'Annual_Cost'!$B$2:$B$313,B11)</f>
      </c>
      <c r="G11" s="102" t="str">
        <f>SUMIFS($E$2:E11,$A$2:A11,A11)</f>
      </c>
      <c r="H11" s="103" t="str">
        <f>SUMIFS($F$2:F11,$A$2:A11,A11)</f>
      </c>
    </row>
    <row r="12">
      <c r="A12" t="s">
        <v>164</v>
      </c>
      <c r="B12" s="97" t="n">
        <v>2035</v>
      </c>
      <c r="C12" s="98" t="str">
        <f>SUMIFS('Annual_Cost'!$Q$2:$Q$313,'Annual_Cost'!$A$2:$A$313,A12,'Annual_Cost'!$B$2:$B$313,B12)</f>
      </c>
      <c r="D12" s="99" t="str">
        <f>SUMIFS('Annual_Cost'!$R$2:$R$313,'Annual_Cost'!$A$2:$A$313,A12,'Annual_Cost'!$B$2:$B$313,B12)</f>
      </c>
      <c r="E12" s="100" t="str">
        <f>SUMIFS('Annual_Cost'!$S$2:$S$313,'Annual_Cost'!$A$2:$A$313,A12,'Annual_Cost'!$B$2:$B$313,B12)</f>
      </c>
      <c r="F12" s="101" t="str">
        <f>SUMIFS('Annual_Cost'!$W$2:$W$313,'Annual_Cost'!$A$2:$A$313,A12,'Annual_Cost'!$B$2:$B$313,B12)</f>
      </c>
      <c r="G12" s="102" t="str">
        <f>SUMIFS($E$2:E12,$A$2:A12,A12)</f>
      </c>
      <c r="H12" s="103" t="str">
        <f>SUMIFS($F$2:F12,$A$2:A12,A12)</f>
      </c>
    </row>
    <row r="13">
      <c r="A13" t="s">
        <v>164</v>
      </c>
      <c r="B13" s="97" t="n">
        <v>2036</v>
      </c>
      <c r="C13" s="98" t="str">
        <f>SUMIFS('Annual_Cost'!$Q$2:$Q$313,'Annual_Cost'!$A$2:$A$313,A13,'Annual_Cost'!$B$2:$B$313,B13)</f>
      </c>
      <c r="D13" s="99" t="str">
        <f>SUMIFS('Annual_Cost'!$R$2:$R$313,'Annual_Cost'!$A$2:$A$313,A13,'Annual_Cost'!$B$2:$B$313,B13)</f>
      </c>
      <c r="E13" s="100" t="str">
        <f>SUMIFS('Annual_Cost'!$S$2:$S$313,'Annual_Cost'!$A$2:$A$313,A13,'Annual_Cost'!$B$2:$B$313,B13)</f>
      </c>
      <c r="F13" s="101" t="str">
        <f>SUMIFS('Annual_Cost'!$W$2:$W$313,'Annual_Cost'!$A$2:$A$313,A13,'Annual_Cost'!$B$2:$B$313,B13)</f>
      </c>
      <c r="G13" s="102" t="str">
        <f>SUMIFS($E$2:E13,$A$2:A13,A13)</f>
      </c>
      <c r="H13" s="103" t="str">
        <f>SUMIFS($F$2:F13,$A$2:A13,A13)</f>
      </c>
    </row>
    <row r="14">
      <c r="A14" t="s">
        <v>164</v>
      </c>
      <c r="B14" s="97" t="n">
        <v>2037</v>
      </c>
      <c r="C14" s="98" t="str">
        <f>SUMIFS('Annual_Cost'!$Q$2:$Q$313,'Annual_Cost'!$A$2:$A$313,A14,'Annual_Cost'!$B$2:$B$313,B14)</f>
      </c>
      <c r="D14" s="99" t="str">
        <f>SUMIFS('Annual_Cost'!$R$2:$R$313,'Annual_Cost'!$A$2:$A$313,A14,'Annual_Cost'!$B$2:$B$313,B14)</f>
      </c>
      <c r="E14" s="100" t="str">
        <f>SUMIFS('Annual_Cost'!$S$2:$S$313,'Annual_Cost'!$A$2:$A$313,A14,'Annual_Cost'!$B$2:$B$313,B14)</f>
      </c>
      <c r="F14" s="101" t="str">
        <f>SUMIFS('Annual_Cost'!$W$2:$W$313,'Annual_Cost'!$A$2:$A$313,A14,'Annual_Cost'!$B$2:$B$313,B14)</f>
      </c>
      <c r="G14" s="102" t="str">
        <f>SUMIFS($E$2:E14,$A$2:A14,A14)</f>
      </c>
      <c r="H14" s="103" t="str">
        <f>SUMIFS($F$2:F14,$A$2:A14,A14)</f>
      </c>
    </row>
    <row r="15">
      <c r="A15" t="s">
        <v>164</v>
      </c>
      <c r="B15" s="97" t="n">
        <v>2038</v>
      </c>
      <c r="C15" s="98" t="str">
        <f>SUMIFS('Annual_Cost'!$Q$2:$Q$313,'Annual_Cost'!$A$2:$A$313,A15,'Annual_Cost'!$B$2:$B$313,B15)</f>
      </c>
      <c r="D15" s="99" t="str">
        <f>SUMIFS('Annual_Cost'!$R$2:$R$313,'Annual_Cost'!$A$2:$A$313,A15,'Annual_Cost'!$B$2:$B$313,B15)</f>
      </c>
      <c r="E15" s="100" t="str">
        <f>SUMIFS('Annual_Cost'!$S$2:$S$313,'Annual_Cost'!$A$2:$A$313,A15,'Annual_Cost'!$B$2:$B$313,B15)</f>
      </c>
      <c r="F15" s="101" t="str">
        <f>SUMIFS('Annual_Cost'!$W$2:$W$313,'Annual_Cost'!$A$2:$A$313,A15,'Annual_Cost'!$B$2:$B$313,B15)</f>
      </c>
      <c r="G15" s="102" t="str">
        <f>SUMIFS($E$2:E15,$A$2:A15,A15)</f>
      </c>
      <c r="H15" s="103" t="str">
        <f>SUMIFS($F$2:F15,$A$2:A15,A15)</f>
      </c>
    </row>
    <row r="16">
      <c r="A16" t="s">
        <v>164</v>
      </c>
      <c r="B16" s="97" t="n">
        <v>2039</v>
      </c>
      <c r="C16" s="98" t="str">
        <f>SUMIFS('Annual_Cost'!$Q$2:$Q$313,'Annual_Cost'!$A$2:$A$313,A16,'Annual_Cost'!$B$2:$B$313,B16)</f>
      </c>
      <c r="D16" s="99" t="str">
        <f>SUMIFS('Annual_Cost'!$R$2:$R$313,'Annual_Cost'!$A$2:$A$313,A16,'Annual_Cost'!$B$2:$B$313,B16)</f>
      </c>
      <c r="E16" s="100" t="str">
        <f>SUMIFS('Annual_Cost'!$S$2:$S$313,'Annual_Cost'!$A$2:$A$313,A16,'Annual_Cost'!$B$2:$B$313,B16)</f>
      </c>
      <c r="F16" s="101" t="str">
        <f>SUMIFS('Annual_Cost'!$W$2:$W$313,'Annual_Cost'!$A$2:$A$313,A16,'Annual_Cost'!$B$2:$B$313,B16)</f>
      </c>
      <c r="G16" s="102" t="str">
        <f>SUMIFS($E$2:E16,$A$2:A16,A16)</f>
      </c>
      <c r="H16" s="103" t="str">
        <f>SUMIFS($F$2:F16,$A$2:A16,A16)</f>
      </c>
    </row>
    <row r="17">
      <c r="A17" t="s">
        <v>164</v>
      </c>
      <c r="B17" s="97" t="n">
        <v>2040</v>
      </c>
      <c r="C17" s="98" t="str">
        <f>SUMIFS('Annual_Cost'!$Q$2:$Q$313,'Annual_Cost'!$A$2:$A$313,A17,'Annual_Cost'!$B$2:$B$313,B17)</f>
      </c>
      <c r="D17" s="99" t="str">
        <f>SUMIFS('Annual_Cost'!$R$2:$R$313,'Annual_Cost'!$A$2:$A$313,A17,'Annual_Cost'!$B$2:$B$313,B17)</f>
      </c>
      <c r="E17" s="100" t="str">
        <f>SUMIFS('Annual_Cost'!$S$2:$S$313,'Annual_Cost'!$A$2:$A$313,A17,'Annual_Cost'!$B$2:$B$313,B17)</f>
      </c>
      <c r="F17" s="101" t="str">
        <f>SUMIFS('Annual_Cost'!$W$2:$W$313,'Annual_Cost'!$A$2:$A$313,A17,'Annual_Cost'!$B$2:$B$313,B17)</f>
      </c>
      <c r="G17" s="102" t="str">
        <f>SUMIFS($E$2:E17,$A$2:A17,A17)</f>
      </c>
      <c r="H17" s="103" t="str">
        <f>SUMIFS($F$2:F17,$A$2:A17,A17)</f>
      </c>
    </row>
    <row r="18">
      <c r="A18" t="s">
        <v>164</v>
      </c>
      <c r="B18" s="97" t="n">
        <v>2041</v>
      </c>
      <c r="C18" s="98" t="str">
        <f>SUMIFS('Annual_Cost'!$Q$2:$Q$313,'Annual_Cost'!$A$2:$A$313,A18,'Annual_Cost'!$B$2:$B$313,B18)</f>
      </c>
      <c r="D18" s="99" t="str">
        <f>SUMIFS('Annual_Cost'!$R$2:$R$313,'Annual_Cost'!$A$2:$A$313,A18,'Annual_Cost'!$B$2:$B$313,B18)</f>
      </c>
      <c r="E18" s="100" t="str">
        <f>SUMIFS('Annual_Cost'!$S$2:$S$313,'Annual_Cost'!$A$2:$A$313,A18,'Annual_Cost'!$B$2:$B$313,B18)</f>
      </c>
      <c r="F18" s="101" t="str">
        <f>SUMIFS('Annual_Cost'!$W$2:$W$313,'Annual_Cost'!$A$2:$A$313,A18,'Annual_Cost'!$B$2:$B$313,B18)</f>
      </c>
      <c r="G18" s="102" t="str">
        <f>SUMIFS($E$2:E18,$A$2:A18,A18)</f>
      </c>
      <c r="H18" s="103" t="str">
        <f>SUMIFS($F$2:F18,$A$2:A18,A18)</f>
      </c>
    </row>
    <row r="19">
      <c r="A19" t="s">
        <v>164</v>
      </c>
      <c r="B19" s="97" t="n">
        <v>2042</v>
      </c>
      <c r="C19" s="98" t="str">
        <f>SUMIFS('Annual_Cost'!$Q$2:$Q$313,'Annual_Cost'!$A$2:$A$313,A19,'Annual_Cost'!$B$2:$B$313,B19)</f>
      </c>
      <c r="D19" s="99" t="str">
        <f>SUMIFS('Annual_Cost'!$R$2:$R$313,'Annual_Cost'!$A$2:$A$313,A19,'Annual_Cost'!$B$2:$B$313,B19)</f>
      </c>
      <c r="E19" s="100" t="str">
        <f>SUMIFS('Annual_Cost'!$S$2:$S$313,'Annual_Cost'!$A$2:$A$313,A19,'Annual_Cost'!$B$2:$B$313,B19)</f>
      </c>
      <c r="F19" s="101" t="str">
        <f>SUMIFS('Annual_Cost'!$W$2:$W$313,'Annual_Cost'!$A$2:$A$313,A19,'Annual_Cost'!$B$2:$B$313,B19)</f>
      </c>
      <c r="G19" s="102" t="str">
        <f>SUMIFS($E$2:E19,$A$2:A19,A19)</f>
      </c>
      <c r="H19" s="103" t="str">
        <f>SUMIFS($F$2:F19,$A$2:A19,A19)</f>
      </c>
    </row>
    <row r="20">
      <c r="A20" t="s">
        <v>164</v>
      </c>
      <c r="B20" s="97" t="n">
        <v>2043</v>
      </c>
      <c r="C20" s="98" t="str">
        <f>SUMIFS('Annual_Cost'!$Q$2:$Q$313,'Annual_Cost'!$A$2:$A$313,A20,'Annual_Cost'!$B$2:$B$313,B20)</f>
      </c>
      <c r="D20" s="99" t="str">
        <f>SUMIFS('Annual_Cost'!$R$2:$R$313,'Annual_Cost'!$A$2:$A$313,A20,'Annual_Cost'!$B$2:$B$313,B20)</f>
      </c>
      <c r="E20" s="100" t="str">
        <f>SUMIFS('Annual_Cost'!$S$2:$S$313,'Annual_Cost'!$A$2:$A$313,A20,'Annual_Cost'!$B$2:$B$313,B20)</f>
      </c>
      <c r="F20" s="101" t="str">
        <f>SUMIFS('Annual_Cost'!$W$2:$W$313,'Annual_Cost'!$A$2:$A$313,A20,'Annual_Cost'!$B$2:$B$313,B20)</f>
      </c>
      <c r="G20" s="102" t="str">
        <f>SUMIFS($E$2:E20,$A$2:A20,A20)</f>
      </c>
      <c r="H20" s="103" t="str">
        <f>SUMIFS($F$2:F20,$A$2:A20,A20)</f>
      </c>
    </row>
    <row r="21">
      <c r="A21" t="s">
        <v>164</v>
      </c>
      <c r="B21" s="97" t="n">
        <v>2044</v>
      </c>
      <c r="C21" s="98" t="str">
        <f>SUMIFS('Annual_Cost'!$Q$2:$Q$313,'Annual_Cost'!$A$2:$A$313,A21,'Annual_Cost'!$B$2:$B$313,B21)</f>
      </c>
      <c r="D21" s="99" t="str">
        <f>SUMIFS('Annual_Cost'!$R$2:$R$313,'Annual_Cost'!$A$2:$A$313,A21,'Annual_Cost'!$B$2:$B$313,B21)</f>
      </c>
      <c r="E21" s="100" t="str">
        <f>SUMIFS('Annual_Cost'!$S$2:$S$313,'Annual_Cost'!$A$2:$A$313,A21,'Annual_Cost'!$B$2:$B$313,B21)</f>
      </c>
      <c r="F21" s="101" t="str">
        <f>SUMIFS('Annual_Cost'!$W$2:$W$313,'Annual_Cost'!$A$2:$A$313,A21,'Annual_Cost'!$B$2:$B$313,B21)</f>
      </c>
      <c r="G21" s="102" t="str">
        <f>SUMIFS($E$2:E21,$A$2:A21,A21)</f>
      </c>
      <c r="H21" s="103" t="str">
        <f>SUMIFS($F$2:F21,$A$2:A21,A21)</f>
      </c>
    </row>
    <row r="22">
      <c r="A22" t="s">
        <v>164</v>
      </c>
      <c r="B22" s="97" t="n">
        <v>2045</v>
      </c>
      <c r="C22" s="98" t="str">
        <f>SUMIFS('Annual_Cost'!$Q$2:$Q$313,'Annual_Cost'!$A$2:$A$313,A22,'Annual_Cost'!$B$2:$B$313,B22)</f>
      </c>
      <c r="D22" s="99" t="str">
        <f>SUMIFS('Annual_Cost'!$R$2:$R$313,'Annual_Cost'!$A$2:$A$313,A22,'Annual_Cost'!$B$2:$B$313,B22)</f>
      </c>
      <c r="E22" s="100" t="str">
        <f>SUMIFS('Annual_Cost'!$S$2:$S$313,'Annual_Cost'!$A$2:$A$313,A22,'Annual_Cost'!$B$2:$B$313,B22)</f>
      </c>
      <c r="F22" s="101" t="str">
        <f>SUMIFS('Annual_Cost'!$W$2:$W$313,'Annual_Cost'!$A$2:$A$313,A22,'Annual_Cost'!$B$2:$B$313,B22)</f>
      </c>
      <c r="G22" s="102" t="str">
        <f>SUMIFS($E$2:E22,$A$2:A22,A22)</f>
      </c>
      <c r="H22" s="103" t="str">
        <f>SUMIFS($F$2:F22,$A$2:A22,A22)</f>
      </c>
    </row>
    <row r="23">
      <c r="A23" t="s">
        <v>164</v>
      </c>
      <c r="B23" s="97" t="n">
        <v>2046</v>
      </c>
      <c r="C23" s="98" t="str">
        <f>SUMIFS('Annual_Cost'!$Q$2:$Q$313,'Annual_Cost'!$A$2:$A$313,A23,'Annual_Cost'!$B$2:$B$313,B23)</f>
      </c>
      <c r="D23" s="99" t="str">
        <f>SUMIFS('Annual_Cost'!$R$2:$R$313,'Annual_Cost'!$A$2:$A$313,A23,'Annual_Cost'!$B$2:$B$313,B23)</f>
      </c>
      <c r="E23" s="100" t="str">
        <f>SUMIFS('Annual_Cost'!$S$2:$S$313,'Annual_Cost'!$A$2:$A$313,A23,'Annual_Cost'!$B$2:$B$313,B23)</f>
      </c>
      <c r="F23" s="101" t="str">
        <f>SUMIFS('Annual_Cost'!$W$2:$W$313,'Annual_Cost'!$A$2:$A$313,A23,'Annual_Cost'!$B$2:$B$313,B23)</f>
      </c>
      <c r="G23" s="102" t="str">
        <f>SUMIFS($E$2:E23,$A$2:A23,A23)</f>
      </c>
      <c r="H23" s="103" t="str">
        <f>SUMIFS($F$2:F23,$A$2:A23,A23)</f>
      </c>
    </row>
    <row r="24">
      <c r="A24" t="s">
        <v>164</v>
      </c>
      <c r="B24" s="97" t="n">
        <v>2047</v>
      </c>
      <c r="C24" s="98" t="str">
        <f>SUMIFS('Annual_Cost'!$Q$2:$Q$313,'Annual_Cost'!$A$2:$A$313,A24,'Annual_Cost'!$B$2:$B$313,B24)</f>
      </c>
      <c r="D24" s="99" t="str">
        <f>SUMIFS('Annual_Cost'!$R$2:$R$313,'Annual_Cost'!$A$2:$A$313,A24,'Annual_Cost'!$B$2:$B$313,B24)</f>
      </c>
      <c r="E24" s="100" t="str">
        <f>SUMIFS('Annual_Cost'!$S$2:$S$313,'Annual_Cost'!$A$2:$A$313,A24,'Annual_Cost'!$B$2:$B$313,B24)</f>
      </c>
      <c r="F24" s="101" t="str">
        <f>SUMIFS('Annual_Cost'!$W$2:$W$313,'Annual_Cost'!$A$2:$A$313,A24,'Annual_Cost'!$B$2:$B$313,B24)</f>
      </c>
      <c r="G24" s="102" t="str">
        <f>SUMIFS($E$2:E24,$A$2:A24,A24)</f>
      </c>
      <c r="H24" s="103" t="str">
        <f>SUMIFS($F$2:F24,$A$2:A24,A24)</f>
      </c>
    </row>
    <row r="25">
      <c r="A25" t="s">
        <v>164</v>
      </c>
      <c r="B25" s="97" t="n">
        <v>2048</v>
      </c>
      <c r="C25" s="98" t="str">
        <f>SUMIFS('Annual_Cost'!$Q$2:$Q$313,'Annual_Cost'!$A$2:$A$313,A25,'Annual_Cost'!$B$2:$B$313,B25)</f>
      </c>
      <c r="D25" s="99" t="str">
        <f>SUMIFS('Annual_Cost'!$R$2:$R$313,'Annual_Cost'!$A$2:$A$313,A25,'Annual_Cost'!$B$2:$B$313,B25)</f>
      </c>
      <c r="E25" s="100" t="str">
        <f>SUMIFS('Annual_Cost'!$S$2:$S$313,'Annual_Cost'!$A$2:$A$313,A25,'Annual_Cost'!$B$2:$B$313,B25)</f>
      </c>
      <c r="F25" s="101" t="str">
        <f>SUMIFS('Annual_Cost'!$W$2:$W$313,'Annual_Cost'!$A$2:$A$313,A25,'Annual_Cost'!$B$2:$B$313,B25)</f>
      </c>
      <c r="G25" s="102" t="str">
        <f>SUMIFS($E$2:E25,$A$2:A25,A25)</f>
      </c>
      <c r="H25" s="103" t="str">
        <f>SUMIFS($F$2:F25,$A$2:A25,A25)</f>
      </c>
    </row>
    <row r="26">
      <c r="A26" t="s">
        <v>164</v>
      </c>
      <c r="B26" s="97" t="n">
        <v>2049</v>
      </c>
      <c r="C26" s="98" t="str">
        <f>SUMIFS('Annual_Cost'!$Q$2:$Q$313,'Annual_Cost'!$A$2:$A$313,A26,'Annual_Cost'!$B$2:$B$313,B26)</f>
      </c>
      <c r="D26" s="99" t="str">
        <f>SUMIFS('Annual_Cost'!$R$2:$R$313,'Annual_Cost'!$A$2:$A$313,A26,'Annual_Cost'!$B$2:$B$313,B26)</f>
      </c>
      <c r="E26" s="100" t="str">
        <f>SUMIFS('Annual_Cost'!$S$2:$S$313,'Annual_Cost'!$A$2:$A$313,A26,'Annual_Cost'!$B$2:$B$313,B26)</f>
      </c>
      <c r="F26" s="101" t="str">
        <f>SUMIFS('Annual_Cost'!$W$2:$W$313,'Annual_Cost'!$A$2:$A$313,A26,'Annual_Cost'!$B$2:$B$313,B26)</f>
      </c>
      <c r="G26" s="102" t="str">
        <f>SUMIFS($E$2:E26,$A$2:A26,A26)</f>
      </c>
      <c r="H26" s="103" t="str">
        <f>SUMIFS($F$2:F26,$A$2:A26,A26)</f>
      </c>
    </row>
    <row r="27">
      <c r="A27" t="s">
        <v>164</v>
      </c>
      <c r="B27" s="97" t="n">
        <v>2050</v>
      </c>
      <c r="C27" s="98" t="str">
        <f>SUMIFS('Annual_Cost'!$Q$2:$Q$313,'Annual_Cost'!$A$2:$A$313,A27,'Annual_Cost'!$B$2:$B$313,B27)</f>
      </c>
      <c r="D27" s="99" t="str">
        <f>SUMIFS('Annual_Cost'!$R$2:$R$313,'Annual_Cost'!$A$2:$A$313,A27,'Annual_Cost'!$B$2:$B$313,B27)</f>
      </c>
      <c r="E27" s="100" t="str">
        <f>SUMIFS('Annual_Cost'!$S$2:$S$313,'Annual_Cost'!$A$2:$A$313,A27,'Annual_Cost'!$B$2:$B$313,B27)</f>
      </c>
      <c r="F27" s="101" t="str">
        <f>SUMIFS('Annual_Cost'!$W$2:$W$313,'Annual_Cost'!$A$2:$A$313,A27,'Annual_Cost'!$B$2:$B$313,B27)</f>
      </c>
      <c r="G27" s="102" t="str">
        <f>SUMIFS($E$2:E27,$A$2:A27,A27)</f>
      </c>
      <c r="H27" s="103" t="str">
        <f>SUMIFS($F$2:F27,$A$2:A27,A27)</f>
      </c>
    </row>
    <row r="28">
      <c r="A28" t="s">
        <v>187</v>
      </c>
      <c r="B28" s="97" t="n">
        <v>2025</v>
      </c>
      <c r="C28" s="98" t="str">
        <f>SUMIFS('Annual_Cost'!$Q$2:$Q$313,'Annual_Cost'!$A$2:$A$313,A28,'Annual_Cost'!$B$2:$B$313,B28)</f>
      </c>
      <c r="D28" s="99" t="str">
        <f>SUMIFS('Annual_Cost'!$R$2:$R$313,'Annual_Cost'!$A$2:$A$313,A28,'Annual_Cost'!$B$2:$B$313,B28)</f>
      </c>
      <c r="E28" s="100" t="str">
        <f>SUMIFS('Annual_Cost'!$S$2:$S$313,'Annual_Cost'!$A$2:$A$313,A28,'Annual_Cost'!$B$2:$B$313,B28)</f>
      </c>
      <c r="F28" s="101" t="str">
        <f>SUMIFS('Annual_Cost'!$W$2:$W$313,'Annual_Cost'!$A$2:$A$313,A28,'Annual_Cost'!$B$2:$B$313,B28)</f>
      </c>
      <c r="G28" s="102" t="str">
        <f>SUMIFS($E$2:E28,$A$2:A28,A28)</f>
      </c>
      <c r="H28" s="103" t="str">
        <f>SUMIFS($F$2:F28,$A$2:A28,A28)</f>
      </c>
    </row>
    <row r="29">
      <c r="A29" t="s">
        <v>187</v>
      </c>
      <c r="B29" s="97" t="n">
        <v>2026</v>
      </c>
      <c r="C29" s="98" t="str">
        <f>SUMIFS('Annual_Cost'!$Q$2:$Q$313,'Annual_Cost'!$A$2:$A$313,A29,'Annual_Cost'!$B$2:$B$313,B29)</f>
      </c>
      <c r="D29" s="99" t="str">
        <f>SUMIFS('Annual_Cost'!$R$2:$R$313,'Annual_Cost'!$A$2:$A$313,A29,'Annual_Cost'!$B$2:$B$313,B29)</f>
      </c>
      <c r="E29" s="100" t="str">
        <f>SUMIFS('Annual_Cost'!$S$2:$S$313,'Annual_Cost'!$A$2:$A$313,A29,'Annual_Cost'!$B$2:$B$313,B29)</f>
      </c>
      <c r="F29" s="101" t="str">
        <f>SUMIFS('Annual_Cost'!$W$2:$W$313,'Annual_Cost'!$A$2:$A$313,A29,'Annual_Cost'!$B$2:$B$313,B29)</f>
      </c>
      <c r="G29" s="102" t="str">
        <f>SUMIFS($E$2:E29,$A$2:A29,A29)</f>
      </c>
      <c r="H29" s="103" t="str">
        <f>SUMIFS($F$2:F29,$A$2:A29,A29)</f>
      </c>
    </row>
    <row r="30">
      <c r="A30" t="s">
        <v>187</v>
      </c>
      <c r="B30" s="97" t="n">
        <v>2027</v>
      </c>
      <c r="C30" s="98" t="str">
        <f>SUMIFS('Annual_Cost'!$Q$2:$Q$313,'Annual_Cost'!$A$2:$A$313,A30,'Annual_Cost'!$B$2:$B$313,B30)</f>
      </c>
      <c r="D30" s="99" t="str">
        <f>SUMIFS('Annual_Cost'!$R$2:$R$313,'Annual_Cost'!$A$2:$A$313,A30,'Annual_Cost'!$B$2:$B$313,B30)</f>
      </c>
      <c r="E30" s="100" t="str">
        <f>SUMIFS('Annual_Cost'!$S$2:$S$313,'Annual_Cost'!$A$2:$A$313,A30,'Annual_Cost'!$B$2:$B$313,B30)</f>
      </c>
      <c r="F30" s="101" t="str">
        <f>SUMIFS('Annual_Cost'!$W$2:$W$313,'Annual_Cost'!$A$2:$A$313,A30,'Annual_Cost'!$B$2:$B$313,B30)</f>
      </c>
      <c r="G30" s="102" t="str">
        <f>SUMIFS($E$2:E30,$A$2:A30,A30)</f>
      </c>
      <c r="H30" s="103" t="str">
        <f>SUMIFS($F$2:F30,$A$2:A30,A30)</f>
      </c>
    </row>
    <row r="31">
      <c r="A31" t="s">
        <v>187</v>
      </c>
      <c r="B31" s="97" t="n">
        <v>2028</v>
      </c>
      <c r="C31" s="98" t="str">
        <f>SUMIFS('Annual_Cost'!$Q$2:$Q$313,'Annual_Cost'!$A$2:$A$313,A31,'Annual_Cost'!$B$2:$B$313,B31)</f>
      </c>
      <c r="D31" s="99" t="str">
        <f>SUMIFS('Annual_Cost'!$R$2:$R$313,'Annual_Cost'!$A$2:$A$313,A31,'Annual_Cost'!$B$2:$B$313,B31)</f>
      </c>
      <c r="E31" s="100" t="str">
        <f>SUMIFS('Annual_Cost'!$S$2:$S$313,'Annual_Cost'!$A$2:$A$313,A31,'Annual_Cost'!$B$2:$B$313,B31)</f>
      </c>
      <c r="F31" s="101" t="str">
        <f>SUMIFS('Annual_Cost'!$W$2:$W$313,'Annual_Cost'!$A$2:$A$313,A31,'Annual_Cost'!$B$2:$B$313,B31)</f>
      </c>
      <c r="G31" s="102" t="str">
        <f>SUMIFS($E$2:E31,$A$2:A31,A31)</f>
      </c>
      <c r="H31" s="103" t="str">
        <f>SUMIFS($F$2:F31,$A$2:A31,A31)</f>
      </c>
    </row>
    <row r="32">
      <c r="A32" t="s">
        <v>187</v>
      </c>
      <c r="B32" s="97" t="n">
        <v>2029</v>
      </c>
      <c r="C32" s="98" t="str">
        <f>SUMIFS('Annual_Cost'!$Q$2:$Q$313,'Annual_Cost'!$A$2:$A$313,A32,'Annual_Cost'!$B$2:$B$313,B32)</f>
      </c>
      <c r="D32" s="99" t="str">
        <f>SUMIFS('Annual_Cost'!$R$2:$R$313,'Annual_Cost'!$A$2:$A$313,A32,'Annual_Cost'!$B$2:$B$313,B32)</f>
      </c>
      <c r="E32" s="100" t="str">
        <f>SUMIFS('Annual_Cost'!$S$2:$S$313,'Annual_Cost'!$A$2:$A$313,A32,'Annual_Cost'!$B$2:$B$313,B32)</f>
      </c>
      <c r="F32" s="101" t="str">
        <f>SUMIFS('Annual_Cost'!$W$2:$W$313,'Annual_Cost'!$A$2:$A$313,A32,'Annual_Cost'!$B$2:$B$313,B32)</f>
      </c>
      <c r="G32" s="102" t="str">
        <f>SUMIFS($E$2:E32,$A$2:A32,A32)</f>
      </c>
      <c r="H32" s="103" t="str">
        <f>SUMIFS($F$2:F32,$A$2:A32,A32)</f>
      </c>
    </row>
    <row r="33">
      <c r="A33" t="s">
        <v>187</v>
      </c>
      <c r="B33" s="97" t="n">
        <v>2030</v>
      </c>
      <c r="C33" s="98" t="str">
        <f>SUMIFS('Annual_Cost'!$Q$2:$Q$313,'Annual_Cost'!$A$2:$A$313,A33,'Annual_Cost'!$B$2:$B$313,B33)</f>
      </c>
      <c r="D33" s="99" t="str">
        <f>SUMIFS('Annual_Cost'!$R$2:$R$313,'Annual_Cost'!$A$2:$A$313,A33,'Annual_Cost'!$B$2:$B$313,B33)</f>
      </c>
      <c r="E33" s="100" t="str">
        <f>SUMIFS('Annual_Cost'!$S$2:$S$313,'Annual_Cost'!$A$2:$A$313,A33,'Annual_Cost'!$B$2:$B$313,B33)</f>
      </c>
      <c r="F33" s="101" t="str">
        <f>SUMIFS('Annual_Cost'!$W$2:$W$313,'Annual_Cost'!$A$2:$A$313,A33,'Annual_Cost'!$B$2:$B$313,B33)</f>
      </c>
      <c r="G33" s="102" t="str">
        <f>SUMIFS($E$2:E33,$A$2:A33,A33)</f>
      </c>
      <c r="H33" s="103" t="str">
        <f>SUMIFS($F$2:F33,$A$2:A33,A33)</f>
      </c>
    </row>
    <row r="34">
      <c r="A34" t="s">
        <v>187</v>
      </c>
      <c r="B34" s="97" t="n">
        <v>2031</v>
      </c>
      <c r="C34" s="98" t="str">
        <f>SUMIFS('Annual_Cost'!$Q$2:$Q$313,'Annual_Cost'!$A$2:$A$313,A34,'Annual_Cost'!$B$2:$B$313,B34)</f>
      </c>
      <c r="D34" s="99" t="str">
        <f>SUMIFS('Annual_Cost'!$R$2:$R$313,'Annual_Cost'!$A$2:$A$313,A34,'Annual_Cost'!$B$2:$B$313,B34)</f>
      </c>
      <c r="E34" s="100" t="str">
        <f>SUMIFS('Annual_Cost'!$S$2:$S$313,'Annual_Cost'!$A$2:$A$313,A34,'Annual_Cost'!$B$2:$B$313,B34)</f>
      </c>
      <c r="F34" s="101" t="str">
        <f>SUMIFS('Annual_Cost'!$W$2:$W$313,'Annual_Cost'!$A$2:$A$313,A34,'Annual_Cost'!$B$2:$B$313,B34)</f>
      </c>
      <c r="G34" s="102" t="str">
        <f>SUMIFS($E$2:E34,$A$2:A34,A34)</f>
      </c>
      <c r="H34" s="103" t="str">
        <f>SUMIFS($F$2:F34,$A$2:A34,A34)</f>
      </c>
    </row>
    <row r="35">
      <c r="A35" t="s">
        <v>187</v>
      </c>
      <c r="B35" s="97" t="n">
        <v>2032</v>
      </c>
      <c r="C35" s="98" t="str">
        <f>SUMIFS('Annual_Cost'!$Q$2:$Q$313,'Annual_Cost'!$A$2:$A$313,A35,'Annual_Cost'!$B$2:$B$313,B35)</f>
      </c>
      <c r="D35" s="99" t="str">
        <f>SUMIFS('Annual_Cost'!$R$2:$R$313,'Annual_Cost'!$A$2:$A$313,A35,'Annual_Cost'!$B$2:$B$313,B35)</f>
      </c>
      <c r="E35" s="100" t="str">
        <f>SUMIFS('Annual_Cost'!$S$2:$S$313,'Annual_Cost'!$A$2:$A$313,A35,'Annual_Cost'!$B$2:$B$313,B35)</f>
      </c>
      <c r="F35" s="101" t="str">
        <f>SUMIFS('Annual_Cost'!$W$2:$W$313,'Annual_Cost'!$A$2:$A$313,A35,'Annual_Cost'!$B$2:$B$313,B35)</f>
      </c>
      <c r="G35" s="102" t="str">
        <f>SUMIFS($E$2:E35,$A$2:A35,A35)</f>
      </c>
      <c r="H35" s="103" t="str">
        <f>SUMIFS($F$2:F35,$A$2:A35,A35)</f>
      </c>
    </row>
    <row r="36">
      <c r="A36" t="s">
        <v>187</v>
      </c>
      <c r="B36" s="97" t="n">
        <v>2033</v>
      </c>
      <c r="C36" s="98" t="str">
        <f>SUMIFS('Annual_Cost'!$Q$2:$Q$313,'Annual_Cost'!$A$2:$A$313,A36,'Annual_Cost'!$B$2:$B$313,B36)</f>
      </c>
      <c r="D36" s="99" t="str">
        <f>SUMIFS('Annual_Cost'!$R$2:$R$313,'Annual_Cost'!$A$2:$A$313,A36,'Annual_Cost'!$B$2:$B$313,B36)</f>
      </c>
      <c r="E36" s="100" t="str">
        <f>SUMIFS('Annual_Cost'!$S$2:$S$313,'Annual_Cost'!$A$2:$A$313,A36,'Annual_Cost'!$B$2:$B$313,B36)</f>
      </c>
      <c r="F36" s="101" t="str">
        <f>SUMIFS('Annual_Cost'!$W$2:$W$313,'Annual_Cost'!$A$2:$A$313,A36,'Annual_Cost'!$B$2:$B$313,B36)</f>
      </c>
      <c r="G36" s="102" t="str">
        <f>SUMIFS($E$2:E36,$A$2:A36,A36)</f>
      </c>
      <c r="H36" s="103" t="str">
        <f>SUMIFS($F$2:F36,$A$2:A36,A36)</f>
      </c>
    </row>
    <row r="37">
      <c r="A37" t="s">
        <v>187</v>
      </c>
      <c r="B37" s="97" t="n">
        <v>2034</v>
      </c>
      <c r="C37" s="98" t="str">
        <f>SUMIFS('Annual_Cost'!$Q$2:$Q$313,'Annual_Cost'!$A$2:$A$313,A37,'Annual_Cost'!$B$2:$B$313,B37)</f>
      </c>
      <c r="D37" s="99" t="str">
        <f>SUMIFS('Annual_Cost'!$R$2:$R$313,'Annual_Cost'!$A$2:$A$313,A37,'Annual_Cost'!$B$2:$B$313,B37)</f>
      </c>
      <c r="E37" s="100" t="str">
        <f>SUMIFS('Annual_Cost'!$S$2:$S$313,'Annual_Cost'!$A$2:$A$313,A37,'Annual_Cost'!$B$2:$B$313,B37)</f>
      </c>
      <c r="F37" s="101" t="str">
        <f>SUMIFS('Annual_Cost'!$W$2:$W$313,'Annual_Cost'!$A$2:$A$313,A37,'Annual_Cost'!$B$2:$B$313,B37)</f>
      </c>
      <c r="G37" s="102" t="str">
        <f>SUMIFS($E$2:E37,$A$2:A37,A37)</f>
      </c>
      <c r="H37" s="103" t="str">
        <f>SUMIFS($F$2:F37,$A$2:A37,A37)</f>
      </c>
    </row>
    <row r="38">
      <c r="A38" t="s">
        <v>187</v>
      </c>
      <c r="B38" s="97" t="n">
        <v>2035</v>
      </c>
      <c r="C38" s="98" t="str">
        <f>SUMIFS('Annual_Cost'!$Q$2:$Q$313,'Annual_Cost'!$A$2:$A$313,A38,'Annual_Cost'!$B$2:$B$313,B38)</f>
      </c>
      <c r="D38" s="99" t="str">
        <f>SUMIFS('Annual_Cost'!$R$2:$R$313,'Annual_Cost'!$A$2:$A$313,A38,'Annual_Cost'!$B$2:$B$313,B38)</f>
      </c>
      <c r="E38" s="100" t="str">
        <f>SUMIFS('Annual_Cost'!$S$2:$S$313,'Annual_Cost'!$A$2:$A$313,A38,'Annual_Cost'!$B$2:$B$313,B38)</f>
      </c>
      <c r="F38" s="101" t="str">
        <f>SUMIFS('Annual_Cost'!$W$2:$W$313,'Annual_Cost'!$A$2:$A$313,A38,'Annual_Cost'!$B$2:$B$313,B38)</f>
      </c>
      <c r="G38" s="102" t="str">
        <f>SUMIFS($E$2:E38,$A$2:A38,A38)</f>
      </c>
      <c r="H38" s="103" t="str">
        <f>SUMIFS($F$2:F38,$A$2:A38,A38)</f>
      </c>
    </row>
    <row r="39">
      <c r="A39" t="s">
        <v>187</v>
      </c>
      <c r="B39" s="97" t="n">
        <v>2036</v>
      </c>
      <c r="C39" s="98" t="str">
        <f>SUMIFS('Annual_Cost'!$Q$2:$Q$313,'Annual_Cost'!$A$2:$A$313,A39,'Annual_Cost'!$B$2:$B$313,B39)</f>
      </c>
      <c r="D39" s="99" t="str">
        <f>SUMIFS('Annual_Cost'!$R$2:$R$313,'Annual_Cost'!$A$2:$A$313,A39,'Annual_Cost'!$B$2:$B$313,B39)</f>
      </c>
      <c r="E39" s="100" t="str">
        <f>SUMIFS('Annual_Cost'!$S$2:$S$313,'Annual_Cost'!$A$2:$A$313,A39,'Annual_Cost'!$B$2:$B$313,B39)</f>
      </c>
      <c r="F39" s="101" t="str">
        <f>SUMIFS('Annual_Cost'!$W$2:$W$313,'Annual_Cost'!$A$2:$A$313,A39,'Annual_Cost'!$B$2:$B$313,B39)</f>
      </c>
      <c r="G39" s="102" t="str">
        <f>SUMIFS($E$2:E39,$A$2:A39,A39)</f>
      </c>
      <c r="H39" s="103" t="str">
        <f>SUMIFS($F$2:F39,$A$2:A39,A39)</f>
      </c>
    </row>
    <row r="40">
      <c r="A40" t="s">
        <v>187</v>
      </c>
      <c r="B40" s="97" t="n">
        <v>2037</v>
      </c>
      <c r="C40" s="98" t="str">
        <f>SUMIFS('Annual_Cost'!$Q$2:$Q$313,'Annual_Cost'!$A$2:$A$313,A40,'Annual_Cost'!$B$2:$B$313,B40)</f>
      </c>
      <c r="D40" s="99" t="str">
        <f>SUMIFS('Annual_Cost'!$R$2:$R$313,'Annual_Cost'!$A$2:$A$313,A40,'Annual_Cost'!$B$2:$B$313,B40)</f>
      </c>
      <c r="E40" s="100" t="str">
        <f>SUMIFS('Annual_Cost'!$S$2:$S$313,'Annual_Cost'!$A$2:$A$313,A40,'Annual_Cost'!$B$2:$B$313,B40)</f>
      </c>
      <c r="F40" s="101" t="str">
        <f>SUMIFS('Annual_Cost'!$W$2:$W$313,'Annual_Cost'!$A$2:$A$313,A40,'Annual_Cost'!$B$2:$B$313,B40)</f>
      </c>
      <c r="G40" s="102" t="str">
        <f>SUMIFS($E$2:E40,$A$2:A40,A40)</f>
      </c>
      <c r="H40" s="103" t="str">
        <f>SUMIFS($F$2:F40,$A$2:A40,A40)</f>
      </c>
    </row>
    <row r="41">
      <c r="A41" t="s">
        <v>187</v>
      </c>
      <c r="B41" s="97" t="n">
        <v>2038</v>
      </c>
      <c r="C41" s="98" t="str">
        <f>SUMIFS('Annual_Cost'!$Q$2:$Q$313,'Annual_Cost'!$A$2:$A$313,A41,'Annual_Cost'!$B$2:$B$313,B41)</f>
      </c>
      <c r="D41" s="99" t="str">
        <f>SUMIFS('Annual_Cost'!$R$2:$R$313,'Annual_Cost'!$A$2:$A$313,A41,'Annual_Cost'!$B$2:$B$313,B41)</f>
      </c>
      <c r="E41" s="100" t="str">
        <f>SUMIFS('Annual_Cost'!$S$2:$S$313,'Annual_Cost'!$A$2:$A$313,A41,'Annual_Cost'!$B$2:$B$313,B41)</f>
      </c>
      <c r="F41" s="101" t="str">
        <f>SUMIFS('Annual_Cost'!$W$2:$W$313,'Annual_Cost'!$A$2:$A$313,A41,'Annual_Cost'!$B$2:$B$313,B41)</f>
      </c>
      <c r="G41" s="102" t="str">
        <f>SUMIFS($E$2:E41,$A$2:A41,A41)</f>
      </c>
      <c r="H41" s="103" t="str">
        <f>SUMIFS($F$2:F41,$A$2:A41,A41)</f>
      </c>
    </row>
    <row r="42">
      <c r="A42" t="s">
        <v>187</v>
      </c>
      <c r="B42" s="97" t="n">
        <v>2039</v>
      </c>
      <c r="C42" s="98" t="str">
        <f>SUMIFS('Annual_Cost'!$Q$2:$Q$313,'Annual_Cost'!$A$2:$A$313,A42,'Annual_Cost'!$B$2:$B$313,B42)</f>
      </c>
      <c r="D42" s="99" t="str">
        <f>SUMIFS('Annual_Cost'!$R$2:$R$313,'Annual_Cost'!$A$2:$A$313,A42,'Annual_Cost'!$B$2:$B$313,B42)</f>
      </c>
      <c r="E42" s="100" t="str">
        <f>SUMIFS('Annual_Cost'!$S$2:$S$313,'Annual_Cost'!$A$2:$A$313,A42,'Annual_Cost'!$B$2:$B$313,B42)</f>
      </c>
      <c r="F42" s="101" t="str">
        <f>SUMIFS('Annual_Cost'!$W$2:$W$313,'Annual_Cost'!$A$2:$A$313,A42,'Annual_Cost'!$B$2:$B$313,B42)</f>
      </c>
      <c r="G42" s="102" t="str">
        <f>SUMIFS($E$2:E42,$A$2:A42,A42)</f>
      </c>
      <c r="H42" s="103" t="str">
        <f>SUMIFS($F$2:F42,$A$2:A42,A42)</f>
      </c>
    </row>
    <row r="43">
      <c r="A43" t="s">
        <v>187</v>
      </c>
      <c r="B43" s="97" t="n">
        <v>2040</v>
      </c>
      <c r="C43" s="98" t="str">
        <f>SUMIFS('Annual_Cost'!$Q$2:$Q$313,'Annual_Cost'!$A$2:$A$313,A43,'Annual_Cost'!$B$2:$B$313,B43)</f>
      </c>
      <c r="D43" s="99" t="str">
        <f>SUMIFS('Annual_Cost'!$R$2:$R$313,'Annual_Cost'!$A$2:$A$313,A43,'Annual_Cost'!$B$2:$B$313,B43)</f>
      </c>
      <c r="E43" s="100" t="str">
        <f>SUMIFS('Annual_Cost'!$S$2:$S$313,'Annual_Cost'!$A$2:$A$313,A43,'Annual_Cost'!$B$2:$B$313,B43)</f>
      </c>
      <c r="F43" s="101" t="str">
        <f>SUMIFS('Annual_Cost'!$W$2:$W$313,'Annual_Cost'!$A$2:$A$313,A43,'Annual_Cost'!$B$2:$B$313,B43)</f>
      </c>
      <c r="G43" s="102" t="str">
        <f>SUMIFS($E$2:E43,$A$2:A43,A43)</f>
      </c>
      <c r="H43" s="103" t="str">
        <f>SUMIFS($F$2:F43,$A$2:A43,A43)</f>
      </c>
    </row>
    <row r="44">
      <c r="A44" t="s">
        <v>187</v>
      </c>
      <c r="B44" s="97" t="n">
        <v>2041</v>
      </c>
      <c r="C44" s="98" t="str">
        <f>SUMIFS('Annual_Cost'!$Q$2:$Q$313,'Annual_Cost'!$A$2:$A$313,A44,'Annual_Cost'!$B$2:$B$313,B44)</f>
      </c>
      <c r="D44" s="99" t="str">
        <f>SUMIFS('Annual_Cost'!$R$2:$R$313,'Annual_Cost'!$A$2:$A$313,A44,'Annual_Cost'!$B$2:$B$313,B44)</f>
      </c>
      <c r="E44" s="100" t="str">
        <f>SUMIFS('Annual_Cost'!$S$2:$S$313,'Annual_Cost'!$A$2:$A$313,A44,'Annual_Cost'!$B$2:$B$313,B44)</f>
      </c>
      <c r="F44" s="101" t="str">
        <f>SUMIFS('Annual_Cost'!$W$2:$W$313,'Annual_Cost'!$A$2:$A$313,A44,'Annual_Cost'!$B$2:$B$313,B44)</f>
      </c>
      <c r="G44" s="102" t="str">
        <f>SUMIFS($E$2:E44,$A$2:A44,A44)</f>
      </c>
      <c r="H44" s="103" t="str">
        <f>SUMIFS($F$2:F44,$A$2:A44,A44)</f>
      </c>
    </row>
    <row r="45">
      <c r="A45" t="s">
        <v>187</v>
      </c>
      <c r="B45" s="97" t="n">
        <v>2042</v>
      </c>
      <c r="C45" s="98" t="str">
        <f>SUMIFS('Annual_Cost'!$Q$2:$Q$313,'Annual_Cost'!$A$2:$A$313,A45,'Annual_Cost'!$B$2:$B$313,B45)</f>
      </c>
      <c r="D45" s="99" t="str">
        <f>SUMIFS('Annual_Cost'!$R$2:$R$313,'Annual_Cost'!$A$2:$A$313,A45,'Annual_Cost'!$B$2:$B$313,B45)</f>
      </c>
      <c r="E45" s="100" t="str">
        <f>SUMIFS('Annual_Cost'!$S$2:$S$313,'Annual_Cost'!$A$2:$A$313,A45,'Annual_Cost'!$B$2:$B$313,B45)</f>
      </c>
      <c r="F45" s="101" t="str">
        <f>SUMIFS('Annual_Cost'!$W$2:$W$313,'Annual_Cost'!$A$2:$A$313,A45,'Annual_Cost'!$B$2:$B$313,B45)</f>
      </c>
      <c r="G45" s="102" t="str">
        <f>SUMIFS($E$2:E45,$A$2:A45,A45)</f>
      </c>
      <c r="H45" s="103" t="str">
        <f>SUMIFS($F$2:F45,$A$2:A45,A45)</f>
      </c>
    </row>
    <row r="46">
      <c r="A46" t="s">
        <v>187</v>
      </c>
      <c r="B46" s="97" t="n">
        <v>2043</v>
      </c>
      <c r="C46" s="98" t="str">
        <f>SUMIFS('Annual_Cost'!$Q$2:$Q$313,'Annual_Cost'!$A$2:$A$313,A46,'Annual_Cost'!$B$2:$B$313,B46)</f>
      </c>
      <c r="D46" s="99" t="str">
        <f>SUMIFS('Annual_Cost'!$R$2:$R$313,'Annual_Cost'!$A$2:$A$313,A46,'Annual_Cost'!$B$2:$B$313,B46)</f>
      </c>
      <c r="E46" s="100" t="str">
        <f>SUMIFS('Annual_Cost'!$S$2:$S$313,'Annual_Cost'!$A$2:$A$313,A46,'Annual_Cost'!$B$2:$B$313,B46)</f>
      </c>
      <c r="F46" s="101" t="str">
        <f>SUMIFS('Annual_Cost'!$W$2:$W$313,'Annual_Cost'!$A$2:$A$313,A46,'Annual_Cost'!$B$2:$B$313,B46)</f>
      </c>
      <c r="G46" s="102" t="str">
        <f>SUMIFS($E$2:E46,$A$2:A46,A46)</f>
      </c>
      <c r="H46" s="103" t="str">
        <f>SUMIFS($F$2:F46,$A$2:A46,A46)</f>
      </c>
    </row>
    <row r="47">
      <c r="A47" t="s">
        <v>187</v>
      </c>
      <c r="B47" s="97" t="n">
        <v>2044</v>
      </c>
      <c r="C47" s="98" t="str">
        <f>SUMIFS('Annual_Cost'!$Q$2:$Q$313,'Annual_Cost'!$A$2:$A$313,A47,'Annual_Cost'!$B$2:$B$313,B47)</f>
      </c>
      <c r="D47" s="99" t="str">
        <f>SUMIFS('Annual_Cost'!$R$2:$R$313,'Annual_Cost'!$A$2:$A$313,A47,'Annual_Cost'!$B$2:$B$313,B47)</f>
      </c>
      <c r="E47" s="100" t="str">
        <f>SUMIFS('Annual_Cost'!$S$2:$S$313,'Annual_Cost'!$A$2:$A$313,A47,'Annual_Cost'!$B$2:$B$313,B47)</f>
      </c>
      <c r="F47" s="101" t="str">
        <f>SUMIFS('Annual_Cost'!$W$2:$W$313,'Annual_Cost'!$A$2:$A$313,A47,'Annual_Cost'!$B$2:$B$313,B47)</f>
      </c>
      <c r="G47" s="102" t="str">
        <f>SUMIFS($E$2:E47,$A$2:A47,A47)</f>
      </c>
      <c r="H47" s="103" t="str">
        <f>SUMIFS($F$2:F47,$A$2:A47,A47)</f>
      </c>
    </row>
    <row r="48">
      <c r="A48" t="s">
        <v>187</v>
      </c>
      <c r="B48" s="97" t="n">
        <v>2045</v>
      </c>
      <c r="C48" s="98" t="str">
        <f>SUMIFS('Annual_Cost'!$Q$2:$Q$313,'Annual_Cost'!$A$2:$A$313,A48,'Annual_Cost'!$B$2:$B$313,B48)</f>
      </c>
      <c r="D48" s="99" t="str">
        <f>SUMIFS('Annual_Cost'!$R$2:$R$313,'Annual_Cost'!$A$2:$A$313,A48,'Annual_Cost'!$B$2:$B$313,B48)</f>
      </c>
      <c r="E48" s="100" t="str">
        <f>SUMIFS('Annual_Cost'!$S$2:$S$313,'Annual_Cost'!$A$2:$A$313,A48,'Annual_Cost'!$B$2:$B$313,B48)</f>
      </c>
      <c r="F48" s="101" t="str">
        <f>SUMIFS('Annual_Cost'!$W$2:$W$313,'Annual_Cost'!$A$2:$A$313,A48,'Annual_Cost'!$B$2:$B$313,B48)</f>
      </c>
      <c r="G48" s="102" t="str">
        <f>SUMIFS($E$2:E48,$A$2:A48,A48)</f>
      </c>
      <c r="H48" s="103" t="str">
        <f>SUMIFS($F$2:F48,$A$2:A48,A48)</f>
      </c>
    </row>
    <row r="49">
      <c r="A49" t="s">
        <v>187</v>
      </c>
      <c r="B49" s="97" t="n">
        <v>2046</v>
      </c>
      <c r="C49" s="98" t="str">
        <f>SUMIFS('Annual_Cost'!$Q$2:$Q$313,'Annual_Cost'!$A$2:$A$313,A49,'Annual_Cost'!$B$2:$B$313,B49)</f>
      </c>
      <c r="D49" s="99" t="str">
        <f>SUMIFS('Annual_Cost'!$R$2:$R$313,'Annual_Cost'!$A$2:$A$313,A49,'Annual_Cost'!$B$2:$B$313,B49)</f>
      </c>
      <c r="E49" s="100" t="str">
        <f>SUMIFS('Annual_Cost'!$S$2:$S$313,'Annual_Cost'!$A$2:$A$313,A49,'Annual_Cost'!$B$2:$B$313,B49)</f>
      </c>
      <c r="F49" s="101" t="str">
        <f>SUMIFS('Annual_Cost'!$W$2:$W$313,'Annual_Cost'!$A$2:$A$313,A49,'Annual_Cost'!$B$2:$B$313,B49)</f>
      </c>
      <c r="G49" s="102" t="str">
        <f>SUMIFS($E$2:E49,$A$2:A49,A49)</f>
      </c>
      <c r="H49" s="103" t="str">
        <f>SUMIFS($F$2:F49,$A$2:A49,A49)</f>
      </c>
    </row>
    <row r="50">
      <c r="A50" t="s">
        <v>187</v>
      </c>
      <c r="B50" s="97" t="n">
        <v>2047</v>
      </c>
      <c r="C50" s="98" t="str">
        <f>SUMIFS('Annual_Cost'!$Q$2:$Q$313,'Annual_Cost'!$A$2:$A$313,A50,'Annual_Cost'!$B$2:$B$313,B50)</f>
      </c>
      <c r="D50" s="99" t="str">
        <f>SUMIFS('Annual_Cost'!$R$2:$R$313,'Annual_Cost'!$A$2:$A$313,A50,'Annual_Cost'!$B$2:$B$313,B50)</f>
      </c>
      <c r="E50" s="100" t="str">
        <f>SUMIFS('Annual_Cost'!$S$2:$S$313,'Annual_Cost'!$A$2:$A$313,A50,'Annual_Cost'!$B$2:$B$313,B50)</f>
      </c>
      <c r="F50" s="101" t="str">
        <f>SUMIFS('Annual_Cost'!$W$2:$W$313,'Annual_Cost'!$A$2:$A$313,A50,'Annual_Cost'!$B$2:$B$313,B50)</f>
      </c>
      <c r="G50" s="102" t="str">
        <f>SUMIFS($E$2:E50,$A$2:A50,A50)</f>
      </c>
      <c r="H50" s="103" t="str">
        <f>SUMIFS($F$2:F50,$A$2:A50,A50)</f>
      </c>
    </row>
    <row r="51">
      <c r="A51" t="s">
        <v>187</v>
      </c>
      <c r="B51" s="97" t="n">
        <v>2048</v>
      </c>
      <c r="C51" s="98" t="str">
        <f>SUMIFS('Annual_Cost'!$Q$2:$Q$313,'Annual_Cost'!$A$2:$A$313,A51,'Annual_Cost'!$B$2:$B$313,B51)</f>
      </c>
      <c r="D51" s="99" t="str">
        <f>SUMIFS('Annual_Cost'!$R$2:$R$313,'Annual_Cost'!$A$2:$A$313,A51,'Annual_Cost'!$B$2:$B$313,B51)</f>
      </c>
      <c r="E51" s="100" t="str">
        <f>SUMIFS('Annual_Cost'!$S$2:$S$313,'Annual_Cost'!$A$2:$A$313,A51,'Annual_Cost'!$B$2:$B$313,B51)</f>
      </c>
      <c r="F51" s="101" t="str">
        <f>SUMIFS('Annual_Cost'!$W$2:$W$313,'Annual_Cost'!$A$2:$A$313,A51,'Annual_Cost'!$B$2:$B$313,B51)</f>
      </c>
      <c r="G51" s="102" t="str">
        <f>SUMIFS($E$2:E51,$A$2:A51,A51)</f>
      </c>
      <c r="H51" s="103" t="str">
        <f>SUMIFS($F$2:F51,$A$2:A51,A51)</f>
      </c>
    </row>
    <row r="52">
      <c r="A52" t="s">
        <v>187</v>
      </c>
      <c r="B52" s="97" t="n">
        <v>2049</v>
      </c>
      <c r="C52" s="98" t="str">
        <f>SUMIFS('Annual_Cost'!$Q$2:$Q$313,'Annual_Cost'!$A$2:$A$313,A52,'Annual_Cost'!$B$2:$B$313,B52)</f>
      </c>
      <c r="D52" s="99" t="str">
        <f>SUMIFS('Annual_Cost'!$R$2:$R$313,'Annual_Cost'!$A$2:$A$313,A52,'Annual_Cost'!$B$2:$B$313,B52)</f>
      </c>
      <c r="E52" s="100" t="str">
        <f>SUMIFS('Annual_Cost'!$S$2:$S$313,'Annual_Cost'!$A$2:$A$313,A52,'Annual_Cost'!$B$2:$B$313,B52)</f>
      </c>
      <c r="F52" s="101" t="str">
        <f>SUMIFS('Annual_Cost'!$W$2:$W$313,'Annual_Cost'!$A$2:$A$313,A52,'Annual_Cost'!$B$2:$B$313,B52)</f>
      </c>
      <c r="G52" s="102" t="str">
        <f>SUMIFS($E$2:E52,$A$2:A52,A52)</f>
      </c>
      <c r="H52" s="103" t="str">
        <f>SUMIFS($F$2:F52,$A$2:A52,A52)</f>
      </c>
    </row>
    <row r="53">
      <c r="A53" t="s">
        <v>187</v>
      </c>
      <c r="B53" s="97" t="n">
        <v>2050</v>
      </c>
      <c r="C53" s="98" t="str">
        <f>SUMIFS('Annual_Cost'!$Q$2:$Q$313,'Annual_Cost'!$A$2:$A$313,A53,'Annual_Cost'!$B$2:$B$313,B53)</f>
      </c>
      <c r="D53" s="99" t="str">
        <f>SUMIFS('Annual_Cost'!$R$2:$R$313,'Annual_Cost'!$A$2:$A$313,A53,'Annual_Cost'!$B$2:$B$313,B53)</f>
      </c>
      <c r="E53" s="100" t="str">
        <f>SUMIFS('Annual_Cost'!$S$2:$S$313,'Annual_Cost'!$A$2:$A$313,A53,'Annual_Cost'!$B$2:$B$313,B53)</f>
      </c>
      <c r="F53" s="101" t="str">
        <f>SUMIFS('Annual_Cost'!$W$2:$W$313,'Annual_Cost'!$A$2:$A$313,A53,'Annual_Cost'!$B$2:$B$313,B53)</f>
      </c>
      <c r="G53" s="102" t="str">
        <f>SUMIFS($E$2:E53,$A$2:A53,A53)</f>
      </c>
      <c r="H53" s="103" t="str">
        <f>SUMIFS($F$2:F53,$A$2:A53,A53)</f>
      </c>
    </row>
    <row r="54">
      <c r="A54" t="s">
        <v>195</v>
      </c>
      <c r="B54" s="97" t="n">
        <v>2025</v>
      </c>
      <c r="C54" s="98" t="str">
        <f>SUMIFS('Annual_Cost'!$Q$2:$Q$313,'Annual_Cost'!$A$2:$A$313,A54,'Annual_Cost'!$B$2:$B$313,B54)</f>
      </c>
      <c r="D54" s="99" t="str">
        <f>SUMIFS('Annual_Cost'!$R$2:$R$313,'Annual_Cost'!$A$2:$A$313,A54,'Annual_Cost'!$B$2:$B$313,B54)</f>
      </c>
      <c r="E54" s="100" t="str">
        <f>SUMIFS('Annual_Cost'!$S$2:$S$313,'Annual_Cost'!$A$2:$A$313,A54,'Annual_Cost'!$B$2:$B$313,B54)</f>
      </c>
      <c r="F54" s="101" t="str">
        <f>SUMIFS('Annual_Cost'!$W$2:$W$313,'Annual_Cost'!$A$2:$A$313,A54,'Annual_Cost'!$B$2:$B$313,B54)</f>
      </c>
      <c r="G54" s="102" t="str">
        <f>SUMIFS($E$2:E54,$A$2:A54,A54)</f>
      </c>
      <c r="H54" s="103" t="str">
        <f>SUMIFS($F$2:F54,$A$2:A54,A54)</f>
      </c>
    </row>
    <row r="55">
      <c r="A55" t="s">
        <v>195</v>
      </c>
      <c r="B55" s="97" t="n">
        <v>2026</v>
      </c>
      <c r="C55" s="98" t="str">
        <f>SUMIFS('Annual_Cost'!$Q$2:$Q$313,'Annual_Cost'!$A$2:$A$313,A55,'Annual_Cost'!$B$2:$B$313,B55)</f>
      </c>
      <c r="D55" s="99" t="str">
        <f>SUMIFS('Annual_Cost'!$R$2:$R$313,'Annual_Cost'!$A$2:$A$313,A55,'Annual_Cost'!$B$2:$B$313,B55)</f>
      </c>
      <c r="E55" s="100" t="str">
        <f>SUMIFS('Annual_Cost'!$S$2:$S$313,'Annual_Cost'!$A$2:$A$313,A55,'Annual_Cost'!$B$2:$B$313,B55)</f>
      </c>
      <c r="F55" s="101" t="str">
        <f>SUMIFS('Annual_Cost'!$W$2:$W$313,'Annual_Cost'!$A$2:$A$313,A55,'Annual_Cost'!$B$2:$B$313,B55)</f>
      </c>
      <c r="G55" s="102" t="str">
        <f>SUMIFS($E$2:E55,$A$2:A55,A55)</f>
      </c>
      <c r="H55" s="103" t="str">
        <f>SUMIFS($F$2:F55,$A$2:A55,A55)</f>
      </c>
    </row>
    <row r="56">
      <c r="A56" t="s">
        <v>195</v>
      </c>
      <c r="B56" s="97" t="n">
        <v>2027</v>
      </c>
      <c r="C56" s="98" t="str">
        <f>SUMIFS('Annual_Cost'!$Q$2:$Q$313,'Annual_Cost'!$A$2:$A$313,A56,'Annual_Cost'!$B$2:$B$313,B56)</f>
      </c>
      <c r="D56" s="99" t="str">
        <f>SUMIFS('Annual_Cost'!$R$2:$R$313,'Annual_Cost'!$A$2:$A$313,A56,'Annual_Cost'!$B$2:$B$313,B56)</f>
      </c>
      <c r="E56" s="100" t="str">
        <f>SUMIFS('Annual_Cost'!$S$2:$S$313,'Annual_Cost'!$A$2:$A$313,A56,'Annual_Cost'!$B$2:$B$313,B56)</f>
      </c>
      <c r="F56" s="101" t="str">
        <f>SUMIFS('Annual_Cost'!$W$2:$W$313,'Annual_Cost'!$A$2:$A$313,A56,'Annual_Cost'!$B$2:$B$313,B56)</f>
      </c>
      <c r="G56" s="102" t="str">
        <f>SUMIFS($E$2:E56,$A$2:A56,A56)</f>
      </c>
      <c r="H56" s="103" t="str">
        <f>SUMIFS($F$2:F56,$A$2:A56,A56)</f>
      </c>
    </row>
    <row r="57">
      <c r="A57" t="s">
        <v>195</v>
      </c>
      <c r="B57" s="97" t="n">
        <v>2028</v>
      </c>
      <c r="C57" s="98" t="str">
        <f>SUMIFS('Annual_Cost'!$Q$2:$Q$313,'Annual_Cost'!$A$2:$A$313,A57,'Annual_Cost'!$B$2:$B$313,B57)</f>
      </c>
      <c r="D57" s="99" t="str">
        <f>SUMIFS('Annual_Cost'!$R$2:$R$313,'Annual_Cost'!$A$2:$A$313,A57,'Annual_Cost'!$B$2:$B$313,B57)</f>
      </c>
      <c r="E57" s="100" t="str">
        <f>SUMIFS('Annual_Cost'!$S$2:$S$313,'Annual_Cost'!$A$2:$A$313,A57,'Annual_Cost'!$B$2:$B$313,B57)</f>
      </c>
      <c r="F57" s="101" t="str">
        <f>SUMIFS('Annual_Cost'!$W$2:$W$313,'Annual_Cost'!$A$2:$A$313,A57,'Annual_Cost'!$B$2:$B$313,B57)</f>
      </c>
      <c r="G57" s="102" t="str">
        <f>SUMIFS($E$2:E57,$A$2:A57,A57)</f>
      </c>
      <c r="H57" s="103" t="str">
        <f>SUMIFS($F$2:F57,$A$2:A57,A57)</f>
      </c>
    </row>
    <row r="58">
      <c r="A58" t="s">
        <v>195</v>
      </c>
      <c r="B58" s="97" t="n">
        <v>2029</v>
      </c>
      <c r="C58" s="98" t="str">
        <f>SUMIFS('Annual_Cost'!$Q$2:$Q$313,'Annual_Cost'!$A$2:$A$313,A58,'Annual_Cost'!$B$2:$B$313,B58)</f>
      </c>
      <c r="D58" s="99" t="str">
        <f>SUMIFS('Annual_Cost'!$R$2:$R$313,'Annual_Cost'!$A$2:$A$313,A58,'Annual_Cost'!$B$2:$B$313,B58)</f>
      </c>
      <c r="E58" s="100" t="str">
        <f>SUMIFS('Annual_Cost'!$S$2:$S$313,'Annual_Cost'!$A$2:$A$313,A58,'Annual_Cost'!$B$2:$B$313,B58)</f>
      </c>
      <c r="F58" s="101" t="str">
        <f>SUMIFS('Annual_Cost'!$W$2:$W$313,'Annual_Cost'!$A$2:$A$313,A58,'Annual_Cost'!$B$2:$B$313,B58)</f>
      </c>
      <c r="G58" s="102" t="str">
        <f>SUMIFS($E$2:E58,$A$2:A58,A58)</f>
      </c>
      <c r="H58" s="103" t="str">
        <f>SUMIFS($F$2:F58,$A$2:A58,A58)</f>
      </c>
    </row>
    <row r="59">
      <c r="A59" t="s">
        <v>195</v>
      </c>
      <c r="B59" s="97" t="n">
        <v>2030</v>
      </c>
      <c r="C59" s="98" t="str">
        <f>SUMIFS('Annual_Cost'!$Q$2:$Q$313,'Annual_Cost'!$A$2:$A$313,A59,'Annual_Cost'!$B$2:$B$313,B59)</f>
      </c>
      <c r="D59" s="99" t="str">
        <f>SUMIFS('Annual_Cost'!$R$2:$R$313,'Annual_Cost'!$A$2:$A$313,A59,'Annual_Cost'!$B$2:$B$313,B59)</f>
      </c>
      <c r="E59" s="100" t="str">
        <f>SUMIFS('Annual_Cost'!$S$2:$S$313,'Annual_Cost'!$A$2:$A$313,A59,'Annual_Cost'!$B$2:$B$313,B59)</f>
      </c>
      <c r="F59" s="101" t="str">
        <f>SUMIFS('Annual_Cost'!$W$2:$W$313,'Annual_Cost'!$A$2:$A$313,A59,'Annual_Cost'!$B$2:$B$313,B59)</f>
      </c>
      <c r="G59" s="102" t="str">
        <f>SUMIFS($E$2:E59,$A$2:A59,A59)</f>
      </c>
      <c r="H59" s="103" t="str">
        <f>SUMIFS($F$2:F59,$A$2:A59,A59)</f>
      </c>
    </row>
    <row r="60">
      <c r="A60" t="s">
        <v>195</v>
      </c>
      <c r="B60" s="97" t="n">
        <v>2031</v>
      </c>
      <c r="C60" s="98" t="str">
        <f>SUMIFS('Annual_Cost'!$Q$2:$Q$313,'Annual_Cost'!$A$2:$A$313,A60,'Annual_Cost'!$B$2:$B$313,B60)</f>
      </c>
      <c r="D60" s="99" t="str">
        <f>SUMIFS('Annual_Cost'!$R$2:$R$313,'Annual_Cost'!$A$2:$A$313,A60,'Annual_Cost'!$B$2:$B$313,B60)</f>
      </c>
      <c r="E60" s="100" t="str">
        <f>SUMIFS('Annual_Cost'!$S$2:$S$313,'Annual_Cost'!$A$2:$A$313,A60,'Annual_Cost'!$B$2:$B$313,B60)</f>
      </c>
      <c r="F60" s="101" t="str">
        <f>SUMIFS('Annual_Cost'!$W$2:$W$313,'Annual_Cost'!$A$2:$A$313,A60,'Annual_Cost'!$B$2:$B$313,B60)</f>
      </c>
      <c r="G60" s="102" t="str">
        <f>SUMIFS($E$2:E60,$A$2:A60,A60)</f>
      </c>
      <c r="H60" s="103" t="str">
        <f>SUMIFS($F$2:F60,$A$2:A60,A60)</f>
      </c>
    </row>
    <row r="61">
      <c r="A61" t="s">
        <v>195</v>
      </c>
      <c r="B61" s="97" t="n">
        <v>2032</v>
      </c>
      <c r="C61" s="98" t="str">
        <f>SUMIFS('Annual_Cost'!$Q$2:$Q$313,'Annual_Cost'!$A$2:$A$313,A61,'Annual_Cost'!$B$2:$B$313,B61)</f>
      </c>
      <c r="D61" s="99" t="str">
        <f>SUMIFS('Annual_Cost'!$R$2:$R$313,'Annual_Cost'!$A$2:$A$313,A61,'Annual_Cost'!$B$2:$B$313,B61)</f>
      </c>
      <c r="E61" s="100" t="str">
        <f>SUMIFS('Annual_Cost'!$S$2:$S$313,'Annual_Cost'!$A$2:$A$313,A61,'Annual_Cost'!$B$2:$B$313,B61)</f>
      </c>
      <c r="F61" s="101" t="str">
        <f>SUMIFS('Annual_Cost'!$W$2:$W$313,'Annual_Cost'!$A$2:$A$313,A61,'Annual_Cost'!$B$2:$B$313,B61)</f>
      </c>
      <c r="G61" s="102" t="str">
        <f>SUMIFS($E$2:E61,$A$2:A61,A61)</f>
      </c>
      <c r="H61" s="103" t="str">
        <f>SUMIFS($F$2:F61,$A$2:A61,A61)</f>
      </c>
    </row>
    <row r="62">
      <c r="A62" t="s">
        <v>195</v>
      </c>
      <c r="B62" s="97" t="n">
        <v>2033</v>
      </c>
      <c r="C62" s="98" t="str">
        <f>SUMIFS('Annual_Cost'!$Q$2:$Q$313,'Annual_Cost'!$A$2:$A$313,A62,'Annual_Cost'!$B$2:$B$313,B62)</f>
      </c>
      <c r="D62" s="99" t="str">
        <f>SUMIFS('Annual_Cost'!$R$2:$R$313,'Annual_Cost'!$A$2:$A$313,A62,'Annual_Cost'!$B$2:$B$313,B62)</f>
      </c>
      <c r="E62" s="100" t="str">
        <f>SUMIFS('Annual_Cost'!$S$2:$S$313,'Annual_Cost'!$A$2:$A$313,A62,'Annual_Cost'!$B$2:$B$313,B62)</f>
      </c>
      <c r="F62" s="101" t="str">
        <f>SUMIFS('Annual_Cost'!$W$2:$W$313,'Annual_Cost'!$A$2:$A$313,A62,'Annual_Cost'!$B$2:$B$313,B62)</f>
      </c>
      <c r="G62" s="102" t="str">
        <f>SUMIFS($E$2:E62,$A$2:A62,A62)</f>
      </c>
      <c r="H62" s="103" t="str">
        <f>SUMIFS($F$2:F62,$A$2:A62,A62)</f>
      </c>
    </row>
    <row r="63">
      <c r="A63" t="s">
        <v>195</v>
      </c>
      <c r="B63" s="97" t="n">
        <v>2034</v>
      </c>
      <c r="C63" s="98" t="str">
        <f>SUMIFS('Annual_Cost'!$Q$2:$Q$313,'Annual_Cost'!$A$2:$A$313,A63,'Annual_Cost'!$B$2:$B$313,B63)</f>
      </c>
      <c r="D63" s="99" t="str">
        <f>SUMIFS('Annual_Cost'!$R$2:$R$313,'Annual_Cost'!$A$2:$A$313,A63,'Annual_Cost'!$B$2:$B$313,B63)</f>
      </c>
      <c r="E63" s="100" t="str">
        <f>SUMIFS('Annual_Cost'!$S$2:$S$313,'Annual_Cost'!$A$2:$A$313,A63,'Annual_Cost'!$B$2:$B$313,B63)</f>
      </c>
      <c r="F63" s="101" t="str">
        <f>SUMIFS('Annual_Cost'!$W$2:$W$313,'Annual_Cost'!$A$2:$A$313,A63,'Annual_Cost'!$B$2:$B$313,B63)</f>
      </c>
      <c r="G63" s="102" t="str">
        <f>SUMIFS($E$2:E63,$A$2:A63,A63)</f>
      </c>
      <c r="H63" s="103" t="str">
        <f>SUMIFS($F$2:F63,$A$2:A63,A63)</f>
      </c>
    </row>
    <row r="64">
      <c r="A64" t="s">
        <v>195</v>
      </c>
      <c r="B64" s="97" t="n">
        <v>2035</v>
      </c>
      <c r="C64" s="98" t="str">
        <f>SUMIFS('Annual_Cost'!$Q$2:$Q$313,'Annual_Cost'!$A$2:$A$313,A64,'Annual_Cost'!$B$2:$B$313,B64)</f>
      </c>
      <c r="D64" s="99" t="str">
        <f>SUMIFS('Annual_Cost'!$R$2:$R$313,'Annual_Cost'!$A$2:$A$313,A64,'Annual_Cost'!$B$2:$B$313,B64)</f>
      </c>
      <c r="E64" s="100" t="str">
        <f>SUMIFS('Annual_Cost'!$S$2:$S$313,'Annual_Cost'!$A$2:$A$313,A64,'Annual_Cost'!$B$2:$B$313,B64)</f>
      </c>
      <c r="F64" s="101" t="str">
        <f>SUMIFS('Annual_Cost'!$W$2:$W$313,'Annual_Cost'!$A$2:$A$313,A64,'Annual_Cost'!$B$2:$B$313,B64)</f>
      </c>
      <c r="G64" s="102" t="str">
        <f>SUMIFS($E$2:E64,$A$2:A64,A64)</f>
      </c>
      <c r="H64" s="103" t="str">
        <f>SUMIFS($F$2:F64,$A$2:A64,A64)</f>
      </c>
    </row>
    <row r="65">
      <c r="A65" t="s">
        <v>195</v>
      </c>
      <c r="B65" s="97" t="n">
        <v>2036</v>
      </c>
      <c r="C65" s="98" t="str">
        <f>SUMIFS('Annual_Cost'!$Q$2:$Q$313,'Annual_Cost'!$A$2:$A$313,A65,'Annual_Cost'!$B$2:$B$313,B65)</f>
      </c>
      <c r="D65" s="99" t="str">
        <f>SUMIFS('Annual_Cost'!$R$2:$R$313,'Annual_Cost'!$A$2:$A$313,A65,'Annual_Cost'!$B$2:$B$313,B65)</f>
      </c>
      <c r="E65" s="100" t="str">
        <f>SUMIFS('Annual_Cost'!$S$2:$S$313,'Annual_Cost'!$A$2:$A$313,A65,'Annual_Cost'!$B$2:$B$313,B65)</f>
      </c>
      <c r="F65" s="101" t="str">
        <f>SUMIFS('Annual_Cost'!$W$2:$W$313,'Annual_Cost'!$A$2:$A$313,A65,'Annual_Cost'!$B$2:$B$313,B65)</f>
      </c>
      <c r="G65" s="102" t="str">
        <f>SUMIFS($E$2:E65,$A$2:A65,A65)</f>
      </c>
      <c r="H65" s="103" t="str">
        <f>SUMIFS($F$2:F65,$A$2:A65,A65)</f>
      </c>
    </row>
    <row r="66">
      <c r="A66" t="s">
        <v>195</v>
      </c>
      <c r="B66" s="97" t="n">
        <v>2037</v>
      </c>
      <c r="C66" s="98" t="str">
        <f>SUMIFS('Annual_Cost'!$Q$2:$Q$313,'Annual_Cost'!$A$2:$A$313,A66,'Annual_Cost'!$B$2:$B$313,B66)</f>
      </c>
      <c r="D66" s="99" t="str">
        <f>SUMIFS('Annual_Cost'!$R$2:$R$313,'Annual_Cost'!$A$2:$A$313,A66,'Annual_Cost'!$B$2:$B$313,B66)</f>
      </c>
      <c r="E66" s="100" t="str">
        <f>SUMIFS('Annual_Cost'!$S$2:$S$313,'Annual_Cost'!$A$2:$A$313,A66,'Annual_Cost'!$B$2:$B$313,B66)</f>
      </c>
      <c r="F66" s="101" t="str">
        <f>SUMIFS('Annual_Cost'!$W$2:$W$313,'Annual_Cost'!$A$2:$A$313,A66,'Annual_Cost'!$B$2:$B$313,B66)</f>
      </c>
      <c r="G66" s="102" t="str">
        <f>SUMIFS($E$2:E66,$A$2:A66,A66)</f>
      </c>
      <c r="H66" s="103" t="str">
        <f>SUMIFS($F$2:F66,$A$2:A66,A66)</f>
      </c>
    </row>
    <row r="67">
      <c r="A67" t="s">
        <v>195</v>
      </c>
      <c r="B67" s="97" t="n">
        <v>2038</v>
      </c>
      <c r="C67" s="98" t="str">
        <f>SUMIFS('Annual_Cost'!$Q$2:$Q$313,'Annual_Cost'!$A$2:$A$313,A67,'Annual_Cost'!$B$2:$B$313,B67)</f>
      </c>
      <c r="D67" s="99" t="str">
        <f>SUMIFS('Annual_Cost'!$R$2:$R$313,'Annual_Cost'!$A$2:$A$313,A67,'Annual_Cost'!$B$2:$B$313,B67)</f>
      </c>
      <c r="E67" s="100" t="str">
        <f>SUMIFS('Annual_Cost'!$S$2:$S$313,'Annual_Cost'!$A$2:$A$313,A67,'Annual_Cost'!$B$2:$B$313,B67)</f>
      </c>
      <c r="F67" s="101" t="str">
        <f>SUMIFS('Annual_Cost'!$W$2:$W$313,'Annual_Cost'!$A$2:$A$313,A67,'Annual_Cost'!$B$2:$B$313,B67)</f>
      </c>
      <c r="G67" s="102" t="str">
        <f>SUMIFS($E$2:E67,$A$2:A67,A67)</f>
      </c>
      <c r="H67" s="103" t="str">
        <f>SUMIFS($F$2:F67,$A$2:A67,A67)</f>
      </c>
    </row>
    <row r="68">
      <c r="A68" t="s">
        <v>195</v>
      </c>
      <c r="B68" s="97" t="n">
        <v>2039</v>
      </c>
      <c r="C68" s="98" t="str">
        <f>SUMIFS('Annual_Cost'!$Q$2:$Q$313,'Annual_Cost'!$A$2:$A$313,A68,'Annual_Cost'!$B$2:$B$313,B68)</f>
      </c>
      <c r="D68" s="99" t="str">
        <f>SUMIFS('Annual_Cost'!$R$2:$R$313,'Annual_Cost'!$A$2:$A$313,A68,'Annual_Cost'!$B$2:$B$313,B68)</f>
      </c>
      <c r="E68" s="100" t="str">
        <f>SUMIFS('Annual_Cost'!$S$2:$S$313,'Annual_Cost'!$A$2:$A$313,A68,'Annual_Cost'!$B$2:$B$313,B68)</f>
      </c>
      <c r="F68" s="101" t="str">
        <f>SUMIFS('Annual_Cost'!$W$2:$W$313,'Annual_Cost'!$A$2:$A$313,A68,'Annual_Cost'!$B$2:$B$313,B68)</f>
      </c>
      <c r="G68" s="102" t="str">
        <f>SUMIFS($E$2:E68,$A$2:A68,A68)</f>
      </c>
      <c r="H68" s="103" t="str">
        <f>SUMIFS($F$2:F68,$A$2:A68,A68)</f>
      </c>
    </row>
    <row r="69">
      <c r="A69" t="s">
        <v>195</v>
      </c>
      <c r="B69" s="97" t="n">
        <v>2040</v>
      </c>
      <c r="C69" s="98" t="str">
        <f>SUMIFS('Annual_Cost'!$Q$2:$Q$313,'Annual_Cost'!$A$2:$A$313,A69,'Annual_Cost'!$B$2:$B$313,B69)</f>
      </c>
      <c r="D69" s="99" t="str">
        <f>SUMIFS('Annual_Cost'!$R$2:$R$313,'Annual_Cost'!$A$2:$A$313,A69,'Annual_Cost'!$B$2:$B$313,B69)</f>
      </c>
      <c r="E69" s="100" t="str">
        <f>SUMIFS('Annual_Cost'!$S$2:$S$313,'Annual_Cost'!$A$2:$A$313,A69,'Annual_Cost'!$B$2:$B$313,B69)</f>
      </c>
      <c r="F69" s="101" t="str">
        <f>SUMIFS('Annual_Cost'!$W$2:$W$313,'Annual_Cost'!$A$2:$A$313,A69,'Annual_Cost'!$B$2:$B$313,B69)</f>
      </c>
      <c r="G69" s="102" t="str">
        <f>SUMIFS($E$2:E69,$A$2:A69,A69)</f>
      </c>
      <c r="H69" s="103" t="str">
        <f>SUMIFS($F$2:F69,$A$2:A69,A69)</f>
      </c>
    </row>
    <row r="70">
      <c r="A70" t="s">
        <v>195</v>
      </c>
      <c r="B70" s="97" t="n">
        <v>2041</v>
      </c>
      <c r="C70" s="98" t="str">
        <f>SUMIFS('Annual_Cost'!$Q$2:$Q$313,'Annual_Cost'!$A$2:$A$313,A70,'Annual_Cost'!$B$2:$B$313,B70)</f>
      </c>
      <c r="D70" s="99" t="str">
        <f>SUMIFS('Annual_Cost'!$R$2:$R$313,'Annual_Cost'!$A$2:$A$313,A70,'Annual_Cost'!$B$2:$B$313,B70)</f>
      </c>
      <c r="E70" s="100" t="str">
        <f>SUMIFS('Annual_Cost'!$S$2:$S$313,'Annual_Cost'!$A$2:$A$313,A70,'Annual_Cost'!$B$2:$B$313,B70)</f>
      </c>
      <c r="F70" s="101" t="str">
        <f>SUMIFS('Annual_Cost'!$W$2:$W$313,'Annual_Cost'!$A$2:$A$313,A70,'Annual_Cost'!$B$2:$B$313,B70)</f>
      </c>
      <c r="G70" s="102" t="str">
        <f>SUMIFS($E$2:E70,$A$2:A70,A70)</f>
      </c>
      <c r="H70" s="103" t="str">
        <f>SUMIFS($F$2:F70,$A$2:A70,A70)</f>
      </c>
    </row>
    <row r="71">
      <c r="A71" t="s">
        <v>195</v>
      </c>
      <c r="B71" s="97" t="n">
        <v>2042</v>
      </c>
      <c r="C71" s="98" t="str">
        <f>SUMIFS('Annual_Cost'!$Q$2:$Q$313,'Annual_Cost'!$A$2:$A$313,A71,'Annual_Cost'!$B$2:$B$313,B71)</f>
      </c>
      <c r="D71" s="99" t="str">
        <f>SUMIFS('Annual_Cost'!$R$2:$R$313,'Annual_Cost'!$A$2:$A$313,A71,'Annual_Cost'!$B$2:$B$313,B71)</f>
      </c>
      <c r="E71" s="100" t="str">
        <f>SUMIFS('Annual_Cost'!$S$2:$S$313,'Annual_Cost'!$A$2:$A$313,A71,'Annual_Cost'!$B$2:$B$313,B71)</f>
      </c>
      <c r="F71" s="101" t="str">
        <f>SUMIFS('Annual_Cost'!$W$2:$W$313,'Annual_Cost'!$A$2:$A$313,A71,'Annual_Cost'!$B$2:$B$313,B71)</f>
      </c>
      <c r="G71" s="102" t="str">
        <f>SUMIFS($E$2:E71,$A$2:A71,A71)</f>
      </c>
      <c r="H71" s="103" t="str">
        <f>SUMIFS($F$2:F71,$A$2:A71,A71)</f>
      </c>
    </row>
    <row r="72">
      <c r="A72" t="s">
        <v>195</v>
      </c>
      <c r="B72" s="97" t="n">
        <v>2043</v>
      </c>
      <c r="C72" s="98" t="str">
        <f>SUMIFS('Annual_Cost'!$Q$2:$Q$313,'Annual_Cost'!$A$2:$A$313,A72,'Annual_Cost'!$B$2:$B$313,B72)</f>
      </c>
      <c r="D72" s="99" t="str">
        <f>SUMIFS('Annual_Cost'!$R$2:$R$313,'Annual_Cost'!$A$2:$A$313,A72,'Annual_Cost'!$B$2:$B$313,B72)</f>
      </c>
      <c r="E72" s="100" t="str">
        <f>SUMIFS('Annual_Cost'!$S$2:$S$313,'Annual_Cost'!$A$2:$A$313,A72,'Annual_Cost'!$B$2:$B$313,B72)</f>
      </c>
      <c r="F72" s="101" t="str">
        <f>SUMIFS('Annual_Cost'!$W$2:$W$313,'Annual_Cost'!$A$2:$A$313,A72,'Annual_Cost'!$B$2:$B$313,B72)</f>
      </c>
      <c r="G72" s="102" t="str">
        <f>SUMIFS($E$2:E72,$A$2:A72,A72)</f>
      </c>
      <c r="H72" s="103" t="str">
        <f>SUMIFS($F$2:F72,$A$2:A72,A72)</f>
      </c>
    </row>
    <row r="73">
      <c r="A73" t="s">
        <v>195</v>
      </c>
      <c r="B73" s="97" t="n">
        <v>2044</v>
      </c>
      <c r="C73" s="98" t="str">
        <f>SUMIFS('Annual_Cost'!$Q$2:$Q$313,'Annual_Cost'!$A$2:$A$313,A73,'Annual_Cost'!$B$2:$B$313,B73)</f>
      </c>
      <c r="D73" s="99" t="str">
        <f>SUMIFS('Annual_Cost'!$R$2:$R$313,'Annual_Cost'!$A$2:$A$313,A73,'Annual_Cost'!$B$2:$B$313,B73)</f>
      </c>
      <c r="E73" s="100" t="str">
        <f>SUMIFS('Annual_Cost'!$S$2:$S$313,'Annual_Cost'!$A$2:$A$313,A73,'Annual_Cost'!$B$2:$B$313,B73)</f>
      </c>
      <c r="F73" s="101" t="str">
        <f>SUMIFS('Annual_Cost'!$W$2:$W$313,'Annual_Cost'!$A$2:$A$313,A73,'Annual_Cost'!$B$2:$B$313,B73)</f>
      </c>
      <c r="G73" s="102" t="str">
        <f>SUMIFS($E$2:E73,$A$2:A73,A73)</f>
      </c>
      <c r="H73" s="103" t="str">
        <f>SUMIFS($F$2:F73,$A$2:A73,A73)</f>
      </c>
    </row>
    <row r="74">
      <c r="A74" t="s">
        <v>195</v>
      </c>
      <c r="B74" s="97" t="n">
        <v>2045</v>
      </c>
      <c r="C74" s="98" t="str">
        <f>SUMIFS('Annual_Cost'!$Q$2:$Q$313,'Annual_Cost'!$A$2:$A$313,A74,'Annual_Cost'!$B$2:$B$313,B74)</f>
      </c>
      <c r="D74" s="99" t="str">
        <f>SUMIFS('Annual_Cost'!$R$2:$R$313,'Annual_Cost'!$A$2:$A$313,A74,'Annual_Cost'!$B$2:$B$313,B74)</f>
      </c>
      <c r="E74" s="100" t="str">
        <f>SUMIFS('Annual_Cost'!$S$2:$S$313,'Annual_Cost'!$A$2:$A$313,A74,'Annual_Cost'!$B$2:$B$313,B74)</f>
      </c>
      <c r="F74" s="101" t="str">
        <f>SUMIFS('Annual_Cost'!$W$2:$W$313,'Annual_Cost'!$A$2:$A$313,A74,'Annual_Cost'!$B$2:$B$313,B74)</f>
      </c>
      <c r="G74" s="102" t="str">
        <f>SUMIFS($E$2:E74,$A$2:A74,A74)</f>
      </c>
      <c r="H74" s="103" t="str">
        <f>SUMIFS($F$2:F74,$A$2:A74,A74)</f>
      </c>
    </row>
    <row r="75">
      <c r="A75" t="s">
        <v>195</v>
      </c>
      <c r="B75" s="97" t="n">
        <v>2046</v>
      </c>
      <c r="C75" s="98" t="str">
        <f>SUMIFS('Annual_Cost'!$Q$2:$Q$313,'Annual_Cost'!$A$2:$A$313,A75,'Annual_Cost'!$B$2:$B$313,B75)</f>
      </c>
      <c r="D75" s="99" t="str">
        <f>SUMIFS('Annual_Cost'!$R$2:$R$313,'Annual_Cost'!$A$2:$A$313,A75,'Annual_Cost'!$B$2:$B$313,B75)</f>
      </c>
      <c r="E75" s="100" t="str">
        <f>SUMIFS('Annual_Cost'!$S$2:$S$313,'Annual_Cost'!$A$2:$A$313,A75,'Annual_Cost'!$B$2:$B$313,B75)</f>
      </c>
      <c r="F75" s="101" t="str">
        <f>SUMIFS('Annual_Cost'!$W$2:$W$313,'Annual_Cost'!$A$2:$A$313,A75,'Annual_Cost'!$B$2:$B$313,B75)</f>
      </c>
      <c r="G75" s="102" t="str">
        <f>SUMIFS($E$2:E75,$A$2:A75,A75)</f>
      </c>
      <c r="H75" s="103" t="str">
        <f>SUMIFS($F$2:F75,$A$2:A75,A75)</f>
      </c>
    </row>
    <row r="76">
      <c r="A76" t="s">
        <v>195</v>
      </c>
      <c r="B76" s="97" t="n">
        <v>2047</v>
      </c>
      <c r="C76" s="98" t="str">
        <f>SUMIFS('Annual_Cost'!$Q$2:$Q$313,'Annual_Cost'!$A$2:$A$313,A76,'Annual_Cost'!$B$2:$B$313,B76)</f>
      </c>
      <c r="D76" s="99" t="str">
        <f>SUMIFS('Annual_Cost'!$R$2:$R$313,'Annual_Cost'!$A$2:$A$313,A76,'Annual_Cost'!$B$2:$B$313,B76)</f>
      </c>
      <c r="E76" s="100" t="str">
        <f>SUMIFS('Annual_Cost'!$S$2:$S$313,'Annual_Cost'!$A$2:$A$313,A76,'Annual_Cost'!$B$2:$B$313,B76)</f>
      </c>
      <c r="F76" s="101" t="str">
        <f>SUMIFS('Annual_Cost'!$W$2:$W$313,'Annual_Cost'!$A$2:$A$313,A76,'Annual_Cost'!$B$2:$B$313,B76)</f>
      </c>
      <c r="G76" s="102" t="str">
        <f>SUMIFS($E$2:E76,$A$2:A76,A76)</f>
      </c>
      <c r="H76" s="103" t="str">
        <f>SUMIFS($F$2:F76,$A$2:A76,A76)</f>
      </c>
    </row>
    <row r="77">
      <c r="A77" t="s">
        <v>195</v>
      </c>
      <c r="B77" s="97" t="n">
        <v>2048</v>
      </c>
      <c r="C77" s="98" t="str">
        <f>SUMIFS('Annual_Cost'!$Q$2:$Q$313,'Annual_Cost'!$A$2:$A$313,A77,'Annual_Cost'!$B$2:$B$313,B77)</f>
      </c>
      <c r="D77" s="99" t="str">
        <f>SUMIFS('Annual_Cost'!$R$2:$R$313,'Annual_Cost'!$A$2:$A$313,A77,'Annual_Cost'!$B$2:$B$313,B77)</f>
      </c>
      <c r="E77" s="100" t="str">
        <f>SUMIFS('Annual_Cost'!$S$2:$S$313,'Annual_Cost'!$A$2:$A$313,A77,'Annual_Cost'!$B$2:$B$313,B77)</f>
      </c>
      <c r="F77" s="101" t="str">
        <f>SUMIFS('Annual_Cost'!$W$2:$W$313,'Annual_Cost'!$A$2:$A$313,A77,'Annual_Cost'!$B$2:$B$313,B77)</f>
      </c>
      <c r="G77" s="102" t="str">
        <f>SUMIFS($E$2:E77,$A$2:A77,A77)</f>
      </c>
      <c r="H77" s="103" t="str">
        <f>SUMIFS($F$2:F77,$A$2:A77,A77)</f>
      </c>
    </row>
    <row r="78">
      <c r="A78" t="s">
        <v>195</v>
      </c>
      <c r="B78" s="97" t="n">
        <v>2049</v>
      </c>
      <c r="C78" s="98" t="str">
        <f>SUMIFS('Annual_Cost'!$Q$2:$Q$313,'Annual_Cost'!$A$2:$A$313,A78,'Annual_Cost'!$B$2:$B$313,B78)</f>
      </c>
      <c r="D78" s="99" t="str">
        <f>SUMIFS('Annual_Cost'!$R$2:$R$313,'Annual_Cost'!$A$2:$A$313,A78,'Annual_Cost'!$B$2:$B$313,B78)</f>
      </c>
      <c r="E78" s="100" t="str">
        <f>SUMIFS('Annual_Cost'!$S$2:$S$313,'Annual_Cost'!$A$2:$A$313,A78,'Annual_Cost'!$B$2:$B$313,B78)</f>
      </c>
      <c r="F78" s="101" t="str">
        <f>SUMIFS('Annual_Cost'!$W$2:$W$313,'Annual_Cost'!$A$2:$A$313,A78,'Annual_Cost'!$B$2:$B$313,B78)</f>
      </c>
      <c r="G78" s="102" t="str">
        <f>SUMIFS($E$2:E78,$A$2:A78,A78)</f>
      </c>
      <c r="H78" s="103" t="str">
        <f>SUMIFS($F$2:F78,$A$2:A78,A78)</f>
      </c>
    </row>
    <row r="79">
      <c r="A79" t="s">
        <v>195</v>
      </c>
      <c r="B79" s="97" t="n">
        <v>2050</v>
      </c>
      <c r="C79" s="98" t="str">
        <f>SUMIFS('Annual_Cost'!$Q$2:$Q$313,'Annual_Cost'!$A$2:$A$313,A79,'Annual_Cost'!$B$2:$B$313,B79)</f>
      </c>
      <c r="D79" s="99" t="str">
        <f>SUMIFS('Annual_Cost'!$R$2:$R$313,'Annual_Cost'!$A$2:$A$313,A79,'Annual_Cost'!$B$2:$B$313,B79)</f>
      </c>
      <c r="E79" s="100" t="str">
        <f>SUMIFS('Annual_Cost'!$S$2:$S$313,'Annual_Cost'!$A$2:$A$313,A79,'Annual_Cost'!$B$2:$B$313,B79)</f>
      </c>
      <c r="F79" s="101" t="str">
        <f>SUMIFS('Annual_Cost'!$W$2:$W$313,'Annual_Cost'!$A$2:$A$313,A79,'Annual_Cost'!$B$2:$B$313,B79)</f>
      </c>
      <c r="G79" s="102" t="str">
        <f>SUMIFS($E$2:E79,$A$2:A79,A79)</f>
      </c>
      <c r="H79" s="103" t="str">
        <f>SUMIFS($F$2:F79,$A$2:A79,A79)</f>
      </c>
    </row>
    <row r="80">
      <c r="A80" t="s">
        <v>203</v>
      </c>
      <c r="B80" s="97" t="n">
        <v>2025</v>
      </c>
      <c r="C80" s="98" t="str">
        <f>SUMIFS('Annual_Cost'!$Q$2:$Q$313,'Annual_Cost'!$A$2:$A$313,A80,'Annual_Cost'!$B$2:$B$313,B80)</f>
      </c>
      <c r="D80" s="99" t="str">
        <f>SUMIFS('Annual_Cost'!$R$2:$R$313,'Annual_Cost'!$A$2:$A$313,A80,'Annual_Cost'!$B$2:$B$313,B80)</f>
      </c>
      <c r="E80" s="100" t="str">
        <f>SUMIFS('Annual_Cost'!$S$2:$S$313,'Annual_Cost'!$A$2:$A$313,A80,'Annual_Cost'!$B$2:$B$313,B80)</f>
      </c>
      <c r="F80" s="101" t="str">
        <f>SUMIFS('Annual_Cost'!$W$2:$W$313,'Annual_Cost'!$A$2:$A$313,A80,'Annual_Cost'!$B$2:$B$313,B80)</f>
      </c>
      <c r="G80" s="102" t="str">
        <f>SUMIFS($E$2:E80,$A$2:A80,A80)</f>
      </c>
      <c r="H80" s="103" t="str">
        <f>SUMIFS($F$2:F80,$A$2:A80,A80)</f>
      </c>
    </row>
    <row r="81">
      <c r="A81" t="s">
        <v>203</v>
      </c>
      <c r="B81" s="97" t="n">
        <v>2026</v>
      </c>
      <c r="C81" s="98" t="str">
        <f>SUMIFS('Annual_Cost'!$Q$2:$Q$313,'Annual_Cost'!$A$2:$A$313,A81,'Annual_Cost'!$B$2:$B$313,B81)</f>
      </c>
      <c r="D81" s="99" t="str">
        <f>SUMIFS('Annual_Cost'!$R$2:$R$313,'Annual_Cost'!$A$2:$A$313,A81,'Annual_Cost'!$B$2:$B$313,B81)</f>
      </c>
      <c r="E81" s="100" t="str">
        <f>SUMIFS('Annual_Cost'!$S$2:$S$313,'Annual_Cost'!$A$2:$A$313,A81,'Annual_Cost'!$B$2:$B$313,B81)</f>
      </c>
      <c r="F81" s="101" t="str">
        <f>SUMIFS('Annual_Cost'!$W$2:$W$313,'Annual_Cost'!$A$2:$A$313,A81,'Annual_Cost'!$B$2:$B$313,B81)</f>
      </c>
      <c r="G81" s="102" t="str">
        <f>SUMIFS($E$2:E81,$A$2:A81,A81)</f>
      </c>
      <c r="H81" s="103" t="str">
        <f>SUMIFS($F$2:F81,$A$2:A81,A81)</f>
      </c>
    </row>
    <row r="82">
      <c r="A82" t="s">
        <v>203</v>
      </c>
      <c r="B82" s="97" t="n">
        <v>2027</v>
      </c>
      <c r="C82" s="98" t="str">
        <f>SUMIFS('Annual_Cost'!$Q$2:$Q$313,'Annual_Cost'!$A$2:$A$313,A82,'Annual_Cost'!$B$2:$B$313,B82)</f>
      </c>
      <c r="D82" s="99" t="str">
        <f>SUMIFS('Annual_Cost'!$R$2:$R$313,'Annual_Cost'!$A$2:$A$313,A82,'Annual_Cost'!$B$2:$B$313,B82)</f>
      </c>
      <c r="E82" s="100" t="str">
        <f>SUMIFS('Annual_Cost'!$S$2:$S$313,'Annual_Cost'!$A$2:$A$313,A82,'Annual_Cost'!$B$2:$B$313,B82)</f>
      </c>
      <c r="F82" s="101" t="str">
        <f>SUMIFS('Annual_Cost'!$W$2:$W$313,'Annual_Cost'!$A$2:$A$313,A82,'Annual_Cost'!$B$2:$B$313,B82)</f>
      </c>
      <c r="G82" s="102" t="str">
        <f>SUMIFS($E$2:E82,$A$2:A82,A82)</f>
      </c>
      <c r="H82" s="103" t="str">
        <f>SUMIFS($F$2:F82,$A$2:A82,A82)</f>
      </c>
    </row>
    <row r="83">
      <c r="A83" t="s">
        <v>203</v>
      </c>
      <c r="B83" s="97" t="n">
        <v>2028</v>
      </c>
      <c r="C83" s="98" t="str">
        <f>SUMIFS('Annual_Cost'!$Q$2:$Q$313,'Annual_Cost'!$A$2:$A$313,A83,'Annual_Cost'!$B$2:$B$313,B83)</f>
      </c>
      <c r="D83" s="99" t="str">
        <f>SUMIFS('Annual_Cost'!$R$2:$R$313,'Annual_Cost'!$A$2:$A$313,A83,'Annual_Cost'!$B$2:$B$313,B83)</f>
      </c>
      <c r="E83" s="100" t="str">
        <f>SUMIFS('Annual_Cost'!$S$2:$S$313,'Annual_Cost'!$A$2:$A$313,A83,'Annual_Cost'!$B$2:$B$313,B83)</f>
      </c>
      <c r="F83" s="101" t="str">
        <f>SUMIFS('Annual_Cost'!$W$2:$W$313,'Annual_Cost'!$A$2:$A$313,A83,'Annual_Cost'!$B$2:$B$313,B83)</f>
      </c>
      <c r="G83" s="102" t="str">
        <f>SUMIFS($E$2:E83,$A$2:A83,A83)</f>
      </c>
      <c r="H83" s="103" t="str">
        <f>SUMIFS($F$2:F83,$A$2:A83,A83)</f>
      </c>
    </row>
    <row r="84">
      <c r="A84" t="s">
        <v>203</v>
      </c>
      <c r="B84" s="97" t="n">
        <v>2029</v>
      </c>
      <c r="C84" s="98" t="str">
        <f>SUMIFS('Annual_Cost'!$Q$2:$Q$313,'Annual_Cost'!$A$2:$A$313,A84,'Annual_Cost'!$B$2:$B$313,B84)</f>
      </c>
      <c r="D84" s="99" t="str">
        <f>SUMIFS('Annual_Cost'!$R$2:$R$313,'Annual_Cost'!$A$2:$A$313,A84,'Annual_Cost'!$B$2:$B$313,B84)</f>
      </c>
      <c r="E84" s="100" t="str">
        <f>SUMIFS('Annual_Cost'!$S$2:$S$313,'Annual_Cost'!$A$2:$A$313,A84,'Annual_Cost'!$B$2:$B$313,B84)</f>
      </c>
      <c r="F84" s="101" t="str">
        <f>SUMIFS('Annual_Cost'!$W$2:$W$313,'Annual_Cost'!$A$2:$A$313,A84,'Annual_Cost'!$B$2:$B$313,B84)</f>
      </c>
      <c r="G84" s="102" t="str">
        <f>SUMIFS($E$2:E84,$A$2:A84,A84)</f>
      </c>
      <c r="H84" s="103" t="str">
        <f>SUMIFS($F$2:F84,$A$2:A84,A84)</f>
      </c>
    </row>
    <row r="85">
      <c r="A85" t="s">
        <v>203</v>
      </c>
      <c r="B85" s="97" t="n">
        <v>2030</v>
      </c>
      <c r="C85" s="98" t="str">
        <f>SUMIFS('Annual_Cost'!$Q$2:$Q$313,'Annual_Cost'!$A$2:$A$313,A85,'Annual_Cost'!$B$2:$B$313,B85)</f>
      </c>
      <c r="D85" s="99" t="str">
        <f>SUMIFS('Annual_Cost'!$R$2:$R$313,'Annual_Cost'!$A$2:$A$313,A85,'Annual_Cost'!$B$2:$B$313,B85)</f>
      </c>
      <c r="E85" s="100" t="str">
        <f>SUMIFS('Annual_Cost'!$S$2:$S$313,'Annual_Cost'!$A$2:$A$313,A85,'Annual_Cost'!$B$2:$B$313,B85)</f>
      </c>
      <c r="F85" s="101" t="str">
        <f>SUMIFS('Annual_Cost'!$W$2:$W$313,'Annual_Cost'!$A$2:$A$313,A85,'Annual_Cost'!$B$2:$B$313,B85)</f>
      </c>
      <c r="G85" s="102" t="str">
        <f>SUMIFS($E$2:E85,$A$2:A85,A85)</f>
      </c>
      <c r="H85" s="103" t="str">
        <f>SUMIFS($F$2:F85,$A$2:A85,A85)</f>
      </c>
    </row>
    <row r="86">
      <c r="A86" t="s">
        <v>203</v>
      </c>
      <c r="B86" s="97" t="n">
        <v>2031</v>
      </c>
      <c r="C86" s="98" t="str">
        <f>SUMIFS('Annual_Cost'!$Q$2:$Q$313,'Annual_Cost'!$A$2:$A$313,A86,'Annual_Cost'!$B$2:$B$313,B86)</f>
      </c>
      <c r="D86" s="99" t="str">
        <f>SUMIFS('Annual_Cost'!$R$2:$R$313,'Annual_Cost'!$A$2:$A$313,A86,'Annual_Cost'!$B$2:$B$313,B86)</f>
      </c>
      <c r="E86" s="100" t="str">
        <f>SUMIFS('Annual_Cost'!$S$2:$S$313,'Annual_Cost'!$A$2:$A$313,A86,'Annual_Cost'!$B$2:$B$313,B86)</f>
      </c>
      <c r="F86" s="101" t="str">
        <f>SUMIFS('Annual_Cost'!$W$2:$W$313,'Annual_Cost'!$A$2:$A$313,A86,'Annual_Cost'!$B$2:$B$313,B86)</f>
      </c>
      <c r="G86" s="102" t="str">
        <f>SUMIFS($E$2:E86,$A$2:A86,A86)</f>
      </c>
      <c r="H86" s="103" t="str">
        <f>SUMIFS($F$2:F86,$A$2:A86,A86)</f>
      </c>
    </row>
    <row r="87">
      <c r="A87" t="s">
        <v>203</v>
      </c>
      <c r="B87" s="97" t="n">
        <v>2032</v>
      </c>
      <c r="C87" s="98" t="str">
        <f>SUMIFS('Annual_Cost'!$Q$2:$Q$313,'Annual_Cost'!$A$2:$A$313,A87,'Annual_Cost'!$B$2:$B$313,B87)</f>
      </c>
      <c r="D87" s="99" t="str">
        <f>SUMIFS('Annual_Cost'!$R$2:$R$313,'Annual_Cost'!$A$2:$A$313,A87,'Annual_Cost'!$B$2:$B$313,B87)</f>
      </c>
      <c r="E87" s="100" t="str">
        <f>SUMIFS('Annual_Cost'!$S$2:$S$313,'Annual_Cost'!$A$2:$A$313,A87,'Annual_Cost'!$B$2:$B$313,B87)</f>
      </c>
      <c r="F87" s="101" t="str">
        <f>SUMIFS('Annual_Cost'!$W$2:$W$313,'Annual_Cost'!$A$2:$A$313,A87,'Annual_Cost'!$B$2:$B$313,B87)</f>
      </c>
      <c r="G87" s="102" t="str">
        <f>SUMIFS($E$2:E87,$A$2:A87,A87)</f>
      </c>
      <c r="H87" s="103" t="str">
        <f>SUMIFS($F$2:F87,$A$2:A87,A87)</f>
      </c>
    </row>
    <row r="88">
      <c r="A88" t="s">
        <v>203</v>
      </c>
      <c r="B88" s="97" t="n">
        <v>2033</v>
      </c>
      <c r="C88" s="98" t="str">
        <f>SUMIFS('Annual_Cost'!$Q$2:$Q$313,'Annual_Cost'!$A$2:$A$313,A88,'Annual_Cost'!$B$2:$B$313,B88)</f>
      </c>
      <c r="D88" s="99" t="str">
        <f>SUMIFS('Annual_Cost'!$R$2:$R$313,'Annual_Cost'!$A$2:$A$313,A88,'Annual_Cost'!$B$2:$B$313,B88)</f>
      </c>
      <c r="E88" s="100" t="str">
        <f>SUMIFS('Annual_Cost'!$S$2:$S$313,'Annual_Cost'!$A$2:$A$313,A88,'Annual_Cost'!$B$2:$B$313,B88)</f>
      </c>
      <c r="F88" s="101" t="str">
        <f>SUMIFS('Annual_Cost'!$W$2:$W$313,'Annual_Cost'!$A$2:$A$313,A88,'Annual_Cost'!$B$2:$B$313,B88)</f>
      </c>
      <c r="G88" s="102" t="str">
        <f>SUMIFS($E$2:E88,$A$2:A88,A88)</f>
      </c>
      <c r="H88" s="103" t="str">
        <f>SUMIFS($F$2:F88,$A$2:A88,A88)</f>
      </c>
    </row>
    <row r="89">
      <c r="A89" t="s">
        <v>203</v>
      </c>
      <c r="B89" s="97" t="n">
        <v>2034</v>
      </c>
      <c r="C89" s="98" t="str">
        <f>SUMIFS('Annual_Cost'!$Q$2:$Q$313,'Annual_Cost'!$A$2:$A$313,A89,'Annual_Cost'!$B$2:$B$313,B89)</f>
      </c>
      <c r="D89" s="99" t="str">
        <f>SUMIFS('Annual_Cost'!$R$2:$R$313,'Annual_Cost'!$A$2:$A$313,A89,'Annual_Cost'!$B$2:$B$313,B89)</f>
      </c>
      <c r="E89" s="100" t="str">
        <f>SUMIFS('Annual_Cost'!$S$2:$S$313,'Annual_Cost'!$A$2:$A$313,A89,'Annual_Cost'!$B$2:$B$313,B89)</f>
      </c>
      <c r="F89" s="101" t="str">
        <f>SUMIFS('Annual_Cost'!$W$2:$W$313,'Annual_Cost'!$A$2:$A$313,A89,'Annual_Cost'!$B$2:$B$313,B89)</f>
      </c>
      <c r="G89" s="102" t="str">
        <f>SUMIFS($E$2:E89,$A$2:A89,A89)</f>
      </c>
      <c r="H89" s="103" t="str">
        <f>SUMIFS($F$2:F89,$A$2:A89,A89)</f>
      </c>
    </row>
    <row r="90">
      <c r="A90" t="s">
        <v>203</v>
      </c>
      <c r="B90" s="97" t="n">
        <v>2035</v>
      </c>
      <c r="C90" s="98" t="str">
        <f>SUMIFS('Annual_Cost'!$Q$2:$Q$313,'Annual_Cost'!$A$2:$A$313,A90,'Annual_Cost'!$B$2:$B$313,B90)</f>
      </c>
      <c r="D90" s="99" t="str">
        <f>SUMIFS('Annual_Cost'!$R$2:$R$313,'Annual_Cost'!$A$2:$A$313,A90,'Annual_Cost'!$B$2:$B$313,B90)</f>
      </c>
      <c r="E90" s="100" t="str">
        <f>SUMIFS('Annual_Cost'!$S$2:$S$313,'Annual_Cost'!$A$2:$A$313,A90,'Annual_Cost'!$B$2:$B$313,B90)</f>
      </c>
      <c r="F90" s="101" t="str">
        <f>SUMIFS('Annual_Cost'!$W$2:$W$313,'Annual_Cost'!$A$2:$A$313,A90,'Annual_Cost'!$B$2:$B$313,B90)</f>
      </c>
      <c r="G90" s="102" t="str">
        <f>SUMIFS($E$2:E90,$A$2:A90,A90)</f>
      </c>
      <c r="H90" s="103" t="str">
        <f>SUMIFS($F$2:F90,$A$2:A90,A90)</f>
      </c>
    </row>
    <row r="91">
      <c r="A91" t="s">
        <v>203</v>
      </c>
      <c r="B91" s="97" t="n">
        <v>2036</v>
      </c>
      <c r="C91" s="98" t="str">
        <f>SUMIFS('Annual_Cost'!$Q$2:$Q$313,'Annual_Cost'!$A$2:$A$313,A91,'Annual_Cost'!$B$2:$B$313,B91)</f>
      </c>
      <c r="D91" s="99" t="str">
        <f>SUMIFS('Annual_Cost'!$R$2:$R$313,'Annual_Cost'!$A$2:$A$313,A91,'Annual_Cost'!$B$2:$B$313,B91)</f>
      </c>
      <c r="E91" s="100" t="str">
        <f>SUMIFS('Annual_Cost'!$S$2:$S$313,'Annual_Cost'!$A$2:$A$313,A91,'Annual_Cost'!$B$2:$B$313,B91)</f>
      </c>
      <c r="F91" s="101" t="str">
        <f>SUMIFS('Annual_Cost'!$W$2:$W$313,'Annual_Cost'!$A$2:$A$313,A91,'Annual_Cost'!$B$2:$B$313,B91)</f>
      </c>
      <c r="G91" s="102" t="str">
        <f>SUMIFS($E$2:E91,$A$2:A91,A91)</f>
      </c>
      <c r="H91" s="103" t="str">
        <f>SUMIFS($F$2:F91,$A$2:A91,A91)</f>
      </c>
    </row>
    <row r="92">
      <c r="A92" t="s">
        <v>203</v>
      </c>
      <c r="B92" s="97" t="n">
        <v>2037</v>
      </c>
      <c r="C92" s="98" t="str">
        <f>SUMIFS('Annual_Cost'!$Q$2:$Q$313,'Annual_Cost'!$A$2:$A$313,A92,'Annual_Cost'!$B$2:$B$313,B92)</f>
      </c>
      <c r="D92" s="99" t="str">
        <f>SUMIFS('Annual_Cost'!$R$2:$R$313,'Annual_Cost'!$A$2:$A$313,A92,'Annual_Cost'!$B$2:$B$313,B92)</f>
      </c>
      <c r="E92" s="100" t="str">
        <f>SUMIFS('Annual_Cost'!$S$2:$S$313,'Annual_Cost'!$A$2:$A$313,A92,'Annual_Cost'!$B$2:$B$313,B92)</f>
      </c>
      <c r="F92" s="101" t="str">
        <f>SUMIFS('Annual_Cost'!$W$2:$W$313,'Annual_Cost'!$A$2:$A$313,A92,'Annual_Cost'!$B$2:$B$313,B92)</f>
      </c>
      <c r="G92" s="102" t="str">
        <f>SUMIFS($E$2:E92,$A$2:A92,A92)</f>
      </c>
      <c r="H92" s="103" t="str">
        <f>SUMIFS($F$2:F92,$A$2:A92,A92)</f>
      </c>
    </row>
    <row r="93">
      <c r="A93" t="s">
        <v>203</v>
      </c>
      <c r="B93" s="97" t="n">
        <v>2038</v>
      </c>
      <c r="C93" s="98" t="str">
        <f>SUMIFS('Annual_Cost'!$Q$2:$Q$313,'Annual_Cost'!$A$2:$A$313,A93,'Annual_Cost'!$B$2:$B$313,B93)</f>
      </c>
      <c r="D93" s="99" t="str">
        <f>SUMIFS('Annual_Cost'!$R$2:$R$313,'Annual_Cost'!$A$2:$A$313,A93,'Annual_Cost'!$B$2:$B$313,B93)</f>
      </c>
      <c r="E93" s="100" t="str">
        <f>SUMIFS('Annual_Cost'!$S$2:$S$313,'Annual_Cost'!$A$2:$A$313,A93,'Annual_Cost'!$B$2:$B$313,B93)</f>
      </c>
      <c r="F93" s="101" t="str">
        <f>SUMIFS('Annual_Cost'!$W$2:$W$313,'Annual_Cost'!$A$2:$A$313,A93,'Annual_Cost'!$B$2:$B$313,B93)</f>
      </c>
      <c r="G93" s="102" t="str">
        <f>SUMIFS($E$2:E93,$A$2:A93,A93)</f>
      </c>
      <c r="H93" s="103" t="str">
        <f>SUMIFS($F$2:F93,$A$2:A93,A93)</f>
      </c>
    </row>
    <row r="94">
      <c r="A94" t="s">
        <v>203</v>
      </c>
      <c r="B94" s="97" t="n">
        <v>2039</v>
      </c>
      <c r="C94" s="98" t="str">
        <f>SUMIFS('Annual_Cost'!$Q$2:$Q$313,'Annual_Cost'!$A$2:$A$313,A94,'Annual_Cost'!$B$2:$B$313,B94)</f>
      </c>
      <c r="D94" s="99" t="str">
        <f>SUMIFS('Annual_Cost'!$R$2:$R$313,'Annual_Cost'!$A$2:$A$313,A94,'Annual_Cost'!$B$2:$B$313,B94)</f>
      </c>
      <c r="E94" s="100" t="str">
        <f>SUMIFS('Annual_Cost'!$S$2:$S$313,'Annual_Cost'!$A$2:$A$313,A94,'Annual_Cost'!$B$2:$B$313,B94)</f>
      </c>
      <c r="F94" s="101" t="str">
        <f>SUMIFS('Annual_Cost'!$W$2:$W$313,'Annual_Cost'!$A$2:$A$313,A94,'Annual_Cost'!$B$2:$B$313,B94)</f>
      </c>
      <c r="G94" s="102" t="str">
        <f>SUMIFS($E$2:E94,$A$2:A94,A94)</f>
      </c>
      <c r="H94" s="103" t="str">
        <f>SUMIFS($F$2:F94,$A$2:A94,A94)</f>
      </c>
    </row>
    <row r="95">
      <c r="A95" t="s">
        <v>203</v>
      </c>
      <c r="B95" s="97" t="n">
        <v>2040</v>
      </c>
      <c r="C95" s="98" t="str">
        <f>SUMIFS('Annual_Cost'!$Q$2:$Q$313,'Annual_Cost'!$A$2:$A$313,A95,'Annual_Cost'!$B$2:$B$313,B95)</f>
      </c>
      <c r="D95" s="99" t="str">
        <f>SUMIFS('Annual_Cost'!$R$2:$R$313,'Annual_Cost'!$A$2:$A$313,A95,'Annual_Cost'!$B$2:$B$313,B95)</f>
      </c>
      <c r="E95" s="100" t="str">
        <f>SUMIFS('Annual_Cost'!$S$2:$S$313,'Annual_Cost'!$A$2:$A$313,A95,'Annual_Cost'!$B$2:$B$313,B95)</f>
      </c>
      <c r="F95" s="101" t="str">
        <f>SUMIFS('Annual_Cost'!$W$2:$W$313,'Annual_Cost'!$A$2:$A$313,A95,'Annual_Cost'!$B$2:$B$313,B95)</f>
      </c>
      <c r="G95" s="102" t="str">
        <f>SUMIFS($E$2:E95,$A$2:A95,A95)</f>
      </c>
      <c r="H95" s="103" t="str">
        <f>SUMIFS($F$2:F95,$A$2:A95,A95)</f>
      </c>
    </row>
    <row r="96">
      <c r="A96" t="s">
        <v>203</v>
      </c>
      <c r="B96" s="97" t="n">
        <v>2041</v>
      </c>
      <c r="C96" s="98" t="str">
        <f>SUMIFS('Annual_Cost'!$Q$2:$Q$313,'Annual_Cost'!$A$2:$A$313,A96,'Annual_Cost'!$B$2:$B$313,B96)</f>
      </c>
      <c r="D96" s="99" t="str">
        <f>SUMIFS('Annual_Cost'!$R$2:$R$313,'Annual_Cost'!$A$2:$A$313,A96,'Annual_Cost'!$B$2:$B$313,B96)</f>
      </c>
      <c r="E96" s="100" t="str">
        <f>SUMIFS('Annual_Cost'!$S$2:$S$313,'Annual_Cost'!$A$2:$A$313,A96,'Annual_Cost'!$B$2:$B$313,B96)</f>
      </c>
      <c r="F96" s="101" t="str">
        <f>SUMIFS('Annual_Cost'!$W$2:$W$313,'Annual_Cost'!$A$2:$A$313,A96,'Annual_Cost'!$B$2:$B$313,B96)</f>
      </c>
      <c r="G96" s="102" t="str">
        <f>SUMIFS($E$2:E96,$A$2:A96,A96)</f>
      </c>
      <c r="H96" s="103" t="str">
        <f>SUMIFS($F$2:F96,$A$2:A96,A96)</f>
      </c>
    </row>
    <row r="97">
      <c r="A97" t="s">
        <v>203</v>
      </c>
      <c r="B97" s="97" t="n">
        <v>2042</v>
      </c>
      <c r="C97" s="98" t="str">
        <f>SUMIFS('Annual_Cost'!$Q$2:$Q$313,'Annual_Cost'!$A$2:$A$313,A97,'Annual_Cost'!$B$2:$B$313,B97)</f>
      </c>
      <c r="D97" s="99" t="str">
        <f>SUMIFS('Annual_Cost'!$R$2:$R$313,'Annual_Cost'!$A$2:$A$313,A97,'Annual_Cost'!$B$2:$B$313,B97)</f>
      </c>
      <c r="E97" s="100" t="str">
        <f>SUMIFS('Annual_Cost'!$S$2:$S$313,'Annual_Cost'!$A$2:$A$313,A97,'Annual_Cost'!$B$2:$B$313,B97)</f>
      </c>
      <c r="F97" s="101" t="str">
        <f>SUMIFS('Annual_Cost'!$W$2:$W$313,'Annual_Cost'!$A$2:$A$313,A97,'Annual_Cost'!$B$2:$B$313,B97)</f>
      </c>
      <c r="G97" s="102" t="str">
        <f>SUMIFS($E$2:E97,$A$2:A97,A97)</f>
      </c>
      <c r="H97" s="103" t="str">
        <f>SUMIFS($F$2:F97,$A$2:A97,A97)</f>
      </c>
    </row>
    <row r="98">
      <c r="A98" t="s">
        <v>203</v>
      </c>
      <c r="B98" s="97" t="n">
        <v>2043</v>
      </c>
      <c r="C98" s="98" t="str">
        <f>SUMIFS('Annual_Cost'!$Q$2:$Q$313,'Annual_Cost'!$A$2:$A$313,A98,'Annual_Cost'!$B$2:$B$313,B98)</f>
      </c>
      <c r="D98" s="99" t="str">
        <f>SUMIFS('Annual_Cost'!$R$2:$R$313,'Annual_Cost'!$A$2:$A$313,A98,'Annual_Cost'!$B$2:$B$313,B98)</f>
      </c>
      <c r="E98" s="100" t="str">
        <f>SUMIFS('Annual_Cost'!$S$2:$S$313,'Annual_Cost'!$A$2:$A$313,A98,'Annual_Cost'!$B$2:$B$313,B98)</f>
      </c>
      <c r="F98" s="101" t="str">
        <f>SUMIFS('Annual_Cost'!$W$2:$W$313,'Annual_Cost'!$A$2:$A$313,A98,'Annual_Cost'!$B$2:$B$313,B98)</f>
      </c>
      <c r="G98" s="102" t="str">
        <f>SUMIFS($E$2:E98,$A$2:A98,A98)</f>
      </c>
      <c r="H98" s="103" t="str">
        <f>SUMIFS($F$2:F98,$A$2:A98,A98)</f>
      </c>
    </row>
    <row r="99">
      <c r="A99" t="s">
        <v>203</v>
      </c>
      <c r="B99" s="97" t="n">
        <v>2044</v>
      </c>
      <c r="C99" s="98" t="str">
        <f>SUMIFS('Annual_Cost'!$Q$2:$Q$313,'Annual_Cost'!$A$2:$A$313,A99,'Annual_Cost'!$B$2:$B$313,B99)</f>
      </c>
      <c r="D99" s="99" t="str">
        <f>SUMIFS('Annual_Cost'!$R$2:$R$313,'Annual_Cost'!$A$2:$A$313,A99,'Annual_Cost'!$B$2:$B$313,B99)</f>
      </c>
      <c r="E99" s="100" t="str">
        <f>SUMIFS('Annual_Cost'!$S$2:$S$313,'Annual_Cost'!$A$2:$A$313,A99,'Annual_Cost'!$B$2:$B$313,B99)</f>
      </c>
      <c r="F99" s="101" t="str">
        <f>SUMIFS('Annual_Cost'!$W$2:$W$313,'Annual_Cost'!$A$2:$A$313,A99,'Annual_Cost'!$B$2:$B$313,B99)</f>
      </c>
      <c r="G99" s="102" t="str">
        <f>SUMIFS($E$2:E99,$A$2:A99,A99)</f>
      </c>
      <c r="H99" s="103" t="str">
        <f>SUMIFS($F$2:F99,$A$2:A99,A99)</f>
      </c>
    </row>
    <row r="100">
      <c r="A100" t="s">
        <v>203</v>
      </c>
      <c r="B100" s="97" t="n">
        <v>2045</v>
      </c>
      <c r="C100" s="98" t="str">
        <f>SUMIFS('Annual_Cost'!$Q$2:$Q$313,'Annual_Cost'!$A$2:$A$313,A100,'Annual_Cost'!$B$2:$B$313,B100)</f>
      </c>
      <c r="D100" s="99" t="str">
        <f>SUMIFS('Annual_Cost'!$R$2:$R$313,'Annual_Cost'!$A$2:$A$313,A100,'Annual_Cost'!$B$2:$B$313,B100)</f>
      </c>
      <c r="E100" s="100" t="str">
        <f>SUMIFS('Annual_Cost'!$S$2:$S$313,'Annual_Cost'!$A$2:$A$313,A100,'Annual_Cost'!$B$2:$B$313,B100)</f>
      </c>
      <c r="F100" s="101" t="str">
        <f>SUMIFS('Annual_Cost'!$W$2:$W$313,'Annual_Cost'!$A$2:$A$313,A100,'Annual_Cost'!$B$2:$B$313,B100)</f>
      </c>
      <c r="G100" s="102" t="str">
        <f>SUMIFS($E$2:E100,$A$2:A100,A100)</f>
      </c>
      <c r="H100" s="103" t="str">
        <f>SUMIFS($F$2:F100,$A$2:A100,A100)</f>
      </c>
    </row>
    <row r="101">
      <c r="A101" t="s">
        <v>203</v>
      </c>
      <c r="B101" s="97" t="n">
        <v>2046</v>
      </c>
      <c r="C101" s="98" t="str">
        <f>SUMIFS('Annual_Cost'!$Q$2:$Q$313,'Annual_Cost'!$A$2:$A$313,A101,'Annual_Cost'!$B$2:$B$313,B101)</f>
      </c>
      <c r="D101" s="99" t="str">
        <f>SUMIFS('Annual_Cost'!$R$2:$R$313,'Annual_Cost'!$A$2:$A$313,A101,'Annual_Cost'!$B$2:$B$313,B101)</f>
      </c>
      <c r="E101" s="100" t="str">
        <f>SUMIFS('Annual_Cost'!$S$2:$S$313,'Annual_Cost'!$A$2:$A$313,A101,'Annual_Cost'!$B$2:$B$313,B101)</f>
      </c>
      <c r="F101" s="101" t="str">
        <f>SUMIFS('Annual_Cost'!$W$2:$W$313,'Annual_Cost'!$A$2:$A$313,A101,'Annual_Cost'!$B$2:$B$313,B101)</f>
      </c>
      <c r="G101" s="102" t="str">
        <f>SUMIFS($E$2:E101,$A$2:A101,A101)</f>
      </c>
      <c r="H101" s="103" t="str">
        <f>SUMIFS($F$2:F101,$A$2:A101,A101)</f>
      </c>
    </row>
    <row r="102">
      <c r="A102" t="s">
        <v>203</v>
      </c>
      <c r="B102" s="97" t="n">
        <v>2047</v>
      </c>
      <c r="C102" s="98" t="str">
        <f>SUMIFS('Annual_Cost'!$Q$2:$Q$313,'Annual_Cost'!$A$2:$A$313,A102,'Annual_Cost'!$B$2:$B$313,B102)</f>
      </c>
      <c r="D102" s="99" t="str">
        <f>SUMIFS('Annual_Cost'!$R$2:$R$313,'Annual_Cost'!$A$2:$A$313,A102,'Annual_Cost'!$B$2:$B$313,B102)</f>
      </c>
      <c r="E102" s="100" t="str">
        <f>SUMIFS('Annual_Cost'!$S$2:$S$313,'Annual_Cost'!$A$2:$A$313,A102,'Annual_Cost'!$B$2:$B$313,B102)</f>
      </c>
      <c r="F102" s="101" t="str">
        <f>SUMIFS('Annual_Cost'!$W$2:$W$313,'Annual_Cost'!$A$2:$A$313,A102,'Annual_Cost'!$B$2:$B$313,B102)</f>
      </c>
      <c r="G102" s="102" t="str">
        <f>SUMIFS($E$2:E102,$A$2:A102,A102)</f>
      </c>
      <c r="H102" s="103" t="str">
        <f>SUMIFS($F$2:F102,$A$2:A102,A102)</f>
      </c>
    </row>
    <row r="103">
      <c r="A103" t="s">
        <v>203</v>
      </c>
      <c r="B103" s="97" t="n">
        <v>2048</v>
      </c>
      <c r="C103" s="98" t="str">
        <f>SUMIFS('Annual_Cost'!$Q$2:$Q$313,'Annual_Cost'!$A$2:$A$313,A103,'Annual_Cost'!$B$2:$B$313,B103)</f>
      </c>
      <c r="D103" s="99" t="str">
        <f>SUMIFS('Annual_Cost'!$R$2:$R$313,'Annual_Cost'!$A$2:$A$313,A103,'Annual_Cost'!$B$2:$B$313,B103)</f>
      </c>
      <c r="E103" s="100" t="str">
        <f>SUMIFS('Annual_Cost'!$S$2:$S$313,'Annual_Cost'!$A$2:$A$313,A103,'Annual_Cost'!$B$2:$B$313,B103)</f>
      </c>
      <c r="F103" s="101" t="str">
        <f>SUMIFS('Annual_Cost'!$W$2:$W$313,'Annual_Cost'!$A$2:$A$313,A103,'Annual_Cost'!$B$2:$B$313,B103)</f>
      </c>
      <c r="G103" s="102" t="str">
        <f>SUMIFS($E$2:E103,$A$2:A103,A103)</f>
      </c>
      <c r="H103" s="103" t="str">
        <f>SUMIFS($F$2:F103,$A$2:A103,A103)</f>
      </c>
    </row>
    <row r="104">
      <c r="A104" t="s">
        <v>203</v>
      </c>
      <c r="B104" s="97" t="n">
        <v>2049</v>
      </c>
      <c r="C104" s="98" t="str">
        <f>SUMIFS('Annual_Cost'!$Q$2:$Q$313,'Annual_Cost'!$A$2:$A$313,A104,'Annual_Cost'!$B$2:$B$313,B104)</f>
      </c>
      <c r="D104" s="99" t="str">
        <f>SUMIFS('Annual_Cost'!$R$2:$R$313,'Annual_Cost'!$A$2:$A$313,A104,'Annual_Cost'!$B$2:$B$313,B104)</f>
      </c>
      <c r="E104" s="100" t="str">
        <f>SUMIFS('Annual_Cost'!$S$2:$S$313,'Annual_Cost'!$A$2:$A$313,A104,'Annual_Cost'!$B$2:$B$313,B104)</f>
      </c>
      <c r="F104" s="101" t="str">
        <f>SUMIFS('Annual_Cost'!$W$2:$W$313,'Annual_Cost'!$A$2:$A$313,A104,'Annual_Cost'!$B$2:$B$313,B104)</f>
      </c>
      <c r="G104" s="102" t="str">
        <f>SUMIFS($E$2:E104,$A$2:A104,A104)</f>
      </c>
      <c r="H104" s="103" t="str">
        <f>SUMIFS($F$2:F104,$A$2:A104,A104)</f>
      </c>
    </row>
    <row r="105">
      <c r="A105" t="s">
        <v>203</v>
      </c>
      <c r="B105" s="97" t="n">
        <v>2050</v>
      </c>
      <c r="C105" s="98" t="str">
        <f>SUMIFS('Annual_Cost'!$Q$2:$Q$313,'Annual_Cost'!$A$2:$A$313,A105,'Annual_Cost'!$B$2:$B$313,B105)</f>
      </c>
      <c r="D105" s="99" t="str">
        <f>SUMIFS('Annual_Cost'!$R$2:$R$313,'Annual_Cost'!$A$2:$A$313,A105,'Annual_Cost'!$B$2:$B$313,B105)</f>
      </c>
      <c r="E105" s="100" t="str">
        <f>SUMIFS('Annual_Cost'!$S$2:$S$313,'Annual_Cost'!$A$2:$A$313,A105,'Annual_Cost'!$B$2:$B$313,B105)</f>
      </c>
      <c r="F105" s="101" t="str">
        <f>SUMIFS('Annual_Cost'!$W$2:$W$313,'Annual_Cost'!$A$2:$A$313,A105,'Annual_Cost'!$B$2:$B$313,B105)</f>
      </c>
      <c r="G105" s="102" t="str">
        <f>SUMIFS($E$2:E105,$A$2:A105,A105)</f>
      </c>
      <c r="H105" s="103" t="str">
        <f>SUMIFS($F$2:F105,$A$2:A105,A105)</f>
      </c>
    </row>
    <row r="106">
      <c r="A106" t="s">
        <v>214</v>
      </c>
      <c r="B106" s="97" t="n">
        <v>2025</v>
      </c>
      <c r="C106" s="98" t="str">
        <f>SUMIFS('Annual_Cost'!$Q$2:$Q$313,'Annual_Cost'!$A$2:$A$313,A106,'Annual_Cost'!$B$2:$B$313,B106)</f>
      </c>
      <c r="D106" s="99" t="str">
        <f>SUMIFS('Annual_Cost'!$R$2:$R$313,'Annual_Cost'!$A$2:$A$313,A106,'Annual_Cost'!$B$2:$B$313,B106)</f>
      </c>
      <c r="E106" s="100" t="str">
        <f>SUMIFS('Annual_Cost'!$S$2:$S$313,'Annual_Cost'!$A$2:$A$313,A106,'Annual_Cost'!$B$2:$B$313,B106)</f>
      </c>
      <c r="F106" s="101" t="str">
        <f>SUMIFS('Annual_Cost'!$W$2:$W$313,'Annual_Cost'!$A$2:$A$313,A106,'Annual_Cost'!$B$2:$B$313,B106)</f>
      </c>
      <c r="G106" s="102" t="str">
        <f>SUMIFS($E$2:E106,$A$2:A106,A106)</f>
      </c>
      <c r="H106" s="103" t="str">
        <f>SUMIFS($F$2:F106,$A$2:A106,A106)</f>
      </c>
    </row>
    <row r="107">
      <c r="A107" t="s">
        <v>214</v>
      </c>
      <c r="B107" s="97" t="n">
        <v>2026</v>
      </c>
      <c r="C107" s="98" t="str">
        <f>SUMIFS('Annual_Cost'!$Q$2:$Q$313,'Annual_Cost'!$A$2:$A$313,A107,'Annual_Cost'!$B$2:$B$313,B107)</f>
      </c>
      <c r="D107" s="99" t="str">
        <f>SUMIFS('Annual_Cost'!$R$2:$R$313,'Annual_Cost'!$A$2:$A$313,A107,'Annual_Cost'!$B$2:$B$313,B107)</f>
      </c>
      <c r="E107" s="100" t="str">
        <f>SUMIFS('Annual_Cost'!$S$2:$S$313,'Annual_Cost'!$A$2:$A$313,A107,'Annual_Cost'!$B$2:$B$313,B107)</f>
      </c>
      <c r="F107" s="101" t="str">
        <f>SUMIFS('Annual_Cost'!$W$2:$W$313,'Annual_Cost'!$A$2:$A$313,A107,'Annual_Cost'!$B$2:$B$313,B107)</f>
      </c>
      <c r="G107" s="102" t="str">
        <f>SUMIFS($E$2:E107,$A$2:A107,A107)</f>
      </c>
      <c r="H107" s="103" t="str">
        <f>SUMIFS($F$2:F107,$A$2:A107,A107)</f>
      </c>
    </row>
    <row r="108">
      <c r="A108" t="s">
        <v>214</v>
      </c>
      <c r="B108" s="97" t="n">
        <v>2027</v>
      </c>
      <c r="C108" s="98" t="str">
        <f>SUMIFS('Annual_Cost'!$Q$2:$Q$313,'Annual_Cost'!$A$2:$A$313,A108,'Annual_Cost'!$B$2:$B$313,B108)</f>
      </c>
      <c r="D108" s="99" t="str">
        <f>SUMIFS('Annual_Cost'!$R$2:$R$313,'Annual_Cost'!$A$2:$A$313,A108,'Annual_Cost'!$B$2:$B$313,B108)</f>
      </c>
      <c r="E108" s="100" t="str">
        <f>SUMIFS('Annual_Cost'!$S$2:$S$313,'Annual_Cost'!$A$2:$A$313,A108,'Annual_Cost'!$B$2:$B$313,B108)</f>
      </c>
      <c r="F108" s="101" t="str">
        <f>SUMIFS('Annual_Cost'!$W$2:$W$313,'Annual_Cost'!$A$2:$A$313,A108,'Annual_Cost'!$B$2:$B$313,B108)</f>
      </c>
      <c r="G108" s="102" t="str">
        <f>SUMIFS($E$2:E108,$A$2:A108,A108)</f>
      </c>
      <c r="H108" s="103" t="str">
        <f>SUMIFS($F$2:F108,$A$2:A108,A108)</f>
      </c>
    </row>
    <row r="109">
      <c r="A109" t="s">
        <v>214</v>
      </c>
      <c r="B109" s="97" t="n">
        <v>2028</v>
      </c>
      <c r="C109" s="98" t="str">
        <f>SUMIFS('Annual_Cost'!$Q$2:$Q$313,'Annual_Cost'!$A$2:$A$313,A109,'Annual_Cost'!$B$2:$B$313,B109)</f>
      </c>
      <c r="D109" s="99" t="str">
        <f>SUMIFS('Annual_Cost'!$R$2:$R$313,'Annual_Cost'!$A$2:$A$313,A109,'Annual_Cost'!$B$2:$B$313,B109)</f>
      </c>
      <c r="E109" s="100" t="str">
        <f>SUMIFS('Annual_Cost'!$S$2:$S$313,'Annual_Cost'!$A$2:$A$313,A109,'Annual_Cost'!$B$2:$B$313,B109)</f>
      </c>
      <c r="F109" s="101" t="str">
        <f>SUMIFS('Annual_Cost'!$W$2:$W$313,'Annual_Cost'!$A$2:$A$313,A109,'Annual_Cost'!$B$2:$B$313,B109)</f>
      </c>
      <c r="G109" s="102" t="str">
        <f>SUMIFS($E$2:E109,$A$2:A109,A109)</f>
      </c>
      <c r="H109" s="103" t="str">
        <f>SUMIFS($F$2:F109,$A$2:A109,A109)</f>
      </c>
    </row>
    <row r="110">
      <c r="A110" t="s">
        <v>214</v>
      </c>
      <c r="B110" s="97" t="n">
        <v>2029</v>
      </c>
      <c r="C110" s="98" t="str">
        <f>SUMIFS('Annual_Cost'!$Q$2:$Q$313,'Annual_Cost'!$A$2:$A$313,A110,'Annual_Cost'!$B$2:$B$313,B110)</f>
      </c>
      <c r="D110" s="99" t="str">
        <f>SUMIFS('Annual_Cost'!$R$2:$R$313,'Annual_Cost'!$A$2:$A$313,A110,'Annual_Cost'!$B$2:$B$313,B110)</f>
      </c>
      <c r="E110" s="100" t="str">
        <f>SUMIFS('Annual_Cost'!$S$2:$S$313,'Annual_Cost'!$A$2:$A$313,A110,'Annual_Cost'!$B$2:$B$313,B110)</f>
      </c>
      <c r="F110" s="101" t="str">
        <f>SUMIFS('Annual_Cost'!$W$2:$W$313,'Annual_Cost'!$A$2:$A$313,A110,'Annual_Cost'!$B$2:$B$313,B110)</f>
      </c>
      <c r="G110" s="102" t="str">
        <f>SUMIFS($E$2:E110,$A$2:A110,A110)</f>
      </c>
      <c r="H110" s="103" t="str">
        <f>SUMIFS($F$2:F110,$A$2:A110,A110)</f>
      </c>
    </row>
    <row r="111">
      <c r="A111" t="s">
        <v>214</v>
      </c>
      <c r="B111" s="97" t="n">
        <v>2030</v>
      </c>
      <c r="C111" s="98" t="str">
        <f>SUMIFS('Annual_Cost'!$Q$2:$Q$313,'Annual_Cost'!$A$2:$A$313,A111,'Annual_Cost'!$B$2:$B$313,B111)</f>
      </c>
      <c r="D111" s="99" t="str">
        <f>SUMIFS('Annual_Cost'!$R$2:$R$313,'Annual_Cost'!$A$2:$A$313,A111,'Annual_Cost'!$B$2:$B$313,B111)</f>
      </c>
      <c r="E111" s="100" t="str">
        <f>SUMIFS('Annual_Cost'!$S$2:$S$313,'Annual_Cost'!$A$2:$A$313,A111,'Annual_Cost'!$B$2:$B$313,B111)</f>
      </c>
      <c r="F111" s="101" t="str">
        <f>SUMIFS('Annual_Cost'!$W$2:$W$313,'Annual_Cost'!$A$2:$A$313,A111,'Annual_Cost'!$B$2:$B$313,B111)</f>
      </c>
      <c r="G111" s="102" t="str">
        <f>SUMIFS($E$2:E111,$A$2:A111,A111)</f>
      </c>
      <c r="H111" s="103" t="str">
        <f>SUMIFS($F$2:F111,$A$2:A111,A111)</f>
      </c>
    </row>
    <row r="112">
      <c r="A112" t="s">
        <v>214</v>
      </c>
      <c r="B112" s="97" t="n">
        <v>2031</v>
      </c>
      <c r="C112" s="98" t="str">
        <f>SUMIFS('Annual_Cost'!$Q$2:$Q$313,'Annual_Cost'!$A$2:$A$313,A112,'Annual_Cost'!$B$2:$B$313,B112)</f>
      </c>
      <c r="D112" s="99" t="str">
        <f>SUMIFS('Annual_Cost'!$R$2:$R$313,'Annual_Cost'!$A$2:$A$313,A112,'Annual_Cost'!$B$2:$B$313,B112)</f>
      </c>
      <c r="E112" s="100" t="str">
        <f>SUMIFS('Annual_Cost'!$S$2:$S$313,'Annual_Cost'!$A$2:$A$313,A112,'Annual_Cost'!$B$2:$B$313,B112)</f>
      </c>
      <c r="F112" s="101" t="str">
        <f>SUMIFS('Annual_Cost'!$W$2:$W$313,'Annual_Cost'!$A$2:$A$313,A112,'Annual_Cost'!$B$2:$B$313,B112)</f>
      </c>
      <c r="G112" s="102" t="str">
        <f>SUMIFS($E$2:E112,$A$2:A112,A112)</f>
      </c>
      <c r="H112" s="103" t="str">
        <f>SUMIFS($F$2:F112,$A$2:A112,A112)</f>
      </c>
    </row>
    <row r="113">
      <c r="A113" t="s">
        <v>214</v>
      </c>
      <c r="B113" s="97" t="n">
        <v>2032</v>
      </c>
      <c r="C113" s="98" t="str">
        <f>SUMIFS('Annual_Cost'!$Q$2:$Q$313,'Annual_Cost'!$A$2:$A$313,A113,'Annual_Cost'!$B$2:$B$313,B113)</f>
      </c>
      <c r="D113" s="99" t="str">
        <f>SUMIFS('Annual_Cost'!$R$2:$R$313,'Annual_Cost'!$A$2:$A$313,A113,'Annual_Cost'!$B$2:$B$313,B113)</f>
      </c>
      <c r="E113" s="100" t="str">
        <f>SUMIFS('Annual_Cost'!$S$2:$S$313,'Annual_Cost'!$A$2:$A$313,A113,'Annual_Cost'!$B$2:$B$313,B113)</f>
      </c>
      <c r="F113" s="101" t="str">
        <f>SUMIFS('Annual_Cost'!$W$2:$W$313,'Annual_Cost'!$A$2:$A$313,A113,'Annual_Cost'!$B$2:$B$313,B113)</f>
      </c>
      <c r="G113" s="102" t="str">
        <f>SUMIFS($E$2:E113,$A$2:A113,A113)</f>
      </c>
      <c r="H113" s="103" t="str">
        <f>SUMIFS($F$2:F113,$A$2:A113,A113)</f>
      </c>
    </row>
    <row r="114">
      <c r="A114" t="s">
        <v>214</v>
      </c>
      <c r="B114" s="97" t="n">
        <v>2033</v>
      </c>
      <c r="C114" s="98" t="str">
        <f>SUMIFS('Annual_Cost'!$Q$2:$Q$313,'Annual_Cost'!$A$2:$A$313,A114,'Annual_Cost'!$B$2:$B$313,B114)</f>
      </c>
      <c r="D114" s="99" t="str">
        <f>SUMIFS('Annual_Cost'!$R$2:$R$313,'Annual_Cost'!$A$2:$A$313,A114,'Annual_Cost'!$B$2:$B$313,B114)</f>
      </c>
      <c r="E114" s="100" t="str">
        <f>SUMIFS('Annual_Cost'!$S$2:$S$313,'Annual_Cost'!$A$2:$A$313,A114,'Annual_Cost'!$B$2:$B$313,B114)</f>
      </c>
      <c r="F114" s="101" t="str">
        <f>SUMIFS('Annual_Cost'!$W$2:$W$313,'Annual_Cost'!$A$2:$A$313,A114,'Annual_Cost'!$B$2:$B$313,B114)</f>
      </c>
      <c r="G114" s="102" t="str">
        <f>SUMIFS($E$2:E114,$A$2:A114,A114)</f>
      </c>
      <c r="H114" s="103" t="str">
        <f>SUMIFS($F$2:F114,$A$2:A114,A114)</f>
      </c>
    </row>
    <row r="115">
      <c r="A115" t="s">
        <v>214</v>
      </c>
      <c r="B115" s="97" t="n">
        <v>2034</v>
      </c>
      <c r="C115" s="98" t="str">
        <f>SUMIFS('Annual_Cost'!$Q$2:$Q$313,'Annual_Cost'!$A$2:$A$313,A115,'Annual_Cost'!$B$2:$B$313,B115)</f>
      </c>
      <c r="D115" s="99" t="str">
        <f>SUMIFS('Annual_Cost'!$R$2:$R$313,'Annual_Cost'!$A$2:$A$313,A115,'Annual_Cost'!$B$2:$B$313,B115)</f>
      </c>
      <c r="E115" s="100" t="str">
        <f>SUMIFS('Annual_Cost'!$S$2:$S$313,'Annual_Cost'!$A$2:$A$313,A115,'Annual_Cost'!$B$2:$B$313,B115)</f>
      </c>
      <c r="F115" s="101" t="str">
        <f>SUMIFS('Annual_Cost'!$W$2:$W$313,'Annual_Cost'!$A$2:$A$313,A115,'Annual_Cost'!$B$2:$B$313,B115)</f>
      </c>
      <c r="G115" s="102" t="str">
        <f>SUMIFS($E$2:E115,$A$2:A115,A115)</f>
      </c>
      <c r="H115" s="103" t="str">
        <f>SUMIFS($F$2:F115,$A$2:A115,A115)</f>
      </c>
    </row>
    <row r="116">
      <c r="A116" t="s">
        <v>214</v>
      </c>
      <c r="B116" s="97" t="n">
        <v>2035</v>
      </c>
      <c r="C116" s="98" t="str">
        <f>SUMIFS('Annual_Cost'!$Q$2:$Q$313,'Annual_Cost'!$A$2:$A$313,A116,'Annual_Cost'!$B$2:$B$313,B116)</f>
      </c>
      <c r="D116" s="99" t="str">
        <f>SUMIFS('Annual_Cost'!$R$2:$R$313,'Annual_Cost'!$A$2:$A$313,A116,'Annual_Cost'!$B$2:$B$313,B116)</f>
      </c>
      <c r="E116" s="100" t="str">
        <f>SUMIFS('Annual_Cost'!$S$2:$S$313,'Annual_Cost'!$A$2:$A$313,A116,'Annual_Cost'!$B$2:$B$313,B116)</f>
      </c>
      <c r="F116" s="101" t="str">
        <f>SUMIFS('Annual_Cost'!$W$2:$W$313,'Annual_Cost'!$A$2:$A$313,A116,'Annual_Cost'!$B$2:$B$313,B116)</f>
      </c>
      <c r="G116" s="102" t="str">
        <f>SUMIFS($E$2:E116,$A$2:A116,A116)</f>
      </c>
      <c r="H116" s="103" t="str">
        <f>SUMIFS($F$2:F116,$A$2:A116,A116)</f>
      </c>
    </row>
    <row r="117">
      <c r="A117" t="s">
        <v>214</v>
      </c>
      <c r="B117" s="97" t="n">
        <v>2036</v>
      </c>
      <c r="C117" s="98" t="str">
        <f>SUMIFS('Annual_Cost'!$Q$2:$Q$313,'Annual_Cost'!$A$2:$A$313,A117,'Annual_Cost'!$B$2:$B$313,B117)</f>
      </c>
      <c r="D117" s="99" t="str">
        <f>SUMIFS('Annual_Cost'!$R$2:$R$313,'Annual_Cost'!$A$2:$A$313,A117,'Annual_Cost'!$B$2:$B$313,B117)</f>
      </c>
      <c r="E117" s="100" t="str">
        <f>SUMIFS('Annual_Cost'!$S$2:$S$313,'Annual_Cost'!$A$2:$A$313,A117,'Annual_Cost'!$B$2:$B$313,B117)</f>
      </c>
      <c r="F117" s="101" t="str">
        <f>SUMIFS('Annual_Cost'!$W$2:$W$313,'Annual_Cost'!$A$2:$A$313,A117,'Annual_Cost'!$B$2:$B$313,B117)</f>
      </c>
      <c r="G117" s="102" t="str">
        <f>SUMIFS($E$2:E117,$A$2:A117,A117)</f>
      </c>
      <c r="H117" s="103" t="str">
        <f>SUMIFS($F$2:F117,$A$2:A117,A117)</f>
      </c>
    </row>
    <row r="118">
      <c r="A118" t="s">
        <v>214</v>
      </c>
      <c r="B118" s="97" t="n">
        <v>2037</v>
      </c>
      <c r="C118" s="98" t="str">
        <f>SUMIFS('Annual_Cost'!$Q$2:$Q$313,'Annual_Cost'!$A$2:$A$313,A118,'Annual_Cost'!$B$2:$B$313,B118)</f>
      </c>
      <c r="D118" s="99" t="str">
        <f>SUMIFS('Annual_Cost'!$R$2:$R$313,'Annual_Cost'!$A$2:$A$313,A118,'Annual_Cost'!$B$2:$B$313,B118)</f>
      </c>
      <c r="E118" s="100" t="str">
        <f>SUMIFS('Annual_Cost'!$S$2:$S$313,'Annual_Cost'!$A$2:$A$313,A118,'Annual_Cost'!$B$2:$B$313,B118)</f>
      </c>
      <c r="F118" s="101" t="str">
        <f>SUMIFS('Annual_Cost'!$W$2:$W$313,'Annual_Cost'!$A$2:$A$313,A118,'Annual_Cost'!$B$2:$B$313,B118)</f>
      </c>
      <c r="G118" s="102" t="str">
        <f>SUMIFS($E$2:E118,$A$2:A118,A118)</f>
      </c>
      <c r="H118" s="103" t="str">
        <f>SUMIFS($F$2:F118,$A$2:A118,A118)</f>
      </c>
    </row>
    <row r="119">
      <c r="A119" t="s">
        <v>214</v>
      </c>
      <c r="B119" s="97" t="n">
        <v>2038</v>
      </c>
      <c r="C119" s="98" t="str">
        <f>SUMIFS('Annual_Cost'!$Q$2:$Q$313,'Annual_Cost'!$A$2:$A$313,A119,'Annual_Cost'!$B$2:$B$313,B119)</f>
      </c>
      <c r="D119" s="99" t="str">
        <f>SUMIFS('Annual_Cost'!$R$2:$R$313,'Annual_Cost'!$A$2:$A$313,A119,'Annual_Cost'!$B$2:$B$313,B119)</f>
      </c>
      <c r="E119" s="100" t="str">
        <f>SUMIFS('Annual_Cost'!$S$2:$S$313,'Annual_Cost'!$A$2:$A$313,A119,'Annual_Cost'!$B$2:$B$313,B119)</f>
      </c>
      <c r="F119" s="101" t="str">
        <f>SUMIFS('Annual_Cost'!$W$2:$W$313,'Annual_Cost'!$A$2:$A$313,A119,'Annual_Cost'!$B$2:$B$313,B119)</f>
      </c>
      <c r="G119" s="102" t="str">
        <f>SUMIFS($E$2:E119,$A$2:A119,A119)</f>
      </c>
      <c r="H119" s="103" t="str">
        <f>SUMIFS($F$2:F119,$A$2:A119,A119)</f>
      </c>
    </row>
    <row r="120">
      <c r="A120" t="s">
        <v>214</v>
      </c>
      <c r="B120" s="97" t="n">
        <v>2039</v>
      </c>
      <c r="C120" s="98" t="str">
        <f>SUMIFS('Annual_Cost'!$Q$2:$Q$313,'Annual_Cost'!$A$2:$A$313,A120,'Annual_Cost'!$B$2:$B$313,B120)</f>
      </c>
      <c r="D120" s="99" t="str">
        <f>SUMIFS('Annual_Cost'!$R$2:$R$313,'Annual_Cost'!$A$2:$A$313,A120,'Annual_Cost'!$B$2:$B$313,B120)</f>
      </c>
      <c r="E120" s="100" t="str">
        <f>SUMIFS('Annual_Cost'!$S$2:$S$313,'Annual_Cost'!$A$2:$A$313,A120,'Annual_Cost'!$B$2:$B$313,B120)</f>
      </c>
      <c r="F120" s="101" t="str">
        <f>SUMIFS('Annual_Cost'!$W$2:$W$313,'Annual_Cost'!$A$2:$A$313,A120,'Annual_Cost'!$B$2:$B$313,B120)</f>
      </c>
      <c r="G120" s="102" t="str">
        <f>SUMIFS($E$2:E120,$A$2:A120,A120)</f>
      </c>
      <c r="H120" s="103" t="str">
        <f>SUMIFS($F$2:F120,$A$2:A120,A120)</f>
      </c>
    </row>
    <row r="121">
      <c r="A121" t="s">
        <v>214</v>
      </c>
      <c r="B121" s="97" t="n">
        <v>2040</v>
      </c>
      <c r="C121" s="98" t="str">
        <f>SUMIFS('Annual_Cost'!$Q$2:$Q$313,'Annual_Cost'!$A$2:$A$313,A121,'Annual_Cost'!$B$2:$B$313,B121)</f>
      </c>
      <c r="D121" s="99" t="str">
        <f>SUMIFS('Annual_Cost'!$R$2:$R$313,'Annual_Cost'!$A$2:$A$313,A121,'Annual_Cost'!$B$2:$B$313,B121)</f>
      </c>
      <c r="E121" s="100" t="str">
        <f>SUMIFS('Annual_Cost'!$S$2:$S$313,'Annual_Cost'!$A$2:$A$313,A121,'Annual_Cost'!$B$2:$B$313,B121)</f>
      </c>
      <c r="F121" s="101" t="str">
        <f>SUMIFS('Annual_Cost'!$W$2:$W$313,'Annual_Cost'!$A$2:$A$313,A121,'Annual_Cost'!$B$2:$B$313,B121)</f>
      </c>
      <c r="G121" s="102" t="str">
        <f>SUMIFS($E$2:E121,$A$2:A121,A121)</f>
      </c>
      <c r="H121" s="103" t="str">
        <f>SUMIFS($F$2:F121,$A$2:A121,A121)</f>
      </c>
    </row>
    <row r="122">
      <c r="A122" t="s">
        <v>214</v>
      </c>
      <c r="B122" s="97" t="n">
        <v>2041</v>
      </c>
      <c r="C122" s="98" t="str">
        <f>SUMIFS('Annual_Cost'!$Q$2:$Q$313,'Annual_Cost'!$A$2:$A$313,A122,'Annual_Cost'!$B$2:$B$313,B122)</f>
      </c>
      <c r="D122" s="99" t="str">
        <f>SUMIFS('Annual_Cost'!$R$2:$R$313,'Annual_Cost'!$A$2:$A$313,A122,'Annual_Cost'!$B$2:$B$313,B122)</f>
      </c>
      <c r="E122" s="100" t="str">
        <f>SUMIFS('Annual_Cost'!$S$2:$S$313,'Annual_Cost'!$A$2:$A$313,A122,'Annual_Cost'!$B$2:$B$313,B122)</f>
      </c>
      <c r="F122" s="101" t="str">
        <f>SUMIFS('Annual_Cost'!$W$2:$W$313,'Annual_Cost'!$A$2:$A$313,A122,'Annual_Cost'!$B$2:$B$313,B122)</f>
      </c>
      <c r="G122" s="102" t="str">
        <f>SUMIFS($E$2:E122,$A$2:A122,A122)</f>
      </c>
      <c r="H122" s="103" t="str">
        <f>SUMIFS($F$2:F122,$A$2:A122,A122)</f>
      </c>
    </row>
    <row r="123">
      <c r="A123" t="s">
        <v>214</v>
      </c>
      <c r="B123" s="97" t="n">
        <v>2042</v>
      </c>
      <c r="C123" s="98" t="str">
        <f>SUMIFS('Annual_Cost'!$Q$2:$Q$313,'Annual_Cost'!$A$2:$A$313,A123,'Annual_Cost'!$B$2:$B$313,B123)</f>
      </c>
      <c r="D123" s="99" t="str">
        <f>SUMIFS('Annual_Cost'!$R$2:$R$313,'Annual_Cost'!$A$2:$A$313,A123,'Annual_Cost'!$B$2:$B$313,B123)</f>
      </c>
      <c r="E123" s="100" t="str">
        <f>SUMIFS('Annual_Cost'!$S$2:$S$313,'Annual_Cost'!$A$2:$A$313,A123,'Annual_Cost'!$B$2:$B$313,B123)</f>
      </c>
      <c r="F123" s="101" t="str">
        <f>SUMIFS('Annual_Cost'!$W$2:$W$313,'Annual_Cost'!$A$2:$A$313,A123,'Annual_Cost'!$B$2:$B$313,B123)</f>
      </c>
      <c r="G123" s="102" t="str">
        <f>SUMIFS($E$2:E123,$A$2:A123,A123)</f>
      </c>
      <c r="H123" s="103" t="str">
        <f>SUMIFS($F$2:F123,$A$2:A123,A123)</f>
      </c>
    </row>
    <row r="124">
      <c r="A124" t="s">
        <v>214</v>
      </c>
      <c r="B124" s="97" t="n">
        <v>2043</v>
      </c>
      <c r="C124" s="98" t="str">
        <f>SUMIFS('Annual_Cost'!$Q$2:$Q$313,'Annual_Cost'!$A$2:$A$313,A124,'Annual_Cost'!$B$2:$B$313,B124)</f>
      </c>
      <c r="D124" s="99" t="str">
        <f>SUMIFS('Annual_Cost'!$R$2:$R$313,'Annual_Cost'!$A$2:$A$313,A124,'Annual_Cost'!$B$2:$B$313,B124)</f>
      </c>
      <c r="E124" s="100" t="str">
        <f>SUMIFS('Annual_Cost'!$S$2:$S$313,'Annual_Cost'!$A$2:$A$313,A124,'Annual_Cost'!$B$2:$B$313,B124)</f>
      </c>
      <c r="F124" s="101" t="str">
        <f>SUMIFS('Annual_Cost'!$W$2:$W$313,'Annual_Cost'!$A$2:$A$313,A124,'Annual_Cost'!$B$2:$B$313,B124)</f>
      </c>
      <c r="G124" s="102" t="str">
        <f>SUMIFS($E$2:E124,$A$2:A124,A124)</f>
      </c>
      <c r="H124" s="103" t="str">
        <f>SUMIFS($F$2:F124,$A$2:A124,A124)</f>
      </c>
    </row>
    <row r="125">
      <c r="A125" t="s">
        <v>214</v>
      </c>
      <c r="B125" s="97" t="n">
        <v>2044</v>
      </c>
      <c r="C125" s="98" t="str">
        <f>SUMIFS('Annual_Cost'!$Q$2:$Q$313,'Annual_Cost'!$A$2:$A$313,A125,'Annual_Cost'!$B$2:$B$313,B125)</f>
      </c>
      <c r="D125" s="99" t="str">
        <f>SUMIFS('Annual_Cost'!$R$2:$R$313,'Annual_Cost'!$A$2:$A$313,A125,'Annual_Cost'!$B$2:$B$313,B125)</f>
      </c>
      <c r="E125" s="100" t="str">
        <f>SUMIFS('Annual_Cost'!$S$2:$S$313,'Annual_Cost'!$A$2:$A$313,A125,'Annual_Cost'!$B$2:$B$313,B125)</f>
      </c>
      <c r="F125" s="101" t="str">
        <f>SUMIFS('Annual_Cost'!$W$2:$W$313,'Annual_Cost'!$A$2:$A$313,A125,'Annual_Cost'!$B$2:$B$313,B125)</f>
      </c>
      <c r="G125" s="102" t="str">
        <f>SUMIFS($E$2:E125,$A$2:A125,A125)</f>
      </c>
      <c r="H125" s="103" t="str">
        <f>SUMIFS($F$2:F125,$A$2:A125,A125)</f>
      </c>
    </row>
    <row r="126">
      <c r="A126" t="s">
        <v>214</v>
      </c>
      <c r="B126" s="97" t="n">
        <v>2045</v>
      </c>
      <c r="C126" s="98" t="str">
        <f>SUMIFS('Annual_Cost'!$Q$2:$Q$313,'Annual_Cost'!$A$2:$A$313,A126,'Annual_Cost'!$B$2:$B$313,B126)</f>
      </c>
      <c r="D126" s="99" t="str">
        <f>SUMIFS('Annual_Cost'!$R$2:$R$313,'Annual_Cost'!$A$2:$A$313,A126,'Annual_Cost'!$B$2:$B$313,B126)</f>
      </c>
      <c r="E126" s="100" t="str">
        <f>SUMIFS('Annual_Cost'!$S$2:$S$313,'Annual_Cost'!$A$2:$A$313,A126,'Annual_Cost'!$B$2:$B$313,B126)</f>
      </c>
      <c r="F126" s="101" t="str">
        <f>SUMIFS('Annual_Cost'!$W$2:$W$313,'Annual_Cost'!$A$2:$A$313,A126,'Annual_Cost'!$B$2:$B$313,B126)</f>
      </c>
      <c r="G126" s="102" t="str">
        <f>SUMIFS($E$2:E126,$A$2:A126,A126)</f>
      </c>
      <c r="H126" s="103" t="str">
        <f>SUMIFS($F$2:F126,$A$2:A126,A126)</f>
      </c>
    </row>
    <row r="127">
      <c r="A127" t="s">
        <v>214</v>
      </c>
      <c r="B127" s="97" t="n">
        <v>2046</v>
      </c>
      <c r="C127" s="98" t="str">
        <f>SUMIFS('Annual_Cost'!$Q$2:$Q$313,'Annual_Cost'!$A$2:$A$313,A127,'Annual_Cost'!$B$2:$B$313,B127)</f>
      </c>
      <c r="D127" s="99" t="str">
        <f>SUMIFS('Annual_Cost'!$R$2:$R$313,'Annual_Cost'!$A$2:$A$313,A127,'Annual_Cost'!$B$2:$B$313,B127)</f>
      </c>
      <c r="E127" s="100" t="str">
        <f>SUMIFS('Annual_Cost'!$S$2:$S$313,'Annual_Cost'!$A$2:$A$313,A127,'Annual_Cost'!$B$2:$B$313,B127)</f>
      </c>
      <c r="F127" s="101" t="str">
        <f>SUMIFS('Annual_Cost'!$W$2:$W$313,'Annual_Cost'!$A$2:$A$313,A127,'Annual_Cost'!$B$2:$B$313,B127)</f>
      </c>
      <c r="G127" s="102" t="str">
        <f>SUMIFS($E$2:E127,$A$2:A127,A127)</f>
      </c>
      <c r="H127" s="103" t="str">
        <f>SUMIFS($F$2:F127,$A$2:A127,A127)</f>
      </c>
    </row>
    <row r="128">
      <c r="A128" t="s">
        <v>214</v>
      </c>
      <c r="B128" s="97" t="n">
        <v>2047</v>
      </c>
      <c r="C128" s="98" t="str">
        <f>SUMIFS('Annual_Cost'!$Q$2:$Q$313,'Annual_Cost'!$A$2:$A$313,A128,'Annual_Cost'!$B$2:$B$313,B128)</f>
      </c>
      <c r="D128" s="99" t="str">
        <f>SUMIFS('Annual_Cost'!$R$2:$R$313,'Annual_Cost'!$A$2:$A$313,A128,'Annual_Cost'!$B$2:$B$313,B128)</f>
      </c>
      <c r="E128" s="100" t="str">
        <f>SUMIFS('Annual_Cost'!$S$2:$S$313,'Annual_Cost'!$A$2:$A$313,A128,'Annual_Cost'!$B$2:$B$313,B128)</f>
      </c>
      <c r="F128" s="101" t="str">
        <f>SUMIFS('Annual_Cost'!$W$2:$W$313,'Annual_Cost'!$A$2:$A$313,A128,'Annual_Cost'!$B$2:$B$313,B128)</f>
      </c>
      <c r="G128" s="102" t="str">
        <f>SUMIFS($E$2:E128,$A$2:A128,A128)</f>
      </c>
      <c r="H128" s="103" t="str">
        <f>SUMIFS($F$2:F128,$A$2:A128,A128)</f>
      </c>
    </row>
    <row r="129">
      <c r="A129" t="s">
        <v>214</v>
      </c>
      <c r="B129" s="97" t="n">
        <v>2048</v>
      </c>
      <c r="C129" s="98" t="str">
        <f>SUMIFS('Annual_Cost'!$Q$2:$Q$313,'Annual_Cost'!$A$2:$A$313,A129,'Annual_Cost'!$B$2:$B$313,B129)</f>
      </c>
      <c r="D129" s="99" t="str">
        <f>SUMIFS('Annual_Cost'!$R$2:$R$313,'Annual_Cost'!$A$2:$A$313,A129,'Annual_Cost'!$B$2:$B$313,B129)</f>
      </c>
      <c r="E129" s="100" t="str">
        <f>SUMIFS('Annual_Cost'!$S$2:$S$313,'Annual_Cost'!$A$2:$A$313,A129,'Annual_Cost'!$B$2:$B$313,B129)</f>
      </c>
      <c r="F129" s="101" t="str">
        <f>SUMIFS('Annual_Cost'!$W$2:$W$313,'Annual_Cost'!$A$2:$A$313,A129,'Annual_Cost'!$B$2:$B$313,B129)</f>
      </c>
      <c r="G129" s="102" t="str">
        <f>SUMIFS($E$2:E129,$A$2:A129,A129)</f>
      </c>
      <c r="H129" s="103" t="str">
        <f>SUMIFS($F$2:F129,$A$2:A129,A129)</f>
      </c>
    </row>
    <row r="130">
      <c r="A130" t="s">
        <v>214</v>
      </c>
      <c r="B130" s="97" t="n">
        <v>2049</v>
      </c>
      <c r="C130" s="98" t="str">
        <f>SUMIFS('Annual_Cost'!$Q$2:$Q$313,'Annual_Cost'!$A$2:$A$313,A130,'Annual_Cost'!$B$2:$B$313,B130)</f>
      </c>
      <c r="D130" s="99" t="str">
        <f>SUMIFS('Annual_Cost'!$R$2:$R$313,'Annual_Cost'!$A$2:$A$313,A130,'Annual_Cost'!$B$2:$B$313,B130)</f>
      </c>
      <c r="E130" s="100" t="str">
        <f>SUMIFS('Annual_Cost'!$S$2:$S$313,'Annual_Cost'!$A$2:$A$313,A130,'Annual_Cost'!$B$2:$B$313,B130)</f>
      </c>
      <c r="F130" s="101" t="str">
        <f>SUMIFS('Annual_Cost'!$W$2:$W$313,'Annual_Cost'!$A$2:$A$313,A130,'Annual_Cost'!$B$2:$B$313,B130)</f>
      </c>
      <c r="G130" s="102" t="str">
        <f>SUMIFS($E$2:E130,$A$2:A130,A130)</f>
      </c>
      <c r="H130" s="103" t="str">
        <f>SUMIFS($F$2:F130,$A$2:A130,A130)</f>
      </c>
    </row>
    <row r="131">
      <c r="A131" t="s">
        <v>214</v>
      </c>
      <c r="B131" s="97" t="n">
        <v>2050</v>
      </c>
      <c r="C131" s="98" t="str">
        <f>SUMIFS('Annual_Cost'!$Q$2:$Q$313,'Annual_Cost'!$A$2:$A$313,A131,'Annual_Cost'!$B$2:$B$313,B131)</f>
      </c>
      <c r="D131" s="99" t="str">
        <f>SUMIFS('Annual_Cost'!$R$2:$R$313,'Annual_Cost'!$A$2:$A$313,A131,'Annual_Cost'!$B$2:$B$313,B131)</f>
      </c>
      <c r="E131" s="100" t="str">
        <f>SUMIFS('Annual_Cost'!$S$2:$S$313,'Annual_Cost'!$A$2:$A$313,A131,'Annual_Cost'!$B$2:$B$313,B131)</f>
      </c>
      <c r="F131" s="101" t="str">
        <f>SUMIFS('Annual_Cost'!$W$2:$W$313,'Annual_Cost'!$A$2:$A$313,A131,'Annual_Cost'!$B$2:$B$313,B131)</f>
      </c>
      <c r="G131" s="102" t="str">
        <f>SUMIFS($E$2:E131,$A$2:A131,A131)</f>
      </c>
      <c r="H131" s="103" t="str">
        <f>SUMIFS($F$2:F131,$A$2:A131,A131)</f>
      </c>
    </row>
    <row r="132">
      <c r="A132" t="s">
        <v>225</v>
      </c>
      <c r="B132" s="97" t="n">
        <v>2025</v>
      </c>
      <c r="C132" s="98" t="str">
        <f>SUMIFS('Annual_Cost'!$Q$2:$Q$313,'Annual_Cost'!$A$2:$A$313,A132,'Annual_Cost'!$B$2:$B$313,B132)</f>
      </c>
      <c r="D132" s="99" t="str">
        <f>SUMIFS('Annual_Cost'!$R$2:$R$313,'Annual_Cost'!$A$2:$A$313,A132,'Annual_Cost'!$B$2:$B$313,B132)</f>
      </c>
      <c r="E132" s="100" t="str">
        <f>SUMIFS('Annual_Cost'!$S$2:$S$313,'Annual_Cost'!$A$2:$A$313,A132,'Annual_Cost'!$B$2:$B$313,B132)</f>
      </c>
      <c r="F132" s="101" t="str">
        <f>SUMIFS('Annual_Cost'!$W$2:$W$313,'Annual_Cost'!$A$2:$A$313,A132,'Annual_Cost'!$B$2:$B$313,B132)</f>
      </c>
      <c r="G132" s="102" t="str">
        <f>SUMIFS($E$2:E132,$A$2:A132,A132)</f>
      </c>
      <c r="H132" s="103" t="str">
        <f>SUMIFS($F$2:F132,$A$2:A132,A132)</f>
      </c>
    </row>
    <row r="133">
      <c r="A133" t="s">
        <v>225</v>
      </c>
      <c r="B133" s="97" t="n">
        <v>2026</v>
      </c>
      <c r="C133" s="98" t="str">
        <f>SUMIFS('Annual_Cost'!$Q$2:$Q$313,'Annual_Cost'!$A$2:$A$313,A133,'Annual_Cost'!$B$2:$B$313,B133)</f>
      </c>
      <c r="D133" s="99" t="str">
        <f>SUMIFS('Annual_Cost'!$R$2:$R$313,'Annual_Cost'!$A$2:$A$313,A133,'Annual_Cost'!$B$2:$B$313,B133)</f>
      </c>
      <c r="E133" s="100" t="str">
        <f>SUMIFS('Annual_Cost'!$S$2:$S$313,'Annual_Cost'!$A$2:$A$313,A133,'Annual_Cost'!$B$2:$B$313,B133)</f>
      </c>
      <c r="F133" s="101" t="str">
        <f>SUMIFS('Annual_Cost'!$W$2:$W$313,'Annual_Cost'!$A$2:$A$313,A133,'Annual_Cost'!$B$2:$B$313,B133)</f>
      </c>
      <c r="G133" s="102" t="str">
        <f>SUMIFS($E$2:E133,$A$2:A133,A133)</f>
      </c>
      <c r="H133" s="103" t="str">
        <f>SUMIFS($F$2:F133,$A$2:A133,A133)</f>
      </c>
    </row>
    <row r="134">
      <c r="A134" t="s">
        <v>225</v>
      </c>
      <c r="B134" s="97" t="n">
        <v>2027</v>
      </c>
      <c r="C134" s="98" t="str">
        <f>SUMIFS('Annual_Cost'!$Q$2:$Q$313,'Annual_Cost'!$A$2:$A$313,A134,'Annual_Cost'!$B$2:$B$313,B134)</f>
      </c>
      <c r="D134" s="99" t="str">
        <f>SUMIFS('Annual_Cost'!$R$2:$R$313,'Annual_Cost'!$A$2:$A$313,A134,'Annual_Cost'!$B$2:$B$313,B134)</f>
      </c>
      <c r="E134" s="100" t="str">
        <f>SUMIFS('Annual_Cost'!$S$2:$S$313,'Annual_Cost'!$A$2:$A$313,A134,'Annual_Cost'!$B$2:$B$313,B134)</f>
      </c>
      <c r="F134" s="101" t="str">
        <f>SUMIFS('Annual_Cost'!$W$2:$W$313,'Annual_Cost'!$A$2:$A$313,A134,'Annual_Cost'!$B$2:$B$313,B134)</f>
      </c>
      <c r="G134" s="102" t="str">
        <f>SUMIFS($E$2:E134,$A$2:A134,A134)</f>
      </c>
      <c r="H134" s="103" t="str">
        <f>SUMIFS($F$2:F134,$A$2:A134,A134)</f>
      </c>
    </row>
    <row r="135">
      <c r="A135" t="s">
        <v>225</v>
      </c>
      <c r="B135" s="97" t="n">
        <v>2028</v>
      </c>
      <c r="C135" s="98" t="str">
        <f>SUMIFS('Annual_Cost'!$Q$2:$Q$313,'Annual_Cost'!$A$2:$A$313,A135,'Annual_Cost'!$B$2:$B$313,B135)</f>
      </c>
      <c r="D135" s="99" t="str">
        <f>SUMIFS('Annual_Cost'!$R$2:$R$313,'Annual_Cost'!$A$2:$A$313,A135,'Annual_Cost'!$B$2:$B$313,B135)</f>
      </c>
      <c r="E135" s="100" t="str">
        <f>SUMIFS('Annual_Cost'!$S$2:$S$313,'Annual_Cost'!$A$2:$A$313,A135,'Annual_Cost'!$B$2:$B$313,B135)</f>
      </c>
      <c r="F135" s="101" t="str">
        <f>SUMIFS('Annual_Cost'!$W$2:$W$313,'Annual_Cost'!$A$2:$A$313,A135,'Annual_Cost'!$B$2:$B$313,B135)</f>
      </c>
      <c r="G135" s="102" t="str">
        <f>SUMIFS($E$2:E135,$A$2:A135,A135)</f>
      </c>
      <c r="H135" s="103" t="str">
        <f>SUMIFS($F$2:F135,$A$2:A135,A135)</f>
      </c>
    </row>
    <row r="136">
      <c r="A136" t="s">
        <v>225</v>
      </c>
      <c r="B136" s="97" t="n">
        <v>2029</v>
      </c>
      <c r="C136" s="98" t="str">
        <f>SUMIFS('Annual_Cost'!$Q$2:$Q$313,'Annual_Cost'!$A$2:$A$313,A136,'Annual_Cost'!$B$2:$B$313,B136)</f>
      </c>
      <c r="D136" s="99" t="str">
        <f>SUMIFS('Annual_Cost'!$R$2:$R$313,'Annual_Cost'!$A$2:$A$313,A136,'Annual_Cost'!$B$2:$B$313,B136)</f>
      </c>
      <c r="E136" s="100" t="str">
        <f>SUMIFS('Annual_Cost'!$S$2:$S$313,'Annual_Cost'!$A$2:$A$313,A136,'Annual_Cost'!$B$2:$B$313,B136)</f>
      </c>
      <c r="F136" s="101" t="str">
        <f>SUMIFS('Annual_Cost'!$W$2:$W$313,'Annual_Cost'!$A$2:$A$313,A136,'Annual_Cost'!$B$2:$B$313,B136)</f>
      </c>
      <c r="G136" s="102" t="str">
        <f>SUMIFS($E$2:E136,$A$2:A136,A136)</f>
      </c>
      <c r="H136" s="103" t="str">
        <f>SUMIFS($F$2:F136,$A$2:A136,A136)</f>
      </c>
    </row>
    <row r="137">
      <c r="A137" t="s">
        <v>225</v>
      </c>
      <c r="B137" s="97" t="n">
        <v>2030</v>
      </c>
      <c r="C137" s="98" t="str">
        <f>SUMIFS('Annual_Cost'!$Q$2:$Q$313,'Annual_Cost'!$A$2:$A$313,A137,'Annual_Cost'!$B$2:$B$313,B137)</f>
      </c>
      <c r="D137" s="99" t="str">
        <f>SUMIFS('Annual_Cost'!$R$2:$R$313,'Annual_Cost'!$A$2:$A$313,A137,'Annual_Cost'!$B$2:$B$313,B137)</f>
      </c>
      <c r="E137" s="100" t="str">
        <f>SUMIFS('Annual_Cost'!$S$2:$S$313,'Annual_Cost'!$A$2:$A$313,A137,'Annual_Cost'!$B$2:$B$313,B137)</f>
      </c>
      <c r="F137" s="101" t="str">
        <f>SUMIFS('Annual_Cost'!$W$2:$W$313,'Annual_Cost'!$A$2:$A$313,A137,'Annual_Cost'!$B$2:$B$313,B137)</f>
      </c>
      <c r="G137" s="102" t="str">
        <f>SUMIFS($E$2:E137,$A$2:A137,A137)</f>
      </c>
      <c r="H137" s="103" t="str">
        <f>SUMIFS($F$2:F137,$A$2:A137,A137)</f>
      </c>
    </row>
    <row r="138">
      <c r="A138" t="s">
        <v>225</v>
      </c>
      <c r="B138" s="97" t="n">
        <v>2031</v>
      </c>
      <c r="C138" s="98" t="str">
        <f>SUMIFS('Annual_Cost'!$Q$2:$Q$313,'Annual_Cost'!$A$2:$A$313,A138,'Annual_Cost'!$B$2:$B$313,B138)</f>
      </c>
      <c r="D138" s="99" t="str">
        <f>SUMIFS('Annual_Cost'!$R$2:$R$313,'Annual_Cost'!$A$2:$A$313,A138,'Annual_Cost'!$B$2:$B$313,B138)</f>
      </c>
      <c r="E138" s="100" t="str">
        <f>SUMIFS('Annual_Cost'!$S$2:$S$313,'Annual_Cost'!$A$2:$A$313,A138,'Annual_Cost'!$B$2:$B$313,B138)</f>
      </c>
      <c r="F138" s="101" t="str">
        <f>SUMIFS('Annual_Cost'!$W$2:$W$313,'Annual_Cost'!$A$2:$A$313,A138,'Annual_Cost'!$B$2:$B$313,B138)</f>
      </c>
      <c r="G138" s="102" t="str">
        <f>SUMIFS($E$2:E138,$A$2:A138,A138)</f>
      </c>
      <c r="H138" s="103" t="str">
        <f>SUMIFS($F$2:F138,$A$2:A138,A138)</f>
      </c>
    </row>
    <row r="139">
      <c r="A139" t="s">
        <v>225</v>
      </c>
      <c r="B139" s="97" t="n">
        <v>2032</v>
      </c>
      <c r="C139" s="98" t="str">
        <f>SUMIFS('Annual_Cost'!$Q$2:$Q$313,'Annual_Cost'!$A$2:$A$313,A139,'Annual_Cost'!$B$2:$B$313,B139)</f>
      </c>
      <c r="D139" s="99" t="str">
        <f>SUMIFS('Annual_Cost'!$R$2:$R$313,'Annual_Cost'!$A$2:$A$313,A139,'Annual_Cost'!$B$2:$B$313,B139)</f>
      </c>
      <c r="E139" s="100" t="str">
        <f>SUMIFS('Annual_Cost'!$S$2:$S$313,'Annual_Cost'!$A$2:$A$313,A139,'Annual_Cost'!$B$2:$B$313,B139)</f>
      </c>
      <c r="F139" s="101" t="str">
        <f>SUMIFS('Annual_Cost'!$W$2:$W$313,'Annual_Cost'!$A$2:$A$313,A139,'Annual_Cost'!$B$2:$B$313,B139)</f>
      </c>
      <c r="G139" s="102" t="str">
        <f>SUMIFS($E$2:E139,$A$2:A139,A139)</f>
      </c>
      <c r="H139" s="103" t="str">
        <f>SUMIFS($F$2:F139,$A$2:A139,A139)</f>
      </c>
    </row>
    <row r="140">
      <c r="A140" t="s">
        <v>225</v>
      </c>
      <c r="B140" s="97" t="n">
        <v>2033</v>
      </c>
      <c r="C140" s="98" t="str">
        <f>SUMIFS('Annual_Cost'!$Q$2:$Q$313,'Annual_Cost'!$A$2:$A$313,A140,'Annual_Cost'!$B$2:$B$313,B140)</f>
      </c>
      <c r="D140" s="99" t="str">
        <f>SUMIFS('Annual_Cost'!$R$2:$R$313,'Annual_Cost'!$A$2:$A$313,A140,'Annual_Cost'!$B$2:$B$313,B140)</f>
      </c>
      <c r="E140" s="100" t="str">
        <f>SUMIFS('Annual_Cost'!$S$2:$S$313,'Annual_Cost'!$A$2:$A$313,A140,'Annual_Cost'!$B$2:$B$313,B140)</f>
      </c>
      <c r="F140" s="101" t="str">
        <f>SUMIFS('Annual_Cost'!$W$2:$W$313,'Annual_Cost'!$A$2:$A$313,A140,'Annual_Cost'!$B$2:$B$313,B140)</f>
      </c>
      <c r="G140" s="102" t="str">
        <f>SUMIFS($E$2:E140,$A$2:A140,A140)</f>
      </c>
      <c r="H140" s="103" t="str">
        <f>SUMIFS($F$2:F140,$A$2:A140,A140)</f>
      </c>
    </row>
    <row r="141">
      <c r="A141" t="s">
        <v>225</v>
      </c>
      <c r="B141" s="97" t="n">
        <v>2034</v>
      </c>
      <c r="C141" s="98" t="str">
        <f>SUMIFS('Annual_Cost'!$Q$2:$Q$313,'Annual_Cost'!$A$2:$A$313,A141,'Annual_Cost'!$B$2:$B$313,B141)</f>
      </c>
      <c r="D141" s="99" t="str">
        <f>SUMIFS('Annual_Cost'!$R$2:$R$313,'Annual_Cost'!$A$2:$A$313,A141,'Annual_Cost'!$B$2:$B$313,B141)</f>
      </c>
      <c r="E141" s="100" t="str">
        <f>SUMIFS('Annual_Cost'!$S$2:$S$313,'Annual_Cost'!$A$2:$A$313,A141,'Annual_Cost'!$B$2:$B$313,B141)</f>
      </c>
      <c r="F141" s="101" t="str">
        <f>SUMIFS('Annual_Cost'!$W$2:$W$313,'Annual_Cost'!$A$2:$A$313,A141,'Annual_Cost'!$B$2:$B$313,B141)</f>
      </c>
      <c r="G141" s="102" t="str">
        <f>SUMIFS($E$2:E141,$A$2:A141,A141)</f>
      </c>
      <c r="H141" s="103" t="str">
        <f>SUMIFS($F$2:F141,$A$2:A141,A141)</f>
      </c>
    </row>
    <row r="142">
      <c r="A142" t="s">
        <v>225</v>
      </c>
      <c r="B142" s="97" t="n">
        <v>2035</v>
      </c>
      <c r="C142" s="98" t="str">
        <f>SUMIFS('Annual_Cost'!$Q$2:$Q$313,'Annual_Cost'!$A$2:$A$313,A142,'Annual_Cost'!$B$2:$B$313,B142)</f>
      </c>
      <c r="D142" s="99" t="str">
        <f>SUMIFS('Annual_Cost'!$R$2:$R$313,'Annual_Cost'!$A$2:$A$313,A142,'Annual_Cost'!$B$2:$B$313,B142)</f>
      </c>
      <c r="E142" s="100" t="str">
        <f>SUMIFS('Annual_Cost'!$S$2:$S$313,'Annual_Cost'!$A$2:$A$313,A142,'Annual_Cost'!$B$2:$B$313,B142)</f>
      </c>
      <c r="F142" s="101" t="str">
        <f>SUMIFS('Annual_Cost'!$W$2:$W$313,'Annual_Cost'!$A$2:$A$313,A142,'Annual_Cost'!$B$2:$B$313,B142)</f>
      </c>
      <c r="G142" s="102" t="str">
        <f>SUMIFS($E$2:E142,$A$2:A142,A142)</f>
      </c>
      <c r="H142" s="103" t="str">
        <f>SUMIFS($F$2:F142,$A$2:A142,A142)</f>
      </c>
    </row>
    <row r="143">
      <c r="A143" t="s">
        <v>225</v>
      </c>
      <c r="B143" s="97" t="n">
        <v>2036</v>
      </c>
      <c r="C143" s="98" t="str">
        <f>SUMIFS('Annual_Cost'!$Q$2:$Q$313,'Annual_Cost'!$A$2:$A$313,A143,'Annual_Cost'!$B$2:$B$313,B143)</f>
      </c>
      <c r="D143" s="99" t="str">
        <f>SUMIFS('Annual_Cost'!$R$2:$R$313,'Annual_Cost'!$A$2:$A$313,A143,'Annual_Cost'!$B$2:$B$313,B143)</f>
      </c>
      <c r="E143" s="100" t="str">
        <f>SUMIFS('Annual_Cost'!$S$2:$S$313,'Annual_Cost'!$A$2:$A$313,A143,'Annual_Cost'!$B$2:$B$313,B143)</f>
      </c>
      <c r="F143" s="101" t="str">
        <f>SUMIFS('Annual_Cost'!$W$2:$W$313,'Annual_Cost'!$A$2:$A$313,A143,'Annual_Cost'!$B$2:$B$313,B143)</f>
      </c>
      <c r="G143" s="102" t="str">
        <f>SUMIFS($E$2:E143,$A$2:A143,A143)</f>
      </c>
      <c r="H143" s="103" t="str">
        <f>SUMIFS($F$2:F143,$A$2:A143,A143)</f>
      </c>
    </row>
    <row r="144">
      <c r="A144" t="s">
        <v>225</v>
      </c>
      <c r="B144" s="97" t="n">
        <v>2037</v>
      </c>
      <c r="C144" s="98" t="str">
        <f>SUMIFS('Annual_Cost'!$Q$2:$Q$313,'Annual_Cost'!$A$2:$A$313,A144,'Annual_Cost'!$B$2:$B$313,B144)</f>
      </c>
      <c r="D144" s="99" t="str">
        <f>SUMIFS('Annual_Cost'!$R$2:$R$313,'Annual_Cost'!$A$2:$A$313,A144,'Annual_Cost'!$B$2:$B$313,B144)</f>
      </c>
      <c r="E144" s="100" t="str">
        <f>SUMIFS('Annual_Cost'!$S$2:$S$313,'Annual_Cost'!$A$2:$A$313,A144,'Annual_Cost'!$B$2:$B$313,B144)</f>
      </c>
      <c r="F144" s="101" t="str">
        <f>SUMIFS('Annual_Cost'!$W$2:$W$313,'Annual_Cost'!$A$2:$A$313,A144,'Annual_Cost'!$B$2:$B$313,B144)</f>
      </c>
      <c r="G144" s="102" t="str">
        <f>SUMIFS($E$2:E144,$A$2:A144,A144)</f>
      </c>
      <c r="H144" s="103" t="str">
        <f>SUMIFS($F$2:F144,$A$2:A144,A144)</f>
      </c>
    </row>
    <row r="145">
      <c r="A145" t="s">
        <v>225</v>
      </c>
      <c r="B145" s="97" t="n">
        <v>2038</v>
      </c>
      <c r="C145" s="98" t="str">
        <f>SUMIFS('Annual_Cost'!$Q$2:$Q$313,'Annual_Cost'!$A$2:$A$313,A145,'Annual_Cost'!$B$2:$B$313,B145)</f>
      </c>
      <c r="D145" s="99" t="str">
        <f>SUMIFS('Annual_Cost'!$R$2:$R$313,'Annual_Cost'!$A$2:$A$313,A145,'Annual_Cost'!$B$2:$B$313,B145)</f>
      </c>
      <c r="E145" s="100" t="str">
        <f>SUMIFS('Annual_Cost'!$S$2:$S$313,'Annual_Cost'!$A$2:$A$313,A145,'Annual_Cost'!$B$2:$B$313,B145)</f>
      </c>
      <c r="F145" s="101" t="str">
        <f>SUMIFS('Annual_Cost'!$W$2:$W$313,'Annual_Cost'!$A$2:$A$313,A145,'Annual_Cost'!$B$2:$B$313,B145)</f>
      </c>
      <c r="G145" s="102" t="str">
        <f>SUMIFS($E$2:E145,$A$2:A145,A145)</f>
      </c>
      <c r="H145" s="103" t="str">
        <f>SUMIFS($F$2:F145,$A$2:A145,A145)</f>
      </c>
    </row>
    <row r="146">
      <c r="A146" t="s">
        <v>225</v>
      </c>
      <c r="B146" s="97" t="n">
        <v>2039</v>
      </c>
      <c r="C146" s="98" t="str">
        <f>SUMIFS('Annual_Cost'!$Q$2:$Q$313,'Annual_Cost'!$A$2:$A$313,A146,'Annual_Cost'!$B$2:$B$313,B146)</f>
      </c>
      <c r="D146" s="99" t="str">
        <f>SUMIFS('Annual_Cost'!$R$2:$R$313,'Annual_Cost'!$A$2:$A$313,A146,'Annual_Cost'!$B$2:$B$313,B146)</f>
      </c>
      <c r="E146" s="100" t="str">
        <f>SUMIFS('Annual_Cost'!$S$2:$S$313,'Annual_Cost'!$A$2:$A$313,A146,'Annual_Cost'!$B$2:$B$313,B146)</f>
      </c>
      <c r="F146" s="101" t="str">
        <f>SUMIFS('Annual_Cost'!$W$2:$W$313,'Annual_Cost'!$A$2:$A$313,A146,'Annual_Cost'!$B$2:$B$313,B146)</f>
      </c>
      <c r="G146" s="102" t="str">
        <f>SUMIFS($E$2:E146,$A$2:A146,A146)</f>
      </c>
      <c r="H146" s="103" t="str">
        <f>SUMIFS($F$2:F146,$A$2:A146,A146)</f>
      </c>
    </row>
    <row r="147">
      <c r="A147" t="s">
        <v>225</v>
      </c>
      <c r="B147" s="97" t="n">
        <v>2040</v>
      </c>
      <c r="C147" s="98" t="str">
        <f>SUMIFS('Annual_Cost'!$Q$2:$Q$313,'Annual_Cost'!$A$2:$A$313,A147,'Annual_Cost'!$B$2:$B$313,B147)</f>
      </c>
      <c r="D147" s="99" t="str">
        <f>SUMIFS('Annual_Cost'!$R$2:$R$313,'Annual_Cost'!$A$2:$A$313,A147,'Annual_Cost'!$B$2:$B$313,B147)</f>
      </c>
      <c r="E147" s="100" t="str">
        <f>SUMIFS('Annual_Cost'!$S$2:$S$313,'Annual_Cost'!$A$2:$A$313,A147,'Annual_Cost'!$B$2:$B$313,B147)</f>
      </c>
      <c r="F147" s="101" t="str">
        <f>SUMIFS('Annual_Cost'!$W$2:$W$313,'Annual_Cost'!$A$2:$A$313,A147,'Annual_Cost'!$B$2:$B$313,B147)</f>
      </c>
      <c r="G147" s="102" t="str">
        <f>SUMIFS($E$2:E147,$A$2:A147,A147)</f>
      </c>
      <c r="H147" s="103" t="str">
        <f>SUMIFS($F$2:F147,$A$2:A147,A147)</f>
      </c>
    </row>
    <row r="148">
      <c r="A148" t="s">
        <v>225</v>
      </c>
      <c r="B148" s="97" t="n">
        <v>2041</v>
      </c>
      <c r="C148" s="98" t="str">
        <f>SUMIFS('Annual_Cost'!$Q$2:$Q$313,'Annual_Cost'!$A$2:$A$313,A148,'Annual_Cost'!$B$2:$B$313,B148)</f>
      </c>
      <c r="D148" s="99" t="str">
        <f>SUMIFS('Annual_Cost'!$R$2:$R$313,'Annual_Cost'!$A$2:$A$313,A148,'Annual_Cost'!$B$2:$B$313,B148)</f>
      </c>
      <c r="E148" s="100" t="str">
        <f>SUMIFS('Annual_Cost'!$S$2:$S$313,'Annual_Cost'!$A$2:$A$313,A148,'Annual_Cost'!$B$2:$B$313,B148)</f>
      </c>
      <c r="F148" s="101" t="str">
        <f>SUMIFS('Annual_Cost'!$W$2:$W$313,'Annual_Cost'!$A$2:$A$313,A148,'Annual_Cost'!$B$2:$B$313,B148)</f>
      </c>
      <c r="G148" s="102" t="str">
        <f>SUMIFS($E$2:E148,$A$2:A148,A148)</f>
      </c>
      <c r="H148" s="103" t="str">
        <f>SUMIFS($F$2:F148,$A$2:A148,A148)</f>
      </c>
    </row>
    <row r="149">
      <c r="A149" t="s">
        <v>225</v>
      </c>
      <c r="B149" s="97" t="n">
        <v>2042</v>
      </c>
      <c r="C149" s="98" t="str">
        <f>SUMIFS('Annual_Cost'!$Q$2:$Q$313,'Annual_Cost'!$A$2:$A$313,A149,'Annual_Cost'!$B$2:$B$313,B149)</f>
      </c>
      <c r="D149" s="99" t="str">
        <f>SUMIFS('Annual_Cost'!$R$2:$R$313,'Annual_Cost'!$A$2:$A$313,A149,'Annual_Cost'!$B$2:$B$313,B149)</f>
      </c>
      <c r="E149" s="100" t="str">
        <f>SUMIFS('Annual_Cost'!$S$2:$S$313,'Annual_Cost'!$A$2:$A$313,A149,'Annual_Cost'!$B$2:$B$313,B149)</f>
      </c>
      <c r="F149" s="101" t="str">
        <f>SUMIFS('Annual_Cost'!$W$2:$W$313,'Annual_Cost'!$A$2:$A$313,A149,'Annual_Cost'!$B$2:$B$313,B149)</f>
      </c>
      <c r="G149" s="102" t="str">
        <f>SUMIFS($E$2:E149,$A$2:A149,A149)</f>
      </c>
      <c r="H149" s="103" t="str">
        <f>SUMIFS($F$2:F149,$A$2:A149,A149)</f>
      </c>
    </row>
    <row r="150">
      <c r="A150" t="s">
        <v>225</v>
      </c>
      <c r="B150" s="97" t="n">
        <v>2043</v>
      </c>
      <c r="C150" s="98" t="str">
        <f>SUMIFS('Annual_Cost'!$Q$2:$Q$313,'Annual_Cost'!$A$2:$A$313,A150,'Annual_Cost'!$B$2:$B$313,B150)</f>
      </c>
      <c r="D150" s="99" t="str">
        <f>SUMIFS('Annual_Cost'!$R$2:$R$313,'Annual_Cost'!$A$2:$A$313,A150,'Annual_Cost'!$B$2:$B$313,B150)</f>
      </c>
      <c r="E150" s="100" t="str">
        <f>SUMIFS('Annual_Cost'!$S$2:$S$313,'Annual_Cost'!$A$2:$A$313,A150,'Annual_Cost'!$B$2:$B$313,B150)</f>
      </c>
      <c r="F150" s="101" t="str">
        <f>SUMIFS('Annual_Cost'!$W$2:$W$313,'Annual_Cost'!$A$2:$A$313,A150,'Annual_Cost'!$B$2:$B$313,B150)</f>
      </c>
      <c r="G150" s="102" t="str">
        <f>SUMIFS($E$2:E150,$A$2:A150,A150)</f>
      </c>
      <c r="H150" s="103" t="str">
        <f>SUMIFS($F$2:F150,$A$2:A150,A150)</f>
      </c>
    </row>
    <row r="151">
      <c r="A151" t="s">
        <v>225</v>
      </c>
      <c r="B151" s="97" t="n">
        <v>2044</v>
      </c>
      <c r="C151" s="98" t="str">
        <f>SUMIFS('Annual_Cost'!$Q$2:$Q$313,'Annual_Cost'!$A$2:$A$313,A151,'Annual_Cost'!$B$2:$B$313,B151)</f>
      </c>
      <c r="D151" s="99" t="str">
        <f>SUMIFS('Annual_Cost'!$R$2:$R$313,'Annual_Cost'!$A$2:$A$313,A151,'Annual_Cost'!$B$2:$B$313,B151)</f>
      </c>
      <c r="E151" s="100" t="str">
        <f>SUMIFS('Annual_Cost'!$S$2:$S$313,'Annual_Cost'!$A$2:$A$313,A151,'Annual_Cost'!$B$2:$B$313,B151)</f>
      </c>
      <c r="F151" s="101" t="str">
        <f>SUMIFS('Annual_Cost'!$W$2:$W$313,'Annual_Cost'!$A$2:$A$313,A151,'Annual_Cost'!$B$2:$B$313,B151)</f>
      </c>
      <c r="G151" s="102" t="str">
        <f>SUMIFS($E$2:E151,$A$2:A151,A151)</f>
      </c>
      <c r="H151" s="103" t="str">
        <f>SUMIFS($F$2:F151,$A$2:A151,A151)</f>
      </c>
    </row>
    <row r="152">
      <c r="A152" t="s">
        <v>225</v>
      </c>
      <c r="B152" s="97" t="n">
        <v>2045</v>
      </c>
      <c r="C152" s="98" t="str">
        <f>SUMIFS('Annual_Cost'!$Q$2:$Q$313,'Annual_Cost'!$A$2:$A$313,A152,'Annual_Cost'!$B$2:$B$313,B152)</f>
      </c>
      <c r="D152" s="99" t="str">
        <f>SUMIFS('Annual_Cost'!$R$2:$R$313,'Annual_Cost'!$A$2:$A$313,A152,'Annual_Cost'!$B$2:$B$313,B152)</f>
      </c>
      <c r="E152" s="100" t="str">
        <f>SUMIFS('Annual_Cost'!$S$2:$S$313,'Annual_Cost'!$A$2:$A$313,A152,'Annual_Cost'!$B$2:$B$313,B152)</f>
      </c>
      <c r="F152" s="101" t="str">
        <f>SUMIFS('Annual_Cost'!$W$2:$W$313,'Annual_Cost'!$A$2:$A$313,A152,'Annual_Cost'!$B$2:$B$313,B152)</f>
      </c>
      <c r="G152" s="102" t="str">
        <f>SUMIFS($E$2:E152,$A$2:A152,A152)</f>
      </c>
      <c r="H152" s="103" t="str">
        <f>SUMIFS($F$2:F152,$A$2:A152,A152)</f>
      </c>
    </row>
    <row r="153">
      <c r="A153" t="s">
        <v>225</v>
      </c>
      <c r="B153" s="97" t="n">
        <v>2046</v>
      </c>
      <c r="C153" s="98" t="str">
        <f>SUMIFS('Annual_Cost'!$Q$2:$Q$313,'Annual_Cost'!$A$2:$A$313,A153,'Annual_Cost'!$B$2:$B$313,B153)</f>
      </c>
      <c r="D153" s="99" t="str">
        <f>SUMIFS('Annual_Cost'!$R$2:$R$313,'Annual_Cost'!$A$2:$A$313,A153,'Annual_Cost'!$B$2:$B$313,B153)</f>
      </c>
      <c r="E153" s="100" t="str">
        <f>SUMIFS('Annual_Cost'!$S$2:$S$313,'Annual_Cost'!$A$2:$A$313,A153,'Annual_Cost'!$B$2:$B$313,B153)</f>
      </c>
      <c r="F153" s="101" t="str">
        <f>SUMIFS('Annual_Cost'!$W$2:$W$313,'Annual_Cost'!$A$2:$A$313,A153,'Annual_Cost'!$B$2:$B$313,B153)</f>
      </c>
      <c r="G153" s="102" t="str">
        <f>SUMIFS($E$2:E153,$A$2:A153,A153)</f>
      </c>
      <c r="H153" s="103" t="str">
        <f>SUMIFS($F$2:F153,$A$2:A153,A153)</f>
      </c>
    </row>
    <row r="154">
      <c r="A154" t="s">
        <v>225</v>
      </c>
      <c r="B154" s="97" t="n">
        <v>2047</v>
      </c>
      <c r="C154" s="98" t="str">
        <f>SUMIFS('Annual_Cost'!$Q$2:$Q$313,'Annual_Cost'!$A$2:$A$313,A154,'Annual_Cost'!$B$2:$B$313,B154)</f>
      </c>
      <c r="D154" s="99" t="str">
        <f>SUMIFS('Annual_Cost'!$R$2:$R$313,'Annual_Cost'!$A$2:$A$313,A154,'Annual_Cost'!$B$2:$B$313,B154)</f>
      </c>
      <c r="E154" s="100" t="str">
        <f>SUMIFS('Annual_Cost'!$S$2:$S$313,'Annual_Cost'!$A$2:$A$313,A154,'Annual_Cost'!$B$2:$B$313,B154)</f>
      </c>
      <c r="F154" s="101" t="str">
        <f>SUMIFS('Annual_Cost'!$W$2:$W$313,'Annual_Cost'!$A$2:$A$313,A154,'Annual_Cost'!$B$2:$B$313,B154)</f>
      </c>
      <c r="G154" s="102" t="str">
        <f>SUMIFS($E$2:E154,$A$2:A154,A154)</f>
      </c>
      <c r="H154" s="103" t="str">
        <f>SUMIFS($F$2:F154,$A$2:A154,A154)</f>
      </c>
    </row>
    <row r="155">
      <c r="A155" t="s">
        <v>225</v>
      </c>
      <c r="B155" s="97" t="n">
        <v>2048</v>
      </c>
      <c r="C155" s="98" t="str">
        <f>SUMIFS('Annual_Cost'!$Q$2:$Q$313,'Annual_Cost'!$A$2:$A$313,A155,'Annual_Cost'!$B$2:$B$313,B155)</f>
      </c>
      <c r="D155" s="99" t="str">
        <f>SUMIFS('Annual_Cost'!$R$2:$R$313,'Annual_Cost'!$A$2:$A$313,A155,'Annual_Cost'!$B$2:$B$313,B155)</f>
      </c>
      <c r="E155" s="100" t="str">
        <f>SUMIFS('Annual_Cost'!$S$2:$S$313,'Annual_Cost'!$A$2:$A$313,A155,'Annual_Cost'!$B$2:$B$313,B155)</f>
      </c>
      <c r="F155" s="101" t="str">
        <f>SUMIFS('Annual_Cost'!$W$2:$W$313,'Annual_Cost'!$A$2:$A$313,A155,'Annual_Cost'!$B$2:$B$313,B155)</f>
      </c>
      <c r="G155" s="102" t="str">
        <f>SUMIFS($E$2:E155,$A$2:A155,A155)</f>
      </c>
      <c r="H155" s="103" t="str">
        <f>SUMIFS($F$2:F155,$A$2:A155,A155)</f>
      </c>
    </row>
    <row r="156">
      <c r="A156" t="s">
        <v>225</v>
      </c>
      <c r="B156" s="97" t="n">
        <v>2049</v>
      </c>
      <c r="C156" s="98" t="str">
        <f>SUMIFS('Annual_Cost'!$Q$2:$Q$313,'Annual_Cost'!$A$2:$A$313,A156,'Annual_Cost'!$B$2:$B$313,B156)</f>
      </c>
      <c r="D156" s="99" t="str">
        <f>SUMIFS('Annual_Cost'!$R$2:$R$313,'Annual_Cost'!$A$2:$A$313,A156,'Annual_Cost'!$B$2:$B$313,B156)</f>
      </c>
      <c r="E156" s="100" t="str">
        <f>SUMIFS('Annual_Cost'!$S$2:$S$313,'Annual_Cost'!$A$2:$A$313,A156,'Annual_Cost'!$B$2:$B$313,B156)</f>
      </c>
      <c r="F156" s="101" t="str">
        <f>SUMIFS('Annual_Cost'!$W$2:$W$313,'Annual_Cost'!$A$2:$A$313,A156,'Annual_Cost'!$B$2:$B$313,B156)</f>
      </c>
      <c r="G156" s="102" t="str">
        <f>SUMIFS($E$2:E156,$A$2:A156,A156)</f>
      </c>
      <c r="H156" s="103" t="str">
        <f>SUMIFS($F$2:F156,$A$2:A156,A156)</f>
      </c>
    </row>
    <row r="157">
      <c r="A157" t="s">
        <v>225</v>
      </c>
      <c r="B157" s="97" t="n">
        <v>2050</v>
      </c>
      <c r="C157" s="98" t="str">
        <f>SUMIFS('Annual_Cost'!$Q$2:$Q$313,'Annual_Cost'!$A$2:$A$313,A157,'Annual_Cost'!$B$2:$B$313,B157)</f>
      </c>
      <c r="D157" s="99" t="str">
        <f>SUMIFS('Annual_Cost'!$R$2:$R$313,'Annual_Cost'!$A$2:$A$313,A157,'Annual_Cost'!$B$2:$B$313,B157)</f>
      </c>
      <c r="E157" s="100" t="str">
        <f>SUMIFS('Annual_Cost'!$S$2:$S$313,'Annual_Cost'!$A$2:$A$313,A157,'Annual_Cost'!$B$2:$B$313,B157)</f>
      </c>
      <c r="F157" s="101" t="str">
        <f>SUMIFS('Annual_Cost'!$W$2:$W$313,'Annual_Cost'!$A$2:$A$313,A157,'Annual_Cost'!$B$2:$B$313,B157)</f>
      </c>
      <c r="G157" s="102" t="str">
        <f>SUMIFS($E$2:E157,$A$2:A157,A157)</f>
      </c>
      <c r="H157" s="103" t="str">
        <f>SUMIFS($F$2:F157,$A$2:A157,A157)</f>
      </c>
    </row>
    <row r="158">
      <c r="A158" t="s">
        <v>76</v>
      </c>
      <c r="B158" s="97" t="n">
        <v>2025</v>
      </c>
      <c r="C158" s="98" t="str">
        <f>SUMIFS('Annual_Cost'!$Q$2:$Q$313,'Annual_Cost'!$A$2:$A$313,A158,'Annual_Cost'!$B$2:$B$313,B158)</f>
      </c>
      <c r="D158" s="99" t="str">
        <f>SUMIFS('Annual_Cost'!$R$2:$R$313,'Annual_Cost'!$A$2:$A$313,A158,'Annual_Cost'!$B$2:$B$313,B158)</f>
      </c>
      <c r="E158" s="100" t="str">
        <f>SUMIFS('Annual_Cost'!$S$2:$S$313,'Annual_Cost'!$A$2:$A$313,A158,'Annual_Cost'!$B$2:$B$313,B158)</f>
      </c>
      <c r="F158" s="101" t="str">
        <f>SUMIFS('Annual_Cost'!$W$2:$W$313,'Annual_Cost'!$A$2:$A$313,A158,'Annual_Cost'!$B$2:$B$313,B158)</f>
      </c>
      <c r="G158" s="102" t="str">
        <f>SUMIFS($E$2:E158,$A$2:A158,A158)</f>
      </c>
      <c r="H158" s="103" t="str">
        <f>SUMIFS($F$2:F158,$A$2:A158,A158)</f>
      </c>
    </row>
    <row r="159">
      <c r="A159" t="s">
        <v>76</v>
      </c>
      <c r="B159" s="97" t="n">
        <v>2026</v>
      </c>
      <c r="C159" s="98" t="str">
        <f>SUMIFS('Annual_Cost'!$Q$2:$Q$313,'Annual_Cost'!$A$2:$A$313,A159,'Annual_Cost'!$B$2:$B$313,B159)</f>
      </c>
      <c r="D159" s="99" t="str">
        <f>SUMIFS('Annual_Cost'!$R$2:$R$313,'Annual_Cost'!$A$2:$A$313,A159,'Annual_Cost'!$B$2:$B$313,B159)</f>
      </c>
      <c r="E159" s="100" t="str">
        <f>SUMIFS('Annual_Cost'!$S$2:$S$313,'Annual_Cost'!$A$2:$A$313,A159,'Annual_Cost'!$B$2:$B$313,B159)</f>
      </c>
      <c r="F159" s="101" t="str">
        <f>SUMIFS('Annual_Cost'!$W$2:$W$313,'Annual_Cost'!$A$2:$A$313,A159,'Annual_Cost'!$B$2:$B$313,B159)</f>
      </c>
      <c r="G159" s="102" t="str">
        <f>SUMIFS($E$2:E159,$A$2:A159,A159)</f>
      </c>
      <c r="H159" s="103" t="str">
        <f>SUMIFS($F$2:F159,$A$2:A159,A159)</f>
      </c>
    </row>
    <row r="160">
      <c r="A160" t="s">
        <v>76</v>
      </c>
      <c r="B160" s="97" t="n">
        <v>2027</v>
      </c>
      <c r="C160" s="98" t="str">
        <f>SUMIFS('Annual_Cost'!$Q$2:$Q$313,'Annual_Cost'!$A$2:$A$313,A160,'Annual_Cost'!$B$2:$B$313,B160)</f>
      </c>
      <c r="D160" s="99" t="str">
        <f>SUMIFS('Annual_Cost'!$R$2:$R$313,'Annual_Cost'!$A$2:$A$313,A160,'Annual_Cost'!$B$2:$B$313,B160)</f>
      </c>
      <c r="E160" s="100" t="str">
        <f>SUMIFS('Annual_Cost'!$S$2:$S$313,'Annual_Cost'!$A$2:$A$313,A160,'Annual_Cost'!$B$2:$B$313,B160)</f>
      </c>
      <c r="F160" s="101" t="str">
        <f>SUMIFS('Annual_Cost'!$W$2:$W$313,'Annual_Cost'!$A$2:$A$313,A160,'Annual_Cost'!$B$2:$B$313,B160)</f>
      </c>
      <c r="G160" s="102" t="str">
        <f>SUMIFS($E$2:E160,$A$2:A160,A160)</f>
      </c>
      <c r="H160" s="103" t="str">
        <f>SUMIFS($F$2:F160,$A$2:A160,A160)</f>
      </c>
    </row>
    <row r="161">
      <c r="A161" t="s">
        <v>76</v>
      </c>
      <c r="B161" s="97" t="n">
        <v>2028</v>
      </c>
      <c r="C161" s="98" t="str">
        <f>SUMIFS('Annual_Cost'!$Q$2:$Q$313,'Annual_Cost'!$A$2:$A$313,A161,'Annual_Cost'!$B$2:$B$313,B161)</f>
      </c>
      <c r="D161" s="99" t="str">
        <f>SUMIFS('Annual_Cost'!$R$2:$R$313,'Annual_Cost'!$A$2:$A$313,A161,'Annual_Cost'!$B$2:$B$313,B161)</f>
      </c>
      <c r="E161" s="100" t="str">
        <f>SUMIFS('Annual_Cost'!$S$2:$S$313,'Annual_Cost'!$A$2:$A$313,A161,'Annual_Cost'!$B$2:$B$313,B161)</f>
      </c>
      <c r="F161" s="101" t="str">
        <f>SUMIFS('Annual_Cost'!$W$2:$W$313,'Annual_Cost'!$A$2:$A$313,A161,'Annual_Cost'!$B$2:$B$313,B161)</f>
      </c>
      <c r="G161" s="102" t="str">
        <f>SUMIFS($E$2:E161,$A$2:A161,A161)</f>
      </c>
      <c r="H161" s="103" t="str">
        <f>SUMIFS($F$2:F161,$A$2:A161,A161)</f>
      </c>
    </row>
    <row r="162">
      <c r="A162" t="s">
        <v>76</v>
      </c>
      <c r="B162" s="97" t="n">
        <v>2029</v>
      </c>
      <c r="C162" s="98" t="str">
        <f>SUMIFS('Annual_Cost'!$Q$2:$Q$313,'Annual_Cost'!$A$2:$A$313,A162,'Annual_Cost'!$B$2:$B$313,B162)</f>
      </c>
      <c r="D162" s="99" t="str">
        <f>SUMIFS('Annual_Cost'!$R$2:$R$313,'Annual_Cost'!$A$2:$A$313,A162,'Annual_Cost'!$B$2:$B$313,B162)</f>
      </c>
      <c r="E162" s="100" t="str">
        <f>SUMIFS('Annual_Cost'!$S$2:$S$313,'Annual_Cost'!$A$2:$A$313,A162,'Annual_Cost'!$B$2:$B$313,B162)</f>
      </c>
      <c r="F162" s="101" t="str">
        <f>SUMIFS('Annual_Cost'!$W$2:$W$313,'Annual_Cost'!$A$2:$A$313,A162,'Annual_Cost'!$B$2:$B$313,B162)</f>
      </c>
      <c r="G162" s="102" t="str">
        <f>SUMIFS($E$2:E162,$A$2:A162,A162)</f>
      </c>
      <c r="H162" s="103" t="str">
        <f>SUMIFS($F$2:F162,$A$2:A162,A162)</f>
      </c>
    </row>
    <row r="163">
      <c r="A163" t="s">
        <v>76</v>
      </c>
      <c r="B163" s="97" t="n">
        <v>2030</v>
      </c>
      <c r="C163" s="98" t="str">
        <f>SUMIFS('Annual_Cost'!$Q$2:$Q$313,'Annual_Cost'!$A$2:$A$313,A163,'Annual_Cost'!$B$2:$B$313,B163)</f>
      </c>
      <c r="D163" s="99" t="str">
        <f>SUMIFS('Annual_Cost'!$R$2:$R$313,'Annual_Cost'!$A$2:$A$313,A163,'Annual_Cost'!$B$2:$B$313,B163)</f>
      </c>
      <c r="E163" s="100" t="str">
        <f>SUMIFS('Annual_Cost'!$S$2:$S$313,'Annual_Cost'!$A$2:$A$313,A163,'Annual_Cost'!$B$2:$B$313,B163)</f>
      </c>
      <c r="F163" s="101" t="str">
        <f>SUMIFS('Annual_Cost'!$W$2:$W$313,'Annual_Cost'!$A$2:$A$313,A163,'Annual_Cost'!$B$2:$B$313,B163)</f>
      </c>
      <c r="G163" s="102" t="str">
        <f>SUMIFS($E$2:E163,$A$2:A163,A163)</f>
      </c>
      <c r="H163" s="103" t="str">
        <f>SUMIFS($F$2:F163,$A$2:A163,A163)</f>
      </c>
    </row>
    <row r="164">
      <c r="A164" t="s">
        <v>76</v>
      </c>
      <c r="B164" s="97" t="n">
        <v>2031</v>
      </c>
      <c r="C164" s="98" t="str">
        <f>SUMIFS('Annual_Cost'!$Q$2:$Q$313,'Annual_Cost'!$A$2:$A$313,A164,'Annual_Cost'!$B$2:$B$313,B164)</f>
      </c>
      <c r="D164" s="99" t="str">
        <f>SUMIFS('Annual_Cost'!$R$2:$R$313,'Annual_Cost'!$A$2:$A$313,A164,'Annual_Cost'!$B$2:$B$313,B164)</f>
      </c>
      <c r="E164" s="100" t="str">
        <f>SUMIFS('Annual_Cost'!$S$2:$S$313,'Annual_Cost'!$A$2:$A$313,A164,'Annual_Cost'!$B$2:$B$313,B164)</f>
      </c>
      <c r="F164" s="101" t="str">
        <f>SUMIFS('Annual_Cost'!$W$2:$W$313,'Annual_Cost'!$A$2:$A$313,A164,'Annual_Cost'!$B$2:$B$313,B164)</f>
      </c>
      <c r="G164" s="102" t="str">
        <f>SUMIFS($E$2:E164,$A$2:A164,A164)</f>
      </c>
      <c r="H164" s="103" t="str">
        <f>SUMIFS($F$2:F164,$A$2:A164,A164)</f>
      </c>
    </row>
    <row r="165">
      <c r="A165" t="s">
        <v>76</v>
      </c>
      <c r="B165" s="97" t="n">
        <v>2032</v>
      </c>
      <c r="C165" s="98" t="str">
        <f>SUMIFS('Annual_Cost'!$Q$2:$Q$313,'Annual_Cost'!$A$2:$A$313,A165,'Annual_Cost'!$B$2:$B$313,B165)</f>
      </c>
      <c r="D165" s="99" t="str">
        <f>SUMIFS('Annual_Cost'!$R$2:$R$313,'Annual_Cost'!$A$2:$A$313,A165,'Annual_Cost'!$B$2:$B$313,B165)</f>
      </c>
      <c r="E165" s="100" t="str">
        <f>SUMIFS('Annual_Cost'!$S$2:$S$313,'Annual_Cost'!$A$2:$A$313,A165,'Annual_Cost'!$B$2:$B$313,B165)</f>
      </c>
      <c r="F165" s="101" t="str">
        <f>SUMIFS('Annual_Cost'!$W$2:$W$313,'Annual_Cost'!$A$2:$A$313,A165,'Annual_Cost'!$B$2:$B$313,B165)</f>
      </c>
      <c r="G165" s="102" t="str">
        <f>SUMIFS($E$2:E165,$A$2:A165,A165)</f>
      </c>
      <c r="H165" s="103" t="str">
        <f>SUMIFS($F$2:F165,$A$2:A165,A165)</f>
      </c>
    </row>
    <row r="166">
      <c r="A166" t="s">
        <v>76</v>
      </c>
      <c r="B166" s="97" t="n">
        <v>2033</v>
      </c>
      <c r="C166" s="98" t="str">
        <f>SUMIFS('Annual_Cost'!$Q$2:$Q$313,'Annual_Cost'!$A$2:$A$313,A166,'Annual_Cost'!$B$2:$B$313,B166)</f>
      </c>
      <c r="D166" s="99" t="str">
        <f>SUMIFS('Annual_Cost'!$R$2:$R$313,'Annual_Cost'!$A$2:$A$313,A166,'Annual_Cost'!$B$2:$B$313,B166)</f>
      </c>
      <c r="E166" s="100" t="str">
        <f>SUMIFS('Annual_Cost'!$S$2:$S$313,'Annual_Cost'!$A$2:$A$313,A166,'Annual_Cost'!$B$2:$B$313,B166)</f>
      </c>
      <c r="F166" s="101" t="str">
        <f>SUMIFS('Annual_Cost'!$W$2:$W$313,'Annual_Cost'!$A$2:$A$313,A166,'Annual_Cost'!$B$2:$B$313,B166)</f>
      </c>
      <c r="G166" s="102" t="str">
        <f>SUMIFS($E$2:E166,$A$2:A166,A166)</f>
      </c>
      <c r="H166" s="103" t="str">
        <f>SUMIFS($F$2:F166,$A$2:A166,A166)</f>
      </c>
    </row>
    <row r="167">
      <c r="A167" t="s">
        <v>76</v>
      </c>
      <c r="B167" s="97" t="n">
        <v>2034</v>
      </c>
      <c r="C167" s="98" t="str">
        <f>SUMIFS('Annual_Cost'!$Q$2:$Q$313,'Annual_Cost'!$A$2:$A$313,A167,'Annual_Cost'!$B$2:$B$313,B167)</f>
      </c>
      <c r="D167" s="99" t="str">
        <f>SUMIFS('Annual_Cost'!$R$2:$R$313,'Annual_Cost'!$A$2:$A$313,A167,'Annual_Cost'!$B$2:$B$313,B167)</f>
      </c>
      <c r="E167" s="100" t="str">
        <f>SUMIFS('Annual_Cost'!$S$2:$S$313,'Annual_Cost'!$A$2:$A$313,A167,'Annual_Cost'!$B$2:$B$313,B167)</f>
      </c>
      <c r="F167" s="101" t="str">
        <f>SUMIFS('Annual_Cost'!$W$2:$W$313,'Annual_Cost'!$A$2:$A$313,A167,'Annual_Cost'!$B$2:$B$313,B167)</f>
      </c>
      <c r="G167" s="102" t="str">
        <f>SUMIFS($E$2:E167,$A$2:A167,A167)</f>
      </c>
      <c r="H167" s="103" t="str">
        <f>SUMIFS($F$2:F167,$A$2:A167,A167)</f>
      </c>
    </row>
    <row r="168">
      <c r="A168" t="s">
        <v>76</v>
      </c>
      <c r="B168" s="97" t="n">
        <v>2035</v>
      </c>
      <c r="C168" s="98" t="str">
        <f>SUMIFS('Annual_Cost'!$Q$2:$Q$313,'Annual_Cost'!$A$2:$A$313,A168,'Annual_Cost'!$B$2:$B$313,B168)</f>
      </c>
      <c r="D168" s="99" t="str">
        <f>SUMIFS('Annual_Cost'!$R$2:$R$313,'Annual_Cost'!$A$2:$A$313,A168,'Annual_Cost'!$B$2:$B$313,B168)</f>
      </c>
      <c r="E168" s="100" t="str">
        <f>SUMIFS('Annual_Cost'!$S$2:$S$313,'Annual_Cost'!$A$2:$A$313,A168,'Annual_Cost'!$B$2:$B$313,B168)</f>
      </c>
      <c r="F168" s="101" t="str">
        <f>SUMIFS('Annual_Cost'!$W$2:$W$313,'Annual_Cost'!$A$2:$A$313,A168,'Annual_Cost'!$B$2:$B$313,B168)</f>
      </c>
      <c r="G168" s="102" t="str">
        <f>SUMIFS($E$2:E168,$A$2:A168,A168)</f>
      </c>
      <c r="H168" s="103" t="str">
        <f>SUMIFS($F$2:F168,$A$2:A168,A168)</f>
      </c>
    </row>
    <row r="169">
      <c r="A169" t="s">
        <v>76</v>
      </c>
      <c r="B169" s="97" t="n">
        <v>2036</v>
      </c>
      <c r="C169" s="98" t="str">
        <f>SUMIFS('Annual_Cost'!$Q$2:$Q$313,'Annual_Cost'!$A$2:$A$313,A169,'Annual_Cost'!$B$2:$B$313,B169)</f>
      </c>
      <c r="D169" s="99" t="str">
        <f>SUMIFS('Annual_Cost'!$R$2:$R$313,'Annual_Cost'!$A$2:$A$313,A169,'Annual_Cost'!$B$2:$B$313,B169)</f>
      </c>
      <c r="E169" s="100" t="str">
        <f>SUMIFS('Annual_Cost'!$S$2:$S$313,'Annual_Cost'!$A$2:$A$313,A169,'Annual_Cost'!$B$2:$B$313,B169)</f>
      </c>
      <c r="F169" s="101" t="str">
        <f>SUMIFS('Annual_Cost'!$W$2:$W$313,'Annual_Cost'!$A$2:$A$313,A169,'Annual_Cost'!$B$2:$B$313,B169)</f>
      </c>
      <c r="G169" s="102" t="str">
        <f>SUMIFS($E$2:E169,$A$2:A169,A169)</f>
      </c>
      <c r="H169" s="103" t="str">
        <f>SUMIFS($F$2:F169,$A$2:A169,A169)</f>
      </c>
    </row>
    <row r="170">
      <c r="A170" t="s">
        <v>76</v>
      </c>
      <c r="B170" s="97" t="n">
        <v>2037</v>
      </c>
      <c r="C170" s="98" t="str">
        <f>SUMIFS('Annual_Cost'!$Q$2:$Q$313,'Annual_Cost'!$A$2:$A$313,A170,'Annual_Cost'!$B$2:$B$313,B170)</f>
      </c>
      <c r="D170" s="99" t="str">
        <f>SUMIFS('Annual_Cost'!$R$2:$R$313,'Annual_Cost'!$A$2:$A$313,A170,'Annual_Cost'!$B$2:$B$313,B170)</f>
      </c>
      <c r="E170" s="100" t="str">
        <f>SUMIFS('Annual_Cost'!$S$2:$S$313,'Annual_Cost'!$A$2:$A$313,A170,'Annual_Cost'!$B$2:$B$313,B170)</f>
      </c>
      <c r="F170" s="101" t="str">
        <f>SUMIFS('Annual_Cost'!$W$2:$W$313,'Annual_Cost'!$A$2:$A$313,A170,'Annual_Cost'!$B$2:$B$313,B170)</f>
      </c>
      <c r="G170" s="102" t="str">
        <f>SUMIFS($E$2:E170,$A$2:A170,A170)</f>
      </c>
      <c r="H170" s="103" t="str">
        <f>SUMIFS($F$2:F170,$A$2:A170,A170)</f>
      </c>
    </row>
    <row r="171">
      <c r="A171" t="s">
        <v>76</v>
      </c>
      <c r="B171" s="97" t="n">
        <v>2038</v>
      </c>
      <c r="C171" s="98" t="str">
        <f>SUMIFS('Annual_Cost'!$Q$2:$Q$313,'Annual_Cost'!$A$2:$A$313,A171,'Annual_Cost'!$B$2:$B$313,B171)</f>
      </c>
      <c r="D171" s="99" t="str">
        <f>SUMIFS('Annual_Cost'!$R$2:$R$313,'Annual_Cost'!$A$2:$A$313,A171,'Annual_Cost'!$B$2:$B$313,B171)</f>
      </c>
      <c r="E171" s="100" t="str">
        <f>SUMIFS('Annual_Cost'!$S$2:$S$313,'Annual_Cost'!$A$2:$A$313,A171,'Annual_Cost'!$B$2:$B$313,B171)</f>
      </c>
      <c r="F171" s="101" t="str">
        <f>SUMIFS('Annual_Cost'!$W$2:$W$313,'Annual_Cost'!$A$2:$A$313,A171,'Annual_Cost'!$B$2:$B$313,B171)</f>
      </c>
      <c r="G171" s="102" t="str">
        <f>SUMIFS($E$2:E171,$A$2:A171,A171)</f>
      </c>
      <c r="H171" s="103" t="str">
        <f>SUMIFS($F$2:F171,$A$2:A171,A171)</f>
      </c>
    </row>
    <row r="172">
      <c r="A172" t="s">
        <v>76</v>
      </c>
      <c r="B172" s="97" t="n">
        <v>2039</v>
      </c>
      <c r="C172" s="98" t="str">
        <f>SUMIFS('Annual_Cost'!$Q$2:$Q$313,'Annual_Cost'!$A$2:$A$313,A172,'Annual_Cost'!$B$2:$B$313,B172)</f>
      </c>
      <c r="D172" s="99" t="str">
        <f>SUMIFS('Annual_Cost'!$R$2:$R$313,'Annual_Cost'!$A$2:$A$313,A172,'Annual_Cost'!$B$2:$B$313,B172)</f>
      </c>
      <c r="E172" s="100" t="str">
        <f>SUMIFS('Annual_Cost'!$S$2:$S$313,'Annual_Cost'!$A$2:$A$313,A172,'Annual_Cost'!$B$2:$B$313,B172)</f>
      </c>
      <c r="F172" s="101" t="str">
        <f>SUMIFS('Annual_Cost'!$W$2:$W$313,'Annual_Cost'!$A$2:$A$313,A172,'Annual_Cost'!$B$2:$B$313,B172)</f>
      </c>
      <c r="G172" s="102" t="str">
        <f>SUMIFS($E$2:E172,$A$2:A172,A172)</f>
      </c>
      <c r="H172" s="103" t="str">
        <f>SUMIFS($F$2:F172,$A$2:A172,A172)</f>
      </c>
    </row>
    <row r="173">
      <c r="A173" t="s">
        <v>76</v>
      </c>
      <c r="B173" s="97" t="n">
        <v>2040</v>
      </c>
      <c r="C173" s="98" t="str">
        <f>SUMIFS('Annual_Cost'!$Q$2:$Q$313,'Annual_Cost'!$A$2:$A$313,A173,'Annual_Cost'!$B$2:$B$313,B173)</f>
      </c>
      <c r="D173" s="99" t="str">
        <f>SUMIFS('Annual_Cost'!$R$2:$R$313,'Annual_Cost'!$A$2:$A$313,A173,'Annual_Cost'!$B$2:$B$313,B173)</f>
      </c>
      <c r="E173" s="100" t="str">
        <f>SUMIFS('Annual_Cost'!$S$2:$S$313,'Annual_Cost'!$A$2:$A$313,A173,'Annual_Cost'!$B$2:$B$313,B173)</f>
      </c>
      <c r="F173" s="101" t="str">
        <f>SUMIFS('Annual_Cost'!$W$2:$W$313,'Annual_Cost'!$A$2:$A$313,A173,'Annual_Cost'!$B$2:$B$313,B173)</f>
      </c>
      <c r="G173" s="102" t="str">
        <f>SUMIFS($E$2:E173,$A$2:A173,A173)</f>
      </c>
      <c r="H173" s="103" t="str">
        <f>SUMIFS($F$2:F173,$A$2:A173,A173)</f>
      </c>
    </row>
    <row r="174">
      <c r="A174" t="s">
        <v>76</v>
      </c>
      <c r="B174" s="97" t="n">
        <v>2041</v>
      </c>
      <c r="C174" s="98" t="str">
        <f>SUMIFS('Annual_Cost'!$Q$2:$Q$313,'Annual_Cost'!$A$2:$A$313,A174,'Annual_Cost'!$B$2:$B$313,B174)</f>
      </c>
      <c r="D174" s="99" t="str">
        <f>SUMIFS('Annual_Cost'!$R$2:$R$313,'Annual_Cost'!$A$2:$A$313,A174,'Annual_Cost'!$B$2:$B$313,B174)</f>
      </c>
      <c r="E174" s="100" t="str">
        <f>SUMIFS('Annual_Cost'!$S$2:$S$313,'Annual_Cost'!$A$2:$A$313,A174,'Annual_Cost'!$B$2:$B$313,B174)</f>
      </c>
      <c r="F174" s="101" t="str">
        <f>SUMIFS('Annual_Cost'!$W$2:$W$313,'Annual_Cost'!$A$2:$A$313,A174,'Annual_Cost'!$B$2:$B$313,B174)</f>
      </c>
      <c r="G174" s="102" t="str">
        <f>SUMIFS($E$2:E174,$A$2:A174,A174)</f>
      </c>
      <c r="H174" s="103" t="str">
        <f>SUMIFS($F$2:F174,$A$2:A174,A174)</f>
      </c>
    </row>
    <row r="175">
      <c r="A175" t="s">
        <v>76</v>
      </c>
      <c r="B175" s="97" t="n">
        <v>2042</v>
      </c>
      <c r="C175" s="98" t="str">
        <f>SUMIFS('Annual_Cost'!$Q$2:$Q$313,'Annual_Cost'!$A$2:$A$313,A175,'Annual_Cost'!$B$2:$B$313,B175)</f>
      </c>
      <c r="D175" s="99" t="str">
        <f>SUMIFS('Annual_Cost'!$R$2:$R$313,'Annual_Cost'!$A$2:$A$313,A175,'Annual_Cost'!$B$2:$B$313,B175)</f>
      </c>
      <c r="E175" s="100" t="str">
        <f>SUMIFS('Annual_Cost'!$S$2:$S$313,'Annual_Cost'!$A$2:$A$313,A175,'Annual_Cost'!$B$2:$B$313,B175)</f>
      </c>
      <c r="F175" s="101" t="str">
        <f>SUMIFS('Annual_Cost'!$W$2:$W$313,'Annual_Cost'!$A$2:$A$313,A175,'Annual_Cost'!$B$2:$B$313,B175)</f>
      </c>
      <c r="G175" s="102" t="str">
        <f>SUMIFS($E$2:E175,$A$2:A175,A175)</f>
      </c>
      <c r="H175" s="103" t="str">
        <f>SUMIFS($F$2:F175,$A$2:A175,A175)</f>
      </c>
    </row>
    <row r="176">
      <c r="A176" t="s">
        <v>76</v>
      </c>
      <c r="B176" s="97" t="n">
        <v>2043</v>
      </c>
      <c r="C176" s="98" t="str">
        <f>SUMIFS('Annual_Cost'!$Q$2:$Q$313,'Annual_Cost'!$A$2:$A$313,A176,'Annual_Cost'!$B$2:$B$313,B176)</f>
      </c>
      <c r="D176" s="99" t="str">
        <f>SUMIFS('Annual_Cost'!$R$2:$R$313,'Annual_Cost'!$A$2:$A$313,A176,'Annual_Cost'!$B$2:$B$313,B176)</f>
      </c>
      <c r="E176" s="100" t="str">
        <f>SUMIFS('Annual_Cost'!$S$2:$S$313,'Annual_Cost'!$A$2:$A$313,A176,'Annual_Cost'!$B$2:$B$313,B176)</f>
      </c>
      <c r="F176" s="101" t="str">
        <f>SUMIFS('Annual_Cost'!$W$2:$W$313,'Annual_Cost'!$A$2:$A$313,A176,'Annual_Cost'!$B$2:$B$313,B176)</f>
      </c>
      <c r="G176" s="102" t="str">
        <f>SUMIFS($E$2:E176,$A$2:A176,A176)</f>
      </c>
      <c r="H176" s="103" t="str">
        <f>SUMIFS($F$2:F176,$A$2:A176,A176)</f>
      </c>
    </row>
    <row r="177">
      <c r="A177" t="s">
        <v>76</v>
      </c>
      <c r="B177" s="97" t="n">
        <v>2044</v>
      </c>
      <c r="C177" s="98" t="str">
        <f>SUMIFS('Annual_Cost'!$Q$2:$Q$313,'Annual_Cost'!$A$2:$A$313,A177,'Annual_Cost'!$B$2:$B$313,B177)</f>
      </c>
      <c r="D177" s="99" t="str">
        <f>SUMIFS('Annual_Cost'!$R$2:$R$313,'Annual_Cost'!$A$2:$A$313,A177,'Annual_Cost'!$B$2:$B$313,B177)</f>
      </c>
      <c r="E177" s="100" t="str">
        <f>SUMIFS('Annual_Cost'!$S$2:$S$313,'Annual_Cost'!$A$2:$A$313,A177,'Annual_Cost'!$B$2:$B$313,B177)</f>
      </c>
      <c r="F177" s="101" t="str">
        <f>SUMIFS('Annual_Cost'!$W$2:$W$313,'Annual_Cost'!$A$2:$A$313,A177,'Annual_Cost'!$B$2:$B$313,B177)</f>
      </c>
      <c r="G177" s="102" t="str">
        <f>SUMIFS($E$2:E177,$A$2:A177,A177)</f>
      </c>
      <c r="H177" s="103" t="str">
        <f>SUMIFS($F$2:F177,$A$2:A177,A177)</f>
      </c>
    </row>
    <row r="178">
      <c r="A178" t="s">
        <v>76</v>
      </c>
      <c r="B178" s="97" t="n">
        <v>2045</v>
      </c>
      <c r="C178" s="98" t="str">
        <f>SUMIFS('Annual_Cost'!$Q$2:$Q$313,'Annual_Cost'!$A$2:$A$313,A178,'Annual_Cost'!$B$2:$B$313,B178)</f>
      </c>
      <c r="D178" s="99" t="str">
        <f>SUMIFS('Annual_Cost'!$R$2:$R$313,'Annual_Cost'!$A$2:$A$313,A178,'Annual_Cost'!$B$2:$B$313,B178)</f>
      </c>
      <c r="E178" s="100" t="str">
        <f>SUMIFS('Annual_Cost'!$S$2:$S$313,'Annual_Cost'!$A$2:$A$313,A178,'Annual_Cost'!$B$2:$B$313,B178)</f>
      </c>
      <c r="F178" s="101" t="str">
        <f>SUMIFS('Annual_Cost'!$W$2:$W$313,'Annual_Cost'!$A$2:$A$313,A178,'Annual_Cost'!$B$2:$B$313,B178)</f>
      </c>
      <c r="G178" s="102" t="str">
        <f>SUMIFS($E$2:E178,$A$2:A178,A178)</f>
      </c>
      <c r="H178" s="103" t="str">
        <f>SUMIFS($F$2:F178,$A$2:A178,A178)</f>
      </c>
    </row>
    <row r="179">
      <c r="A179" t="s">
        <v>76</v>
      </c>
      <c r="B179" s="97" t="n">
        <v>2046</v>
      </c>
      <c r="C179" s="98" t="str">
        <f>SUMIFS('Annual_Cost'!$Q$2:$Q$313,'Annual_Cost'!$A$2:$A$313,A179,'Annual_Cost'!$B$2:$B$313,B179)</f>
      </c>
      <c r="D179" s="99" t="str">
        <f>SUMIFS('Annual_Cost'!$R$2:$R$313,'Annual_Cost'!$A$2:$A$313,A179,'Annual_Cost'!$B$2:$B$313,B179)</f>
      </c>
      <c r="E179" s="100" t="str">
        <f>SUMIFS('Annual_Cost'!$S$2:$S$313,'Annual_Cost'!$A$2:$A$313,A179,'Annual_Cost'!$B$2:$B$313,B179)</f>
      </c>
      <c r="F179" s="101" t="str">
        <f>SUMIFS('Annual_Cost'!$W$2:$W$313,'Annual_Cost'!$A$2:$A$313,A179,'Annual_Cost'!$B$2:$B$313,B179)</f>
      </c>
      <c r="G179" s="102" t="str">
        <f>SUMIFS($E$2:E179,$A$2:A179,A179)</f>
      </c>
      <c r="H179" s="103" t="str">
        <f>SUMIFS($F$2:F179,$A$2:A179,A179)</f>
      </c>
    </row>
    <row r="180">
      <c r="A180" t="s">
        <v>76</v>
      </c>
      <c r="B180" s="97" t="n">
        <v>2047</v>
      </c>
      <c r="C180" s="98" t="str">
        <f>SUMIFS('Annual_Cost'!$Q$2:$Q$313,'Annual_Cost'!$A$2:$A$313,A180,'Annual_Cost'!$B$2:$B$313,B180)</f>
      </c>
      <c r="D180" s="99" t="str">
        <f>SUMIFS('Annual_Cost'!$R$2:$R$313,'Annual_Cost'!$A$2:$A$313,A180,'Annual_Cost'!$B$2:$B$313,B180)</f>
      </c>
      <c r="E180" s="100" t="str">
        <f>SUMIFS('Annual_Cost'!$S$2:$S$313,'Annual_Cost'!$A$2:$A$313,A180,'Annual_Cost'!$B$2:$B$313,B180)</f>
      </c>
      <c r="F180" s="101" t="str">
        <f>SUMIFS('Annual_Cost'!$W$2:$W$313,'Annual_Cost'!$A$2:$A$313,A180,'Annual_Cost'!$B$2:$B$313,B180)</f>
      </c>
      <c r="G180" s="102" t="str">
        <f>SUMIFS($E$2:E180,$A$2:A180,A180)</f>
      </c>
      <c r="H180" s="103" t="str">
        <f>SUMIFS($F$2:F180,$A$2:A180,A180)</f>
      </c>
    </row>
    <row r="181">
      <c r="A181" t="s">
        <v>76</v>
      </c>
      <c r="B181" s="97" t="n">
        <v>2048</v>
      </c>
      <c r="C181" s="98" t="str">
        <f>SUMIFS('Annual_Cost'!$Q$2:$Q$313,'Annual_Cost'!$A$2:$A$313,A181,'Annual_Cost'!$B$2:$B$313,B181)</f>
      </c>
      <c r="D181" s="99" t="str">
        <f>SUMIFS('Annual_Cost'!$R$2:$R$313,'Annual_Cost'!$A$2:$A$313,A181,'Annual_Cost'!$B$2:$B$313,B181)</f>
      </c>
      <c r="E181" s="100" t="str">
        <f>SUMIFS('Annual_Cost'!$S$2:$S$313,'Annual_Cost'!$A$2:$A$313,A181,'Annual_Cost'!$B$2:$B$313,B181)</f>
      </c>
      <c r="F181" s="101" t="str">
        <f>SUMIFS('Annual_Cost'!$W$2:$W$313,'Annual_Cost'!$A$2:$A$313,A181,'Annual_Cost'!$B$2:$B$313,B181)</f>
      </c>
      <c r="G181" s="102" t="str">
        <f>SUMIFS($E$2:E181,$A$2:A181,A181)</f>
      </c>
      <c r="H181" s="103" t="str">
        <f>SUMIFS($F$2:F181,$A$2:A181,A181)</f>
      </c>
    </row>
    <row r="182">
      <c r="A182" t="s">
        <v>76</v>
      </c>
      <c r="B182" s="97" t="n">
        <v>2049</v>
      </c>
      <c r="C182" s="98" t="str">
        <f>SUMIFS('Annual_Cost'!$Q$2:$Q$313,'Annual_Cost'!$A$2:$A$313,A182,'Annual_Cost'!$B$2:$B$313,B182)</f>
      </c>
      <c r="D182" s="99" t="str">
        <f>SUMIFS('Annual_Cost'!$R$2:$R$313,'Annual_Cost'!$A$2:$A$313,A182,'Annual_Cost'!$B$2:$B$313,B182)</f>
      </c>
      <c r="E182" s="100" t="str">
        <f>SUMIFS('Annual_Cost'!$S$2:$S$313,'Annual_Cost'!$A$2:$A$313,A182,'Annual_Cost'!$B$2:$B$313,B182)</f>
      </c>
      <c r="F182" s="101" t="str">
        <f>SUMIFS('Annual_Cost'!$W$2:$W$313,'Annual_Cost'!$A$2:$A$313,A182,'Annual_Cost'!$B$2:$B$313,B182)</f>
      </c>
      <c r="G182" s="102" t="str">
        <f>SUMIFS($E$2:E182,$A$2:A182,A182)</f>
      </c>
      <c r="H182" s="103" t="str">
        <f>SUMIFS($F$2:F182,$A$2:A182,A182)</f>
      </c>
    </row>
    <row r="183">
      <c r="A183" t="s">
        <v>76</v>
      </c>
      <c r="B183" s="97" t="n">
        <v>2050</v>
      </c>
      <c r="C183" s="98" t="str">
        <f>SUMIFS('Annual_Cost'!$Q$2:$Q$313,'Annual_Cost'!$A$2:$A$313,A183,'Annual_Cost'!$B$2:$B$313,B183)</f>
      </c>
      <c r="D183" s="99" t="str">
        <f>SUMIFS('Annual_Cost'!$R$2:$R$313,'Annual_Cost'!$A$2:$A$313,A183,'Annual_Cost'!$B$2:$B$313,B183)</f>
      </c>
      <c r="E183" s="100" t="str">
        <f>SUMIFS('Annual_Cost'!$S$2:$S$313,'Annual_Cost'!$A$2:$A$313,A183,'Annual_Cost'!$B$2:$B$313,B183)</f>
      </c>
      <c r="F183" s="101" t="str">
        <f>SUMIFS('Annual_Cost'!$W$2:$W$313,'Annual_Cost'!$A$2:$A$313,A183,'Annual_Cost'!$B$2:$B$313,B183)</f>
      </c>
      <c r="G183" s="102" t="str">
        <f>SUMIFS($E$2:E183,$A$2:A183,A183)</f>
      </c>
      <c r="H183" s="103" t="str">
        <f>SUMIFS($F$2:F183,$A$2:A183,A183)</f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</cols>
  <sheetData>
    <row r="1" ht="28" customHeight="1">
      <c r="A1" s="1" t="s">
        <v>357</v>
      </c>
      <c r="B1" s="1" t="s">
        <v>358</v>
      </c>
      <c r="C1" s="1" t="s">
        <v>364</v>
      </c>
      <c r="D1" s="1" t="s">
        <v>365</v>
      </c>
      <c r="E1" s="1" t="s">
        <v>383</v>
      </c>
      <c r="F1" s="1" t="s">
        <v>384</v>
      </c>
      <c r="G1" s="1" t="s">
        <v>387</v>
      </c>
      <c r="H1" s="1" t="s">
        <v>388</v>
      </c>
      <c r="I1" s="1" t="s">
        <v>389</v>
      </c>
    </row>
    <row r="2">
      <c r="A2" t="s">
        <v>76</v>
      </c>
      <c r="B2" s="21" t="s">
        <v>367</v>
      </c>
      <c r="C2" s="104" t="str">
        <f>SUMIFS('Annual_Mortality'!$I$2:$I$1275,'Annual_Mortality'!$A$2:$A$1275,A2)</f>
      </c>
      <c r="D2" s="105" t="str">
        <f>SUMIFS('Annual_Mortality'!$J$2:$J$1275,'Annual_Mortality'!$A$2:$A$1275,A2)</f>
      </c>
      <c r="E2" s="106" t="str">
        <f>SUMIFS('Budget_Impact'!$E$2:$E$183,'Budget_Impact'!$A$2:$A$183,A2)</f>
      </c>
      <c r="F2" s="107" t="str">
        <f>SUMIFS('Budget_Impact'!$F$2:$F$183,'Budget_Impact'!$A$2:$A$183,A2)</f>
      </c>
      <c r="G2" s="108" t="str">
        <f>IF(C2&gt;0,F2/C2,"")</f>
      </c>
      <c r="H2" s="109" t="str">
        <f>IF(AND(C2&gt;0,F2&lt;0),"Dominant (more health, lower cost)",IF(AND(C2&lt;=0,F2&gt;0),"Dominated (less/no health, higher cost)",IF(AND(C2&lt;=0,F2&lt;=0),"No deaths averted; ratio not defined","USD per death averted")))</f>
      </c>
      <c r="I2" s="23" t="str">
        <f>IF(AND(ABS(F2-SUMIFS('Budget_Impact'!$F$2:$F$183,'Budget_Impact'!$A$2:$A$183,A2))&lt;='Calculation_Assumptions'!$B$15,ABS(C2-SUMIFS('Annual_Mortality'!$I$2:$I$1275,'Annual_Mortality'!$A$2:$A$1275,A2))&lt;='Calculation_Assumptions'!$B$15),"consistent","mismatch")</f>
      </c>
    </row>
    <row r="3">
      <c r="A3" t="s">
        <v>195</v>
      </c>
      <c r="B3" s="21" t="s">
        <v>197</v>
      </c>
      <c r="C3" s="104" t="str">
        <f>SUMIFS('Annual_Mortality'!$I$2:$I$1275,'Annual_Mortality'!$A$2:$A$1275,A3)</f>
      </c>
      <c r="D3" s="105" t="str">
        <f>SUMIFS('Annual_Mortality'!$J$2:$J$1275,'Annual_Mortality'!$A$2:$A$1275,A3)</f>
      </c>
      <c r="E3" s="106" t="str">
        <f>SUMIFS('Budget_Impact'!$E$2:$E$183,'Budget_Impact'!$A$2:$A$183,A3)</f>
      </c>
      <c r="F3" s="107" t="str">
        <f>SUMIFS('Budget_Impact'!$F$2:$F$183,'Budget_Impact'!$A$2:$A$183,A3)</f>
      </c>
      <c r="G3" s="108" t="str">
        <f>IF(C3&gt;0,F3/C3,"")</f>
      </c>
      <c r="H3" s="109" t="str">
        <f>IF(AND(C3&gt;0,F3&lt;0),"Dominant (more health, lower cost)",IF(AND(C3&lt;=0,F3&gt;0),"Dominated (less/no health, higher cost)",IF(AND(C3&lt;=0,F3&lt;=0),"No deaths averted; ratio not defined","USD per death averted")))</f>
      </c>
      <c r="I3" s="23" t="str">
        <f>IF(AND(ABS(F3-SUMIFS('Budget_Impact'!$F$2:$F$183,'Budget_Impact'!$A$2:$A$183,A3))&lt;='Calculation_Assumptions'!$B$15,ABS(C3-SUMIFS('Annual_Mortality'!$I$2:$I$1275,'Annual_Mortality'!$A$2:$A$1275,A3))&lt;='Calculation_Assumptions'!$B$15),"consistent","mismatch")</f>
      </c>
    </row>
    <row r="4">
      <c r="A4" t="s">
        <v>225</v>
      </c>
      <c r="B4" s="21" t="s">
        <v>227</v>
      </c>
      <c r="C4" s="104" t="str">
        <f>SUMIFS('Annual_Mortality'!$I$2:$I$1275,'Annual_Mortality'!$A$2:$A$1275,A4)</f>
      </c>
      <c r="D4" s="105" t="str">
        <f>SUMIFS('Annual_Mortality'!$J$2:$J$1275,'Annual_Mortality'!$A$2:$A$1275,A4)</f>
      </c>
      <c r="E4" s="106" t="str">
        <f>SUMIFS('Budget_Impact'!$E$2:$E$183,'Budget_Impact'!$A$2:$A$183,A4)</f>
      </c>
      <c r="F4" s="107" t="str">
        <f>SUMIFS('Budget_Impact'!$F$2:$F$183,'Budget_Impact'!$A$2:$A$183,A4)</f>
      </c>
      <c r="G4" s="108" t="str">
        <f>IF(C4&gt;0,F4/C4,"")</f>
      </c>
      <c r="H4" s="109" t="str">
        <f>IF(AND(C4&gt;0,F4&lt;0),"Dominant (more health, lower cost)",IF(AND(C4&lt;=0,F4&gt;0),"Dominated (less/no health, higher cost)",IF(AND(C4&lt;=0,F4&lt;=0),"No deaths averted; ratio not defined","USD per death averted")))</f>
      </c>
      <c r="I4" s="23" t="str">
        <f>IF(AND(ABS(F4-SUMIFS('Budget_Impact'!$F$2:$F$183,'Budget_Impact'!$A$2:$A$183,A4))&lt;='Calculation_Assumptions'!$B$15,ABS(C4-SUMIFS('Annual_Mortality'!$I$2:$I$1275,'Annual_Mortality'!$A$2:$A$1275,A4))&lt;='Calculation_Assumptions'!$B$15),"consistent","mismatch")</f>
      </c>
    </row>
    <row r="5">
      <c r="A5" t="s">
        <v>214</v>
      </c>
      <c r="B5" s="21" t="s">
        <v>216</v>
      </c>
      <c r="C5" s="104" t="str">
        <f>SUMIFS('Annual_Mortality'!$I$2:$I$1275,'Annual_Mortality'!$A$2:$A$1275,A5)</f>
      </c>
      <c r="D5" s="105" t="str">
        <f>SUMIFS('Annual_Mortality'!$J$2:$J$1275,'Annual_Mortality'!$A$2:$A$1275,A5)</f>
      </c>
      <c r="E5" s="106" t="str">
        <f>SUMIFS('Budget_Impact'!$E$2:$E$183,'Budget_Impact'!$A$2:$A$183,A5)</f>
      </c>
      <c r="F5" s="107" t="str">
        <f>SUMIFS('Budget_Impact'!$F$2:$F$183,'Budget_Impact'!$A$2:$A$183,A5)</f>
      </c>
      <c r="G5" s="108" t="str">
        <f>IF(C5&gt;0,F5/C5,"")</f>
      </c>
      <c r="H5" s="109" t="str">
        <f>IF(AND(C5&gt;0,F5&lt;0),"Dominant (more health, lower cost)",IF(AND(C5&lt;=0,F5&gt;0),"Dominated (less/no health, higher cost)",IF(AND(C5&lt;=0,F5&lt;=0),"No deaths averted; ratio not defined","USD per death averted")))</f>
      </c>
      <c r="I5" s="23" t="str">
        <f>IF(AND(ABS(F5-SUMIFS('Budget_Impact'!$F$2:$F$183,'Budget_Impact'!$A$2:$A$183,A5))&lt;='Calculation_Assumptions'!$B$15,ABS(C5-SUMIFS('Annual_Mortality'!$I$2:$I$1275,'Annual_Mortality'!$A$2:$A$1275,A5))&lt;='Calculation_Assumptions'!$B$15),"consistent","mismatch")</f>
      </c>
    </row>
    <row r="6">
      <c r="A6" t="s">
        <v>203</v>
      </c>
      <c r="B6" s="21" t="s">
        <v>205</v>
      </c>
      <c r="C6" s="104" t="str">
        <f>SUMIFS('Annual_Mortality'!$I$2:$I$1275,'Annual_Mortality'!$A$2:$A$1275,A6)</f>
      </c>
      <c r="D6" s="105" t="str">
        <f>SUMIFS('Annual_Mortality'!$J$2:$J$1275,'Annual_Mortality'!$A$2:$A$1275,A6)</f>
      </c>
      <c r="E6" s="106" t="str">
        <f>SUMIFS('Budget_Impact'!$E$2:$E$183,'Budget_Impact'!$A$2:$A$183,A6)</f>
      </c>
      <c r="F6" s="107" t="str">
        <f>SUMIFS('Budget_Impact'!$F$2:$F$183,'Budget_Impact'!$A$2:$A$183,A6)</f>
      </c>
      <c r="G6" s="108" t="str">
        <f>IF(C6&gt;0,F6/C6,"")</f>
      </c>
      <c r="H6" s="109" t="str">
        <f>IF(AND(C6&gt;0,F6&lt;0),"Dominant (more health, lower cost)",IF(AND(C6&lt;=0,F6&gt;0),"Dominated (less/no health, higher cost)",IF(AND(C6&lt;=0,F6&lt;=0),"No deaths averted; ratio not defined","USD per death averted")))</f>
      </c>
      <c r="I6" s="23" t="str">
        <f>IF(AND(ABS(F6-SUMIFS('Budget_Impact'!$F$2:$F$183,'Budget_Impact'!$A$2:$A$183,A6))&lt;='Calculation_Assumptions'!$B$15,ABS(C6-SUMIFS('Annual_Mortality'!$I$2:$I$1275,'Annual_Mortality'!$A$2:$A$1275,A6))&lt;='Calculation_Assumptions'!$B$15),"consistent","mismatch")</f>
      </c>
    </row>
    <row r="7">
      <c r="A7" t="s">
        <v>187</v>
      </c>
      <c r="B7" s="21" t="s">
        <v>189</v>
      </c>
      <c r="C7" s="104" t="str">
        <f>SUMIFS('Annual_Mortality'!$I$2:$I$1275,'Annual_Mortality'!$A$2:$A$1275,A7)</f>
      </c>
      <c r="D7" s="105" t="str">
        <f>SUMIFS('Annual_Mortality'!$J$2:$J$1275,'Annual_Mortality'!$A$2:$A$1275,A7)</f>
      </c>
      <c r="E7" s="106" t="str">
        <f>SUMIFS('Budget_Impact'!$E$2:$E$183,'Budget_Impact'!$A$2:$A$183,A7)</f>
      </c>
      <c r="F7" s="107" t="str">
        <f>SUMIFS('Budget_Impact'!$F$2:$F$183,'Budget_Impact'!$A$2:$A$183,A7)</f>
      </c>
      <c r="G7" s="108" t="str">
        <f>IF(C7&gt;0,F7/C7,"")</f>
      </c>
      <c r="H7" s="109" t="str">
        <f>IF(AND(C7&gt;0,F7&lt;0),"Dominant (more health, lower cost)",IF(AND(C7&lt;=0,F7&gt;0),"Dominated (less/no health, higher cost)",IF(AND(C7&lt;=0,F7&lt;=0),"No deaths averted; ratio not defined","USD per death averted")))</f>
      </c>
      <c r="I7" s="23" t="str">
        <f>IF(AND(ABS(F7-SUMIFS('Budget_Impact'!$F$2:$F$183,'Budget_Impact'!$A$2:$A$183,A7))&lt;='Calculation_Assumptions'!$B$15,ABS(C7-SUMIFS('Annual_Mortality'!$I$2:$I$1275,'Annual_Mortality'!$A$2:$A$1275,A7))&lt;='Calculation_Assumptions'!$B$15),"consistent","mismatch")</f>
      </c>
    </row>
    <row r="8">
      <c r="A8" t="s">
        <v>164</v>
      </c>
      <c r="B8" s="21" t="s">
        <v>166</v>
      </c>
      <c r="C8" s="104" t="str">
        <f>SUMIFS('Annual_Mortality'!$I$2:$I$1275,'Annual_Mortality'!$A$2:$A$1275,A8)</f>
      </c>
      <c r="D8" s="105" t="str">
        <f>SUMIFS('Annual_Mortality'!$J$2:$J$1275,'Annual_Mortality'!$A$2:$A$1275,A8)</f>
      </c>
      <c r="E8" s="106" t="str">
        <f>SUMIFS('Budget_Impact'!$E$2:$E$183,'Budget_Impact'!$A$2:$A$183,A8)</f>
      </c>
      <c r="F8" s="107" t="str">
        <f>SUMIFS('Budget_Impact'!$F$2:$F$183,'Budget_Impact'!$A$2:$A$183,A8)</f>
      </c>
      <c r="G8" s="108" t="str">
        <f>IF(C8&gt;0,F8/C8,"")</f>
      </c>
      <c r="H8" s="109" t="str">
        <f>IF(AND(C8&gt;0,F8&lt;0),"Dominant (more health, lower cost)",IF(AND(C8&lt;=0,F8&gt;0),"Dominated (less/no health, higher cost)",IF(AND(C8&lt;=0,F8&lt;=0),"No deaths averted; ratio not defined","USD per death averted")))</f>
      </c>
      <c r="I8" s="23" t="str">
        <f>IF(AND(ABS(F8-SUMIFS('Budget_Impact'!$F$2:$F$183,'Budget_Impact'!$A$2:$A$183,A8))&lt;='Calculation_Assumptions'!$B$15,ABS(C8-SUMIFS('Annual_Mortality'!$I$2:$I$1275,'Annual_Mortality'!$A$2:$A$1275,A8))&lt;='Calculation_Assumptions'!$B$15),"consistent","mismatch")</f>
      </c>
    </row>
  </sheetData>
  <autoFilter ref="A1:I1"/>
  <conditionalFormatting sqref="I2:I8">
    <cfRule type="containsText" dxfId="0" priority="3" operator="containsText" text="consistent">
      <formula>NOT(ISERROR(SEARCH("consistent", I2)))</formula>
    </cfRule>
    <cfRule type="containsText" dxfId="2" priority="2" operator="containsText" text="mismatch">
      <formula>NOT(ISERROR(SEARCH("mismatch", I2)))</formula>
    </cfRule>
  </conditionalFormatting>
  <conditionalFormatting sqref="H2:H8">
    <cfRule type="containsText" dxfId="1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0.71" hidden="0" customWidth="1"/>
  </cols>
  <sheetData>
    <row r="1">
      <c r="A1" s="1" t="s">
        <v>390</v>
      </c>
    </row>
    <row r="2">
      <c r="A2" s="21" t="s">
        <v>391</v>
      </c>
    </row>
    <row r="3">
      <c r="A3" s="21" t="s">
        <v>392</v>
      </c>
    </row>
    <row r="4">
      <c r="A4" s="21" t="s">
        <v>393</v>
      </c>
    </row>
    <row r="5">
      <c r="A5" s="21" t="s">
        <v>394</v>
      </c>
    </row>
    <row r="6">
      <c r="A6" s="21" t="s">
        <v>395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396</v>
      </c>
      <c r="B1" s="1" t="s">
        <v>397</v>
      </c>
      <c r="C1" s="1" t="s">
        <v>398</v>
      </c>
      <c r="D1" s="1" t="s">
        <v>399</v>
      </c>
      <c r="E1" s="1" t="s">
        <v>390</v>
      </c>
    </row>
    <row r="2">
      <c r="A2" t="s">
        <v>400</v>
      </c>
      <c r="B2" t="s">
        <v>401</v>
      </c>
      <c r="C2" s="23" t="str">
        <f>COUNTIF('Selected_Interventions'!$U$2:$U$28,"&gt;1")</f>
      </c>
      <c r="D2" s="23" t="str">
        <f>IF(C2=0,"PASS","FAIL")</f>
      </c>
      <c r="E2" s="21" t="s">
        <v>402</v>
      </c>
    </row>
    <row r="3">
      <c r="A3" t="s">
        <v>403</v>
      </c>
      <c r="B3" t="s">
        <v>401</v>
      </c>
      <c r="C3" s="23" t="str">
        <f>COUNTIF('Input_Diagnostic'!$E$2:$E$17,"FAIL")</f>
      </c>
      <c r="D3" s="23" t="str">
        <f>IF(C3=0,"PASS","REVIEW")</f>
      </c>
      <c r="E3" s="21" t="s">
        <v>404</v>
      </c>
    </row>
    <row r="4">
      <c r="A4" t="s">
        <v>405</v>
      </c>
      <c r="B4" t="s">
        <v>401</v>
      </c>
      <c r="C4" s="23" t="str">
        <f>COUNTIF('Input_Diagnostic'!$E$2:$E$17,"REVIEW")</f>
      </c>
      <c r="D4" s="23" t="str">
        <f>IF(C4=0,"PASS","REVIEW")</f>
      </c>
      <c r="E4" s="21" t="s">
        <v>406</v>
      </c>
    </row>
    <row r="5">
      <c r="A5" t="s">
        <v>407</v>
      </c>
      <c r="B5" t="s">
        <v>401</v>
      </c>
      <c r="C5" s="23" t="str">
        <f>COUNTBLANK('Annual_Mortality'!$H$2:$H$1275)</f>
      </c>
      <c r="D5" s="23" t="str">
        <f>IF(C5=0,"PASS","FAIL")</f>
      </c>
      <c r="E5" s="21" t="s">
        <v>408</v>
      </c>
    </row>
    <row r="6">
      <c r="A6" t="s">
        <v>409</v>
      </c>
      <c r="B6" t="s">
        <v>401</v>
      </c>
      <c r="C6" s="23" t="str">
        <f>COUNTIF('Effect_Parameters'!$N$2:$N$29,"&lt;&gt;incidence")</f>
      </c>
      <c r="D6" s="23" t="str">
        <f>IF(C6=0,"PASS","FAIL")</f>
      </c>
      <c r="E6" s="21" t="s">
        <v>410</v>
      </c>
    </row>
    <row r="7">
      <c r="A7" t="s">
        <v>411</v>
      </c>
      <c r="B7" t="s">
        <v>401</v>
      </c>
      <c r="C7" s="23" t="str">
        <f>'Calculation_Assumptions'!$B$17</f>
      </c>
      <c r="D7" s="23" t="str">
        <f>IF(C7=0,"PASS","FAIL")</f>
      </c>
      <c r="E7" s="21" t="s">
        <v>412</v>
      </c>
    </row>
    <row r="8">
      <c r="A8" t="s">
        <v>413</v>
      </c>
      <c r="B8" t="s">
        <v>414</v>
      </c>
      <c r="C8" s="23" t="str">
        <f>'Calculation_Assumptions'!$B$18</f>
      </c>
      <c r="D8" s="23" t="str">
        <f>IF(C8&lt;='Calculation_Assumptions'!$B$16,"PASS","REVIEW")</f>
      </c>
      <c r="E8" s="21" t="s">
        <v>415</v>
      </c>
    </row>
    <row r="9">
      <c r="A9" t="s">
        <v>416</v>
      </c>
      <c r="B9" t="s">
        <v>417</v>
      </c>
      <c r="C9" s="23" t="str">
        <f>'Calculation_Assumptions'!$B$19</f>
      </c>
      <c r="D9" s="23" t="str">
        <f>IF(C9=1,"PASS","FAIL")</f>
      </c>
      <c r="E9" s="21" t="s">
        <v>418</v>
      </c>
    </row>
    <row r="10">
      <c r="A10" t="s">
        <v>419</v>
      </c>
      <c r="B10" t="s">
        <v>420</v>
      </c>
      <c r="C10" s="23" t="str">
        <f>ABS(SUM('Budget_Impact'!$D$2:$D$183)-SUM('Annual_Cost'!$R$2:$R$313))+ABS(SUM('Budget_Impact'!$C$2:$C$183)-SUM('Annual_Cost'!$Q$2:$Q$313))</f>
      </c>
      <c r="D10" s="23" t="str">
        <f>IF(C10&lt;='Calculation_Assumptions'!$B$15,"PASS","FAIL")</f>
      </c>
      <c r="E10" s="21" t="s">
        <v>421</v>
      </c>
    </row>
    <row r="11">
      <c r="A11" t="s">
        <v>422</v>
      </c>
      <c r="B11" t="s">
        <v>401</v>
      </c>
      <c r="C11" s="23" t="str">
        <f>COUNTIF('Annual_Cost'!$AA$2:$AA$313,"&gt;1")</f>
      </c>
      <c r="D11" s="23" t="str">
        <f>IF(C11=0,"PASS","FAIL")</f>
      </c>
      <c r="E11" s="21" t="s">
        <v>423</v>
      </c>
    </row>
    <row r="12">
      <c r="A12" t="s">
        <v>424</v>
      </c>
      <c r="B12" t="s">
        <v>420</v>
      </c>
      <c r="C12" s="23" t="str">
        <f>ABS(SUMIFS('Budget_Impact'!$G$2:$G$183,'Budget_Impact'!$B$2:$B$183,'Calculation_Assumptions'!$B$3)-SUM('Budget_Impact'!$E$2:$E$183))</f>
      </c>
      <c r="D12" s="23" t="str">
        <f>IF(C12&lt;='Calculation_Assumptions'!$B$15,"PASS","FAIL")</f>
      </c>
      <c r="E12" s="21" t="s">
        <v>425</v>
      </c>
    </row>
    <row r="13">
      <c r="A13" t="s">
        <v>426</v>
      </c>
      <c r="B13" t="s">
        <v>427</v>
      </c>
      <c r="C13" s="23" t="str">
        <f>IF(COUNTIF('Cost_Effectiveness'!$I$2:$I$8,"mismatch")=0,"consistent","mismatch")</f>
      </c>
      <c r="D13" s="23" t="str">
        <f>IF(C13="consistent","PASS","FAIL")</f>
      </c>
      <c r="E13" s="21" t="s">
        <v>428</v>
      </c>
    </row>
    <row r="14">
      <c r="A14" t="s">
        <v>429</v>
      </c>
      <c r="B14" t="s">
        <v>430</v>
      </c>
      <c r="C14" s="23" t="str">
        <f>INDEX('Cost_Effectiveness'!$C$2:$C$8,MATCH('Calculation_Assumptions'!$B$23,'Cost_Effectiveness'!$A$2:$A$8,0))</f>
      </c>
      <c r="D14" s="23" t="str">
        <f>IF(ABS(C14-'Calculation_Assumptions'!$B$20)&lt;=ABS('Calculation_Assumptions'!$B$20)*0.000001+0.5,"PASS","FAIL")</f>
      </c>
      <c r="E14" s="21" t="s">
        <v>431</v>
      </c>
    </row>
    <row r="15">
      <c r="A15" t="s">
        <v>432</v>
      </c>
      <c r="B15" t="s">
        <v>430</v>
      </c>
      <c r="C15" s="23" t="str">
        <f>INDEX('Cost_Effectiveness'!$F$2:$F$8,MATCH('Calculation_Assumptions'!$B$23,'Cost_Effectiveness'!$A$2:$A$8,0))</f>
      </c>
      <c r="D15" s="23" t="str">
        <f>IF(ABS(C15-'Calculation_Assumptions'!$B$21)&lt;=ABS('Calculation_Assumptions'!$B$21)*0.000001+1,"PASS","FAIL")</f>
      </c>
      <c r="E15" s="21" t="s">
        <v>433</v>
      </c>
    </row>
    <row r="16">
      <c r="A16" t="s">
        <v>434</v>
      </c>
      <c r="B16" t="s">
        <v>430</v>
      </c>
      <c r="C16" s="23" t="str">
        <f>INDEX('Cost_Effectiveness'!$G$2:$G$8,MATCH('Calculation_Assumptions'!$B$23,'Cost_Effectiveness'!$A$2:$A$8,0))</f>
      </c>
      <c r="D16" s="23" t="str">
        <f>IF(ABS(C16-'Calculation_Assumptions'!$B$22)&lt;=ABS('Calculation_Assumptions'!$B$22)*0.000001+1,"PASS","FAIL")</f>
      </c>
      <c r="E16" s="21" t="s">
        <v>435</v>
      </c>
    </row>
  </sheetData>
  <autoFilter ref="A1:E1"/>
  <conditionalFormatting sqref="D2:D16">
    <cfRule type="containsText" dxfId="0" priority="3" operator="containsText" text="PASS">
      <formula>NOT(ISERROR(SEARCH("PASS", D2)))</formula>
    </cfRule>
    <cfRule type="containsText" dxfId="2" priority="2" operator="containsText" text="FAIL">
      <formula>NOT(ISERROR(SEARCH("FAIL", D2)))</formula>
    </cfRule>
    <cfRule type="containsText" dxfId="1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436</v>
      </c>
      <c r="B1" s="1" t="s">
        <v>437</v>
      </c>
      <c r="C1" s="1" t="s">
        <v>438</v>
      </c>
      <c r="D1" s="1" t="s">
        <v>234</v>
      </c>
      <c r="E1" s="1" t="s">
        <v>439</v>
      </c>
    </row>
    <row r="2">
      <c r="A2" t="s">
        <v>440</v>
      </c>
      <c r="B2" t="s">
        <v>236</v>
      </c>
      <c r="C2" t="s">
        <v>153</v>
      </c>
      <c r="D2" s="21" t="s">
        <v>441</v>
      </c>
      <c r="E2" t="s">
        <v>442</v>
      </c>
    </row>
    <row r="3">
      <c r="A3" t="s">
        <v>443</v>
      </c>
      <c r="B3" t="s">
        <v>236</v>
      </c>
      <c r="C3" t="s">
        <v>444</v>
      </c>
      <c r="D3" s="21" t="s">
        <v>240</v>
      </c>
      <c r="E3" t="s">
        <v>445</v>
      </c>
    </row>
    <row r="4">
      <c r="A4" t="s">
        <v>446</v>
      </c>
      <c r="B4" t="s">
        <v>355</v>
      </c>
      <c r="C4" t="s">
        <v>331</v>
      </c>
      <c r="D4" s="21" t="s">
        <v>447</v>
      </c>
      <c r="E4" t="s">
        <v>442</v>
      </c>
    </row>
    <row r="5">
      <c r="A5" t="s">
        <v>446</v>
      </c>
      <c r="B5" t="s">
        <v>342</v>
      </c>
      <c r="C5" t="s">
        <v>331</v>
      </c>
      <c r="D5" s="21" t="s">
        <v>447</v>
      </c>
      <c r="E5" t="s">
        <v>442</v>
      </c>
    </row>
    <row r="6">
      <c r="A6" t="s">
        <v>446</v>
      </c>
      <c r="B6" t="s">
        <v>353</v>
      </c>
      <c r="C6" t="s">
        <v>331</v>
      </c>
      <c r="D6" s="21" t="s">
        <v>447</v>
      </c>
      <c r="E6" t="s">
        <v>442</v>
      </c>
    </row>
    <row r="7">
      <c r="A7" t="s">
        <v>446</v>
      </c>
      <c r="B7" t="s">
        <v>335</v>
      </c>
      <c r="C7" t="s">
        <v>331</v>
      </c>
      <c r="D7" s="21" t="s">
        <v>447</v>
      </c>
      <c r="E7" t="s">
        <v>442</v>
      </c>
    </row>
    <row r="8">
      <c r="A8" t="s">
        <v>446</v>
      </c>
      <c r="B8" t="s">
        <v>344</v>
      </c>
      <c r="C8" t="s">
        <v>331</v>
      </c>
      <c r="D8" s="21" t="s">
        <v>447</v>
      </c>
      <c r="E8" t="s">
        <v>442</v>
      </c>
    </row>
    <row r="9">
      <c r="A9" t="s">
        <v>446</v>
      </c>
      <c r="B9" t="s">
        <v>350</v>
      </c>
      <c r="C9" t="s">
        <v>331</v>
      </c>
      <c r="D9" s="21" t="s">
        <v>447</v>
      </c>
      <c r="E9" t="s">
        <v>442</v>
      </c>
    </row>
    <row r="10">
      <c r="A10" t="s">
        <v>446</v>
      </c>
      <c r="B10" t="s">
        <v>346</v>
      </c>
      <c r="C10" t="s">
        <v>331</v>
      </c>
      <c r="D10" s="21" t="s">
        <v>447</v>
      </c>
      <c r="E10" t="s">
        <v>442</v>
      </c>
    </row>
    <row r="11">
      <c r="A11" t="s">
        <v>446</v>
      </c>
      <c r="B11" t="s">
        <v>355</v>
      </c>
      <c r="C11" t="s">
        <v>330</v>
      </c>
      <c r="D11" s="21" t="s">
        <v>448</v>
      </c>
      <c r="E11" t="s">
        <v>442</v>
      </c>
    </row>
    <row r="12">
      <c r="A12" t="s">
        <v>446</v>
      </c>
      <c r="B12" t="s">
        <v>342</v>
      </c>
      <c r="C12" t="s">
        <v>330</v>
      </c>
      <c r="D12" s="21" t="s">
        <v>448</v>
      </c>
      <c r="E12" t="s">
        <v>442</v>
      </c>
    </row>
    <row r="13">
      <c r="A13" t="s">
        <v>446</v>
      </c>
      <c r="B13" t="s">
        <v>353</v>
      </c>
      <c r="C13" t="s">
        <v>330</v>
      </c>
      <c r="D13" s="21" t="s">
        <v>448</v>
      </c>
      <c r="E13" t="s">
        <v>442</v>
      </c>
    </row>
    <row r="14">
      <c r="A14" t="s">
        <v>446</v>
      </c>
      <c r="B14" t="s">
        <v>335</v>
      </c>
      <c r="C14" t="s">
        <v>330</v>
      </c>
      <c r="D14" s="21" t="s">
        <v>448</v>
      </c>
      <c r="E14" t="s">
        <v>442</v>
      </c>
    </row>
    <row r="15">
      <c r="A15" t="s">
        <v>446</v>
      </c>
      <c r="B15" t="s">
        <v>344</v>
      </c>
      <c r="C15" t="s">
        <v>330</v>
      </c>
      <c r="D15" s="21" t="s">
        <v>448</v>
      </c>
      <c r="E15" t="s">
        <v>442</v>
      </c>
    </row>
    <row r="16">
      <c r="A16" t="s">
        <v>446</v>
      </c>
      <c r="B16" t="s">
        <v>350</v>
      </c>
      <c r="C16" t="s">
        <v>330</v>
      </c>
      <c r="D16" s="21" t="s">
        <v>448</v>
      </c>
      <c r="E16" t="s">
        <v>442</v>
      </c>
    </row>
    <row r="17">
      <c r="A17" t="s">
        <v>446</v>
      </c>
      <c r="B17" t="s">
        <v>346</v>
      </c>
      <c r="C17" t="s">
        <v>330</v>
      </c>
      <c r="D17" s="21" t="s">
        <v>448</v>
      </c>
      <c r="E17" t="s">
        <v>442</v>
      </c>
    </row>
  </sheetData>
  <autoFilter ref="A1:E1"/>
  <conditionalFormatting sqref="E2:E17">
    <cfRule type="containsText" dxfId="2" priority="2" operator="containsText" text="FAIL">
      <formula>NOT(ISERROR(SEARCH("FAIL", E2)))</formula>
    </cfRule>
    <cfRule type="containsText" dxfId="1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8.71" hidden="0" customWidth="1"/>
    <col min="3" max="3" width="92.71" hidden="0" customWidth="1"/>
    <col min="4" max="4" width="56.71" hidden="0" customWidth="1"/>
  </cols>
  <sheetData>
    <row r="1" ht="28" customHeight="1">
      <c r="A1" s="1" t="s">
        <v>449</v>
      </c>
      <c r="B1" s="1" t="s">
        <v>450</v>
      </c>
      <c r="C1" s="1" t="s">
        <v>451</v>
      </c>
      <c r="D1" s="1" t="s">
        <v>5</v>
      </c>
    </row>
    <row r="2">
      <c r="A2" t="s">
        <v>452</v>
      </c>
      <c r="B2" t="s">
        <v>453</v>
      </c>
      <c r="C2" s="21" t="s">
        <v>454</v>
      </c>
      <c r="D2" s="21" t="s">
        <v>455</v>
      </c>
    </row>
    <row r="3">
      <c r="A3" t="s">
        <v>456</v>
      </c>
      <c r="B3" t="s">
        <v>90</v>
      </c>
      <c r="C3" s="21" t="s">
        <v>457</v>
      </c>
      <c r="D3" s="21" t="s">
        <v>455</v>
      </c>
    </row>
    <row r="4">
      <c r="A4" t="s">
        <v>458</v>
      </c>
      <c r="B4" t="s">
        <v>459</v>
      </c>
      <c r="C4" s="21" t="s">
        <v>460</v>
      </c>
      <c r="D4" s="21" t="s">
        <v>455</v>
      </c>
    </row>
    <row r="5">
      <c r="A5" t="s">
        <v>461</v>
      </c>
      <c r="B5" t="s">
        <v>462</v>
      </c>
      <c r="C5" s="21" t="s">
        <v>463</v>
      </c>
      <c r="D5" s="21" t="s">
        <v>455</v>
      </c>
    </row>
    <row r="6">
      <c r="A6" t="s">
        <v>464</v>
      </c>
      <c r="B6" t="s">
        <v>465</v>
      </c>
      <c r="C6" s="21" t="s">
        <v>466</v>
      </c>
      <c r="D6" s="21" t="s">
        <v>455</v>
      </c>
    </row>
    <row r="7">
      <c r="A7" t="s">
        <v>467</v>
      </c>
      <c r="B7" t="s">
        <v>468</v>
      </c>
      <c r="C7" s="21" t="s">
        <v>469</v>
      </c>
      <c r="D7" s="21" t="s">
        <v>455</v>
      </c>
    </row>
    <row r="8">
      <c r="A8" t="s">
        <v>470</v>
      </c>
      <c r="B8" t="s">
        <v>471</v>
      </c>
      <c r="C8" s="21" t="s">
        <v>472</v>
      </c>
      <c r="D8" s="21" t="s">
        <v>455</v>
      </c>
    </row>
    <row r="9">
      <c r="A9" t="s">
        <v>473</v>
      </c>
      <c r="B9" t="s">
        <v>474</v>
      </c>
      <c r="C9" s="21" t="s">
        <v>475</v>
      </c>
      <c r="D9" s="21" t="s">
        <v>455</v>
      </c>
    </row>
    <row r="10">
      <c r="A10" t="s">
        <v>476</v>
      </c>
      <c r="B10" t="s">
        <v>477</v>
      </c>
      <c r="C10" s="21" t="s">
        <v>478</v>
      </c>
      <c r="D10" s="21" t="s">
        <v>455</v>
      </c>
    </row>
    <row r="11">
      <c r="A11" t="s">
        <v>479</v>
      </c>
      <c r="B11" t="s">
        <v>480</v>
      </c>
      <c r="C11" s="21" t="s">
        <v>481</v>
      </c>
      <c r="D11" s="21" t="s">
        <v>455</v>
      </c>
    </row>
    <row r="12">
      <c r="A12" t="s">
        <v>482</v>
      </c>
      <c r="B12" t="s">
        <v>483</v>
      </c>
      <c r="C12" s="21" t="s">
        <v>484</v>
      </c>
      <c r="D12" s="21" t="s">
        <v>455</v>
      </c>
    </row>
    <row r="13">
      <c r="A13" t="s">
        <v>485</v>
      </c>
      <c r="B13" t="s">
        <v>100</v>
      </c>
      <c r="C13" s="21" t="s">
        <v>486</v>
      </c>
      <c r="D13" s="21" t="s">
        <v>455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0.71" hidden="0" customWidth="1"/>
    <col min="3" max="3" width="40.71" hidden="0" customWidth="1"/>
    <col min="4" max="4" width="52.71" hidden="0" customWidth="1"/>
  </cols>
  <sheetData>
    <row r="1" ht="28" customHeight="1">
      <c r="A1" s="1" t="s">
        <v>487</v>
      </c>
      <c r="B1" s="1" t="s">
        <v>488</v>
      </c>
      <c r="C1" s="1" t="s">
        <v>489</v>
      </c>
      <c r="D1" s="1" t="s">
        <v>490</v>
      </c>
    </row>
    <row r="2">
      <c r="A2" t="s">
        <v>491</v>
      </c>
      <c r="B2" t="s">
        <v>492</v>
      </c>
      <c r="C2" s="21" t="s">
        <v>493</v>
      </c>
      <c r="D2" s="21" t="s">
        <v>494</v>
      </c>
    </row>
    <row r="3">
      <c r="A3" t="s">
        <v>495</v>
      </c>
      <c r="B3" t="s">
        <v>496</v>
      </c>
      <c r="C3" s="21" t="s">
        <v>497</v>
      </c>
      <c r="D3" s="21" t="s">
        <v>498</v>
      </c>
    </row>
    <row r="4">
      <c r="A4" t="s">
        <v>499</v>
      </c>
      <c r="B4" t="s">
        <v>500</v>
      </c>
      <c r="C4" s="21" t="s">
        <v>501</v>
      </c>
      <c r="D4" s="21" t="s">
        <v>502</v>
      </c>
    </row>
    <row r="5">
      <c r="A5" t="s">
        <v>503</v>
      </c>
      <c r="B5" t="s">
        <v>504</v>
      </c>
      <c r="C5" s="21" t="s">
        <v>505</v>
      </c>
      <c r="D5" s="21" t="s">
        <v>506</v>
      </c>
    </row>
    <row r="6">
      <c r="A6" t="s">
        <v>507</v>
      </c>
      <c r="B6" t="s">
        <v>508</v>
      </c>
      <c r="C6" s="21" t="s">
        <v>509</v>
      </c>
      <c r="D6" s="21" t="s">
        <v>510</v>
      </c>
    </row>
    <row r="7">
      <c r="A7" t="s">
        <v>511</v>
      </c>
      <c r="B7" t="s">
        <v>512</v>
      </c>
      <c r="C7" s="21" t="s">
        <v>513</v>
      </c>
      <c r="D7" s="21" t="s">
        <v>514</v>
      </c>
    </row>
    <row r="8">
      <c r="A8" t="s">
        <v>515</v>
      </c>
      <c r="B8" t="s">
        <v>516</v>
      </c>
      <c r="C8" s="21" t="s">
        <v>511</v>
      </c>
      <c r="D8" s="21" t="s">
        <v>517</v>
      </c>
    </row>
    <row r="9">
      <c r="A9" t="s">
        <v>518</v>
      </c>
      <c r="B9" t="s">
        <v>519</v>
      </c>
      <c r="C9" s="21" t="s">
        <v>520</v>
      </c>
      <c r="D9" s="21" t="s">
        <v>521</v>
      </c>
    </row>
    <row r="10">
      <c r="A10" t="s">
        <v>522</v>
      </c>
      <c r="B10" t="s">
        <v>523</v>
      </c>
      <c r="C10" s="21" t="s">
        <v>524</v>
      </c>
      <c r="D10" s="21" t="s">
        <v>525</v>
      </c>
    </row>
    <row r="11">
      <c r="A11" t="s">
        <v>526</v>
      </c>
      <c r="B11" t="s">
        <v>527</v>
      </c>
      <c r="C11" s="21" t="s">
        <v>528</v>
      </c>
      <c r="D11" s="21" t="s">
        <v>529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2026-08-19T13:55:24Z</dcterms:created>
</coreProperties>
</file>